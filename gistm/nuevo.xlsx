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tables/table2.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mc:AlternateContent xmlns:mc="http://schemas.openxmlformats.org/markup-compatibility/2006">
    <mc:Choice Requires="x15">
      <x15ac:absPath xmlns:x15ac="http://schemas.microsoft.com/office/spreadsheetml/2010/11/ac" url="https://anddesperu-my.sharepoint.com/personal/compartido_anddes_com/Documents/10_Proyectos_Internos/10_Proyectos_Internos/Documentos/10PI.10.2025-0007_GISTM/3_Ejecucion/100_Avances/07_Formato a trabajar/ENVIO_PRAYAGA/"/>
    </mc:Choice>
  </mc:AlternateContent>
  <xr:revisionPtr revIDLastSave="0" documentId="8_{6A71DA9B-F37A-4673-9E7C-B06140B03E30}" xr6:coauthVersionLast="47" xr6:coauthVersionMax="47" xr10:uidLastSave="{00000000-0000-0000-0000-000000000000}"/>
  <bookViews>
    <workbookView xWindow="28680" yWindow="-120" windowWidth="29040" windowHeight="15720" tabRatio="513" firstSheet="3" activeTab="3" xr2:uid="{00000000-000D-0000-FFFF-FFFF00000000}"/>
  </bookViews>
  <sheets>
    <sheet name="Criterios GISTM" sheetId="5" r:id="rId1"/>
    <sheet name="Criterios" sheetId="2" r:id="rId2"/>
    <sheet name="Catalogo_Documentos" sheetId="3" r:id="rId3"/>
    <sheet name="Relacion_Doc_Criterio" sheetId="4" r:id="rId4"/>
  </sheets>
  <definedNames>
    <definedName name="_xlnm._FilterDatabase" localSheetId="1" hidden="1">Criterios!$A$1:$L$220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4" i="4" l="1"/>
  <c r="M66" i="4"/>
  <c r="M67" i="4"/>
  <c r="M70" i="4"/>
  <c r="M76" i="4"/>
  <c r="M78" i="4"/>
  <c r="M82" i="4"/>
  <c r="M84" i="4"/>
  <c r="M86" i="4"/>
  <c r="M91" i="4"/>
  <c r="M97" i="4"/>
  <c r="M99" i="4"/>
  <c r="M102" i="4"/>
  <c r="M105" i="4"/>
  <c r="M108" i="4"/>
  <c r="M113" i="4"/>
  <c r="M115" i="4"/>
  <c r="M117" i="4"/>
  <c r="M121" i="4"/>
  <c r="M124" i="4"/>
  <c r="M128" i="4"/>
  <c r="M133" i="4"/>
  <c r="M135" i="4"/>
  <c r="M140" i="4"/>
  <c r="M143" i="4"/>
  <c r="M146" i="4"/>
  <c r="M149" i="4"/>
  <c r="M152" i="4"/>
  <c r="M154" i="4"/>
  <c r="M160" i="4"/>
  <c r="M164" i="4"/>
  <c r="M165" i="4"/>
  <c r="M166" i="4"/>
  <c r="M170" i="4"/>
  <c r="M173" i="4"/>
  <c r="M177" i="4"/>
  <c r="M179" i="4"/>
  <c r="M180" i="4"/>
  <c r="M181" i="4"/>
  <c r="M184" i="4"/>
  <c r="M186" i="4"/>
  <c r="M187" i="4"/>
  <c r="M188" i="4"/>
  <c r="M189" i="4"/>
  <c r="M193" i="4"/>
  <c r="M196" i="4"/>
  <c r="M202" i="4"/>
  <c r="M204" i="4"/>
  <c r="M206" i="4"/>
  <c r="M208" i="4"/>
  <c r="M211" i="4"/>
  <c r="M212" i="4"/>
  <c r="M215" i="4"/>
  <c r="M217" i="4"/>
  <c r="M219" i="4"/>
  <c r="M61" i="4"/>
  <c r="M59" i="4"/>
  <c r="M56" i="4"/>
  <c r="M53" i="4"/>
  <c r="I2" i="4"/>
  <c r="L2" i="4" s="1"/>
  <c r="M2" i="4" s="1"/>
  <c r="I3" i="4"/>
  <c r="I4" i="4"/>
  <c r="I5" i="4"/>
  <c r="L5" i="4" s="1"/>
  <c r="M5" i="4" s="1"/>
  <c r="I6" i="4"/>
  <c r="I7" i="4"/>
  <c r="L7" i="4" s="1"/>
  <c r="M7" i="4" s="1"/>
  <c r="I8" i="4"/>
  <c r="I9" i="4"/>
  <c r="L9" i="4" s="1"/>
  <c r="M9" i="4" s="1"/>
  <c r="I10" i="4"/>
  <c r="I11" i="4"/>
  <c r="I12" i="4"/>
  <c r="L12" i="4" s="1"/>
  <c r="M12" i="4" s="1"/>
  <c r="I13" i="4"/>
  <c r="I14" i="4"/>
  <c r="I15" i="4"/>
  <c r="L15" i="4" s="1"/>
  <c r="M15" i="4" s="1"/>
  <c r="I16" i="4"/>
  <c r="I17" i="4"/>
  <c r="I18" i="4"/>
  <c r="L18" i="4" s="1"/>
  <c r="M18" i="4" s="1"/>
  <c r="I19" i="4"/>
  <c r="I20" i="4"/>
  <c r="I21" i="4"/>
  <c r="I22" i="4"/>
  <c r="L22" i="4" s="1"/>
  <c r="M22" i="4" s="1"/>
  <c r="I23" i="4"/>
  <c r="I24" i="4"/>
  <c r="I25" i="4"/>
  <c r="L25" i="4" s="1"/>
  <c r="M25" i="4" s="1"/>
  <c r="I26" i="4"/>
  <c r="L26" i="4" s="1"/>
  <c r="M26" i="4" s="1"/>
  <c r="I27" i="4"/>
  <c r="I28" i="4"/>
  <c r="I29" i="4"/>
  <c r="L29" i="4" s="1"/>
  <c r="M29" i="4" s="1"/>
  <c r="I30" i="4"/>
  <c r="I31" i="4"/>
  <c r="I32" i="4"/>
  <c r="I33" i="4"/>
  <c r="L33" i="4" s="1"/>
  <c r="M33" i="4" s="1"/>
  <c r="I34" i="4"/>
  <c r="I35" i="4"/>
  <c r="L35" i="4" s="1"/>
  <c r="M35" i="4" s="1"/>
  <c r="I36" i="4"/>
  <c r="I37" i="4"/>
  <c r="I38" i="4"/>
  <c r="L38" i="4" s="1"/>
  <c r="M38" i="4" s="1"/>
  <c r="I39" i="4"/>
  <c r="I40" i="4"/>
  <c r="I41" i="4"/>
  <c r="I42" i="4"/>
  <c r="I43" i="4"/>
  <c r="L43" i="4" s="1"/>
  <c r="M43" i="4" s="1"/>
  <c r="I44" i="4"/>
  <c r="I45" i="4"/>
  <c r="L45" i="4" s="1"/>
  <c r="M45" i="4" s="1"/>
  <c r="I46" i="4"/>
  <c r="I47" i="4"/>
  <c r="L47" i="4" s="1"/>
  <c r="M47" i="4" s="1"/>
  <c r="I48" i="4"/>
  <c r="I49" i="4"/>
  <c r="L49" i="4" s="1"/>
  <c r="M49" i="4" s="1"/>
  <c r="I50" i="4"/>
  <c r="L50" i="4" s="1"/>
  <c r="M50" i="4" s="1"/>
  <c r="I51" i="4"/>
  <c r="I52" i="4"/>
  <c r="I53" i="4"/>
  <c r="L53" i="4" s="1"/>
  <c r="I54" i="4"/>
  <c r="I55" i="4"/>
  <c r="I56" i="4"/>
  <c r="L56" i="4" s="1"/>
  <c r="I57" i="4"/>
  <c r="I58" i="4"/>
  <c r="I59" i="4"/>
  <c r="L59" i="4" s="1"/>
  <c r="I60" i="4"/>
  <c r="I61" i="4"/>
  <c r="L61" i="4" s="1"/>
  <c r="I62" i="4"/>
  <c r="I63" i="4"/>
  <c r="I64" i="4"/>
  <c r="L64" i="4" s="1"/>
  <c r="I65" i="4"/>
  <c r="I66" i="4"/>
  <c r="I67" i="4"/>
  <c r="L67" i="4" s="1"/>
  <c r="I68" i="4"/>
  <c r="I69" i="4"/>
  <c r="I70" i="4"/>
  <c r="L70" i="4" s="1"/>
  <c r="I71" i="4"/>
  <c r="I72" i="4"/>
  <c r="I73" i="4"/>
  <c r="I74" i="4"/>
  <c r="I75" i="4"/>
  <c r="I76" i="4"/>
  <c r="L76" i="4" s="1"/>
  <c r="I77" i="4"/>
  <c r="I78" i="4"/>
  <c r="L78" i="4" s="1"/>
  <c r="I79" i="4"/>
  <c r="I80" i="4"/>
  <c r="I81" i="4"/>
  <c r="I82" i="4"/>
  <c r="L82" i="4" s="1"/>
  <c r="I83" i="4"/>
  <c r="I84" i="4"/>
  <c r="L84" i="4" s="1"/>
  <c r="I85" i="4"/>
  <c r="I86" i="4"/>
  <c r="L86" i="4" s="1"/>
  <c r="I87" i="4"/>
  <c r="I88" i="4"/>
  <c r="I89" i="4"/>
  <c r="I90" i="4"/>
  <c r="I91" i="4"/>
  <c r="L91" i="4" s="1"/>
  <c r="I92" i="4"/>
  <c r="I93" i="4"/>
  <c r="I94" i="4"/>
  <c r="I95" i="4"/>
  <c r="I96" i="4"/>
  <c r="I97" i="4"/>
  <c r="L97" i="4" s="1"/>
  <c r="I98" i="4"/>
  <c r="I99" i="4"/>
  <c r="L99" i="4" s="1"/>
  <c r="I100" i="4"/>
  <c r="I101" i="4"/>
  <c r="I102" i="4"/>
  <c r="L102" i="4" s="1"/>
  <c r="I103" i="4"/>
  <c r="I104" i="4"/>
  <c r="I105" i="4"/>
  <c r="L105" i="4" s="1"/>
  <c r="I106" i="4"/>
  <c r="I107" i="4"/>
  <c r="I108" i="4"/>
  <c r="L108" i="4" s="1"/>
  <c r="I109" i="4"/>
  <c r="I110" i="4"/>
  <c r="I111" i="4"/>
  <c r="I112" i="4"/>
  <c r="I113" i="4"/>
  <c r="L113" i="4" s="1"/>
  <c r="I114" i="4"/>
  <c r="I115" i="4"/>
  <c r="L115" i="4" s="1"/>
  <c r="I116" i="4"/>
  <c r="I117" i="4"/>
  <c r="L117" i="4" s="1"/>
  <c r="I118" i="4"/>
  <c r="I119" i="4"/>
  <c r="I120" i="4"/>
  <c r="I121" i="4"/>
  <c r="L121" i="4" s="1"/>
  <c r="I122" i="4"/>
  <c r="I123" i="4"/>
  <c r="I124" i="4"/>
  <c r="L124" i="4" s="1"/>
  <c r="I125" i="4"/>
  <c r="I126" i="4"/>
  <c r="I127" i="4"/>
  <c r="I128" i="4"/>
  <c r="L128" i="4" s="1"/>
  <c r="I129" i="4"/>
  <c r="I130" i="4"/>
  <c r="I131" i="4"/>
  <c r="I132" i="4"/>
  <c r="I133" i="4"/>
  <c r="L133" i="4" s="1"/>
  <c r="I134" i="4"/>
  <c r="I135" i="4"/>
  <c r="L135" i="4" s="1"/>
  <c r="I136" i="4"/>
  <c r="I137" i="4"/>
  <c r="I138" i="4"/>
  <c r="I139" i="4"/>
  <c r="I140" i="4"/>
  <c r="L140" i="4" s="1"/>
  <c r="I141" i="4"/>
  <c r="I142" i="4"/>
  <c r="I143" i="4"/>
  <c r="L143" i="4" s="1"/>
  <c r="I144" i="4"/>
  <c r="I145" i="4"/>
  <c r="I146" i="4"/>
  <c r="L146" i="4" s="1"/>
  <c r="I147" i="4"/>
  <c r="I148" i="4"/>
  <c r="I149" i="4"/>
  <c r="L149" i="4" s="1"/>
  <c r="I150" i="4"/>
  <c r="I151" i="4"/>
  <c r="I152" i="4"/>
  <c r="L152" i="4" s="1"/>
  <c r="I153" i="4"/>
  <c r="I154" i="4"/>
  <c r="L154" i="4" s="1"/>
  <c r="I155" i="4"/>
  <c r="I156" i="4"/>
  <c r="I157" i="4"/>
  <c r="I158" i="4"/>
  <c r="I159" i="4"/>
  <c r="I160" i="4"/>
  <c r="L160" i="4" s="1"/>
  <c r="I161" i="4"/>
  <c r="I162" i="4"/>
  <c r="I163" i="4"/>
  <c r="I164" i="4"/>
  <c r="I165" i="4"/>
  <c r="I166" i="4"/>
  <c r="L166" i="4" s="1"/>
  <c r="I167" i="4"/>
  <c r="I168" i="4"/>
  <c r="I169" i="4"/>
  <c r="I170" i="4"/>
  <c r="L170" i="4" s="1"/>
  <c r="I171" i="4"/>
  <c r="I172" i="4"/>
  <c r="I173" i="4"/>
  <c r="L173" i="4" s="1"/>
  <c r="I174" i="4"/>
  <c r="I175" i="4"/>
  <c r="I176" i="4"/>
  <c r="I177" i="4"/>
  <c r="L177" i="4" s="1"/>
  <c r="I178" i="4"/>
  <c r="I179" i="4"/>
  <c r="I180" i="4"/>
  <c r="I181" i="4"/>
  <c r="L181" i="4" s="1"/>
  <c r="I182" i="4"/>
  <c r="I183" i="4"/>
  <c r="I184" i="4"/>
  <c r="L184" i="4" s="1"/>
  <c r="I185" i="4"/>
  <c r="I186" i="4"/>
  <c r="I187" i="4"/>
  <c r="I188" i="4"/>
  <c r="L188" i="4" s="1"/>
  <c r="I189" i="4"/>
  <c r="I190" i="4"/>
  <c r="I191" i="4"/>
  <c r="I192" i="4"/>
  <c r="I193" i="4"/>
  <c r="L193" i="4" s="1"/>
  <c r="I194" i="4"/>
  <c r="I195" i="4"/>
  <c r="I196" i="4"/>
  <c r="L196" i="4" s="1"/>
  <c r="I197" i="4"/>
  <c r="I198" i="4"/>
  <c r="I199" i="4"/>
  <c r="I200" i="4"/>
  <c r="I201" i="4"/>
  <c r="I202" i="4"/>
  <c r="L202" i="4" s="1"/>
  <c r="I203" i="4"/>
  <c r="I204" i="4"/>
  <c r="L204" i="4" s="1"/>
  <c r="I205" i="4"/>
  <c r="I206" i="4"/>
  <c r="L206" i="4" s="1"/>
  <c r="I207" i="4"/>
  <c r="I208" i="4"/>
  <c r="L208" i="4" s="1"/>
  <c r="I209" i="4"/>
  <c r="I210" i="4"/>
  <c r="I211" i="4"/>
  <c r="I212" i="4"/>
  <c r="L212" i="4" s="1"/>
  <c r="I213" i="4"/>
  <c r="I214" i="4"/>
  <c r="I215" i="4"/>
  <c r="L215" i="4" s="1"/>
  <c r="I216" i="4"/>
  <c r="I217" i="4"/>
  <c r="L217" i="4" s="1"/>
  <c r="I218" i="4"/>
  <c r="I219" i="4"/>
  <c r="L219" i="4" s="1"/>
  <c r="I220" i="4"/>
  <c r="E51" i="3"/>
  <c r="F51" i="3" s="1" a="1"/>
  <c r="E50" i="3"/>
  <c r="F50" i="3" s="1" a="1"/>
  <c r="E49" i="3"/>
  <c r="F49" i="3" s="1" a="1"/>
  <c r="E48" i="3"/>
  <c r="F48" i="3" s="1" a="1"/>
  <c r="E47" i="3"/>
  <c r="F47" i="3" s="1" a="1"/>
  <c r="E46" i="3"/>
  <c r="F46" i="3" s="1" a="1"/>
  <c r="E45" i="3"/>
  <c r="F45" i="3" s="1" a="1"/>
  <c r="E44" i="3"/>
  <c r="F44" i="3" s="1" a="1"/>
  <c r="E43" i="3"/>
  <c r="F43" i="3" s="1" a="1"/>
  <c r="E42" i="3"/>
  <c r="F42" i="3" s="1" a="1"/>
  <c r="E41" i="3"/>
  <c r="F41" i="3" s="1" a="1"/>
  <c r="E40" i="3"/>
  <c r="F40" i="3" s="1" a="1"/>
  <c r="E39" i="3"/>
  <c r="F39" i="3" s="1" a="1"/>
  <c r="E38" i="3"/>
  <c r="F38" i="3" s="1" a="1"/>
  <c r="E37" i="3"/>
  <c r="F37" i="3" s="1" a="1"/>
  <c r="E36" i="3"/>
  <c r="F36" i="3" s="1" a="1"/>
  <c r="E35" i="3"/>
  <c r="F35" i="3" s="1" a="1"/>
  <c r="E34" i="3"/>
  <c r="F34" i="3" s="1" a="1"/>
  <c r="E33" i="3"/>
  <c r="F33" i="3" s="1" a="1"/>
  <c r="E32" i="3"/>
  <c r="F32" i="3" s="1" a="1"/>
  <c r="E31" i="3"/>
  <c r="F31" i="3" s="1" a="1"/>
  <c r="E30" i="3"/>
  <c r="F30" i="3" s="1" a="1"/>
  <c r="E29" i="3"/>
  <c r="F29" i="3" s="1" a="1"/>
  <c r="E28" i="3"/>
  <c r="F28" i="3" s="1" a="1"/>
  <c r="E27" i="3"/>
  <c r="F27" i="3" s="1" a="1"/>
  <c r="E26" i="3"/>
  <c r="F26" i="3" s="1" a="1"/>
  <c r="E25" i="3"/>
  <c r="F25" i="3" s="1" a="1"/>
  <c r="E24" i="3"/>
  <c r="F24" i="3" s="1" a="1"/>
  <c r="E23" i="3"/>
  <c r="F23" i="3" s="1" a="1"/>
  <c r="E22" i="3"/>
  <c r="F22" i="3" s="1" a="1"/>
  <c r="E21" i="3"/>
  <c r="F21" i="3" s="1" a="1"/>
  <c r="E20" i="3"/>
  <c r="F20" i="3" s="1" a="1"/>
  <c r="E19" i="3"/>
  <c r="F19" i="3" s="1" a="1"/>
  <c r="E18" i="3"/>
  <c r="F18" i="3" s="1" a="1"/>
  <c r="E17" i="3"/>
  <c r="F17" i="3" s="1" a="1"/>
  <c r="E16" i="3"/>
  <c r="F16" i="3" s="1" a="1"/>
  <c r="E15" i="3"/>
  <c r="F15" i="3" s="1" a="1"/>
  <c r="E14" i="3"/>
  <c r="F14" i="3" s="1" a="1"/>
  <c r="E13" i="3"/>
  <c r="F13" i="3" s="1" a="1"/>
  <c r="E12" i="3"/>
  <c r="F12" i="3" s="1" a="1"/>
  <c r="E11" i="3"/>
  <c r="F11" i="3" s="1" a="1"/>
  <c r="E10" i="3"/>
  <c r="F10" i="3" s="1" a="1"/>
  <c r="E9" i="3"/>
  <c r="F9" i="3" s="1" a="1"/>
  <c r="E8" i="3"/>
  <c r="F8" i="3" s="1" a="1"/>
  <c r="E7" i="3"/>
  <c r="F7" i="3" s="1" a="1"/>
  <c r="E6" i="3"/>
  <c r="F6" i="3" s="1" a="1"/>
  <c r="E5" i="3"/>
  <c r="F5" i="3" s="1" a="1"/>
  <c r="E4" i="3"/>
  <c r="F4" i="3" s="1" a="1"/>
  <c r="E3" i="3"/>
  <c r="F3" i="3" s="1" a="1"/>
  <c r="E2" i="3"/>
  <c r="F2" i="3" s="1" a="1"/>
  <c r="J193" i="5"/>
  <c r="J194" i="5" s="1"/>
  <c r="J195" i="5" s="1"/>
  <c r="J220" i="5"/>
  <c r="J219" i="5"/>
  <c r="J218" i="5"/>
  <c r="J217" i="5"/>
  <c r="J216" i="5"/>
  <c r="J215" i="5"/>
  <c r="J214" i="5"/>
  <c r="J213" i="5"/>
  <c r="J212" i="5"/>
  <c r="J210" i="5"/>
  <c r="J209" i="5"/>
  <c r="J208" i="5"/>
  <c r="J207" i="5"/>
  <c r="J206" i="5"/>
  <c r="J205" i="5"/>
  <c r="J204" i="5"/>
  <c r="J203" i="5"/>
  <c r="J202" i="5"/>
  <c r="J201" i="5"/>
  <c r="J200" i="5"/>
  <c r="J199" i="5"/>
  <c r="J198" i="5"/>
  <c r="J197" i="5"/>
  <c r="J196" i="5"/>
  <c r="J192" i="5"/>
  <c r="J191" i="5"/>
  <c r="J190" i="5"/>
  <c r="J189" i="5"/>
  <c r="J188" i="5"/>
  <c r="J185" i="5"/>
  <c r="J184" i="5"/>
  <c r="J183" i="5"/>
  <c r="J182" i="5"/>
  <c r="J181" i="5"/>
  <c r="J178" i="5"/>
  <c r="J177" i="5"/>
  <c r="J176" i="5"/>
  <c r="J175" i="5"/>
  <c r="J174" i="5"/>
  <c r="J173" i="5"/>
  <c r="J172" i="5"/>
  <c r="J171" i="5"/>
  <c r="J170" i="5"/>
  <c r="J169" i="5"/>
  <c r="J168" i="5"/>
  <c r="J167" i="5"/>
  <c r="J166" i="5"/>
  <c r="J163" i="5"/>
  <c r="J162" i="5"/>
  <c r="J161" i="5"/>
  <c r="J160" i="5"/>
  <c r="J159" i="5"/>
  <c r="J158" i="5"/>
  <c r="J157" i="5"/>
  <c r="J156" i="5"/>
  <c r="J155" i="5"/>
  <c r="J154" i="5"/>
  <c r="J153" i="5"/>
  <c r="J152" i="5"/>
  <c r="J151" i="5"/>
  <c r="J150" i="5"/>
  <c r="J149" i="5"/>
  <c r="J148" i="5"/>
  <c r="J147" i="5"/>
  <c r="J146" i="5"/>
  <c r="J145" i="5"/>
  <c r="J144" i="5"/>
  <c r="J143" i="5"/>
  <c r="J142" i="5"/>
  <c r="J141" i="5"/>
  <c r="J140" i="5"/>
  <c r="J139" i="5"/>
  <c r="J138" i="5"/>
  <c r="J137" i="5"/>
  <c r="J136" i="5"/>
  <c r="J135" i="5"/>
  <c r="J134" i="5"/>
  <c r="J133" i="5"/>
  <c r="J132" i="5"/>
  <c r="J131" i="5"/>
  <c r="J130" i="5"/>
  <c r="J129" i="5"/>
  <c r="J128" i="5"/>
  <c r="J127" i="5"/>
  <c r="J126" i="5"/>
  <c r="J125" i="5"/>
  <c r="J124" i="5"/>
  <c r="J123" i="5"/>
  <c r="J122" i="5"/>
  <c r="J121" i="5"/>
  <c r="J120" i="5"/>
  <c r="J119" i="5"/>
  <c r="J118" i="5"/>
  <c r="J117" i="5"/>
  <c r="J116" i="5"/>
  <c r="J115" i="5"/>
  <c r="J114" i="5"/>
  <c r="J113" i="5"/>
  <c r="J112" i="5"/>
  <c r="J111" i="5"/>
  <c r="J110" i="5"/>
  <c r="J109" i="5"/>
  <c r="J108" i="5"/>
  <c r="J107" i="5"/>
  <c r="J106" i="5"/>
  <c r="J105" i="5"/>
  <c r="J104" i="5"/>
  <c r="J103" i="5"/>
  <c r="J102" i="5"/>
  <c r="J101" i="5"/>
  <c r="J100" i="5"/>
  <c r="J99" i="5"/>
  <c r="J98" i="5"/>
  <c r="J97" i="5"/>
  <c r="J96" i="5"/>
  <c r="J95" i="5"/>
  <c r="J94" i="5"/>
  <c r="J93" i="5"/>
  <c r="J92" i="5"/>
  <c r="J91" i="5"/>
  <c r="J90" i="5"/>
  <c r="J89" i="5"/>
  <c r="J88" i="5"/>
  <c r="J87" i="5"/>
  <c r="J86" i="5"/>
  <c r="J85" i="5"/>
  <c r="J84" i="5"/>
  <c r="J81" i="5"/>
  <c r="J80" i="5"/>
  <c r="J79" i="5"/>
  <c r="J78" i="5"/>
  <c r="J77" i="5"/>
  <c r="J76" i="5"/>
  <c r="J75" i="5"/>
  <c r="J74" i="5"/>
  <c r="J73" i="5"/>
  <c r="J72" i="5"/>
  <c r="J71" i="5"/>
  <c r="J70" i="5"/>
  <c r="J69" i="5"/>
  <c r="J68" i="5"/>
  <c r="J67" i="5"/>
  <c r="J65" i="5"/>
  <c r="J64" i="5"/>
  <c r="J63" i="5"/>
  <c r="J62" i="5"/>
  <c r="J61" i="5"/>
  <c r="J60" i="5"/>
  <c r="J59" i="5"/>
  <c r="J58" i="5"/>
  <c r="J57" i="5"/>
  <c r="J56" i="5"/>
  <c r="J55" i="5"/>
  <c r="J54" i="5"/>
  <c r="J53" i="5"/>
  <c r="J52" i="5"/>
  <c r="J51" i="5"/>
  <c r="J50" i="5"/>
  <c r="J48" i="5"/>
  <c r="J47" i="5"/>
  <c r="J46" i="5"/>
  <c r="J45" i="5"/>
  <c r="J44" i="5"/>
  <c r="J43" i="5"/>
  <c r="J42" i="5"/>
  <c r="J41" i="5"/>
  <c r="J40" i="5"/>
  <c r="J39" i="5"/>
  <c r="J38" i="5"/>
  <c r="J37" i="5"/>
  <c r="J36" i="5"/>
  <c r="J35" i="5"/>
  <c r="J34" i="5"/>
  <c r="J33" i="5"/>
  <c r="J32" i="5"/>
  <c r="J31" i="5"/>
  <c r="J30" i="5"/>
  <c r="J29" i="5"/>
  <c r="J28" i="5"/>
  <c r="J27" i="5"/>
  <c r="J26" i="5"/>
  <c r="J24" i="5"/>
  <c r="J23" i="5"/>
  <c r="J22" i="5"/>
  <c r="J21" i="5"/>
  <c r="J20" i="5"/>
  <c r="J19" i="5"/>
  <c r="J18" i="5"/>
  <c r="J17" i="5"/>
  <c r="J16" i="5"/>
  <c r="J15" i="5"/>
  <c r="J14" i="5"/>
  <c r="J13" i="5"/>
  <c r="J12" i="5"/>
  <c r="J11" i="5"/>
  <c r="J10" i="5"/>
  <c r="J9" i="5"/>
  <c r="J8" i="5"/>
  <c r="J7" i="5"/>
  <c r="J6" i="5"/>
  <c r="J5" i="5"/>
  <c r="J4" i="5"/>
  <c r="J3" i="5"/>
  <c r="J2" i="5"/>
  <c r="E45"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K213" i="2"/>
  <c r="L213" i="2"/>
  <c r="K214" i="2"/>
  <c r="L214" i="2"/>
  <c r="K210" i="2"/>
  <c r="L210" i="2"/>
  <c r="K211" i="2"/>
  <c r="L211" i="2"/>
  <c r="K212" i="2"/>
  <c r="L212" i="2"/>
  <c r="K206" i="2"/>
  <c r="L206" i="2"/>
  <c r="K207" i="2"/>
  <c r="L207" i="2"/>
  <c r="K208" i="2"/>
  <c r="L208" i="2"/>
  <c r="K209" i="2"/>
  <c r="L209" i="2"/>
  <c r="K204" i="2"/>
  <c r="L204" i="2"/>
  <c r="K205" i="2"/>
  <c r="L205" i="2"/>
  <c r="K202" i="2"/>
  <c r="L202" i="2"/>
  <c r="K203" i="2"/>
  <c r="L203" i="2"/>
  <c r="K200" i="2"/>
  <c r="L200" i="2"/>
  <c r="K201" i="2"/>
  <c r="L201" i="2"/>
  <c r="K198" i="2"/>
  <c r="L198" i="2"/>
  <c r="K199" i="2"/>
  <c r="L199" i="2"/>
  <c r="K196" i="2"/>
  <c r="L196" i="2"/>
  <c r="K197" i="2"/>
  <c r="L197" i="2"/>
  <c r="K194" i="2"/>
  <c r="L194" i="2"/>
  <c r="K195" i="2"/>
  <c r="L195" i="2"/>
  <c r="K192" i="2"/>
  <c r="L192" i="2"/>
  <c r="K193" i="2"/>
  <c r="L193" i="2"/>
  <c r="L191" i="2"/>
  <c r="K191" i="2"/>
  <c r="L190" i="2"/>
  <c r="K190" i="2"/>
  <c r="K189" i="2"/>
  <c r="L189" i="2"/>
  <c r="K187" i="2"/>
  <c r="L187" i="2"/>
  <c r="K188" i="2"/>
  <c r="L188" i="2"/>
  <c r="K186" i="2"/>
  <c r="L186" i="2"/>
  <c r="K183" i="2"/>
  <c r="L183" i="2"/>
  <c r="K184" i="2"/>
  <c r="L184" i="2"/>
  <c r="K185" i="2"/>
  <c r="L185" i="2"/>
  <c r="K181" i="2"/>
  <c r="L181" i="2"/>
  <c r="K182" i="2"/>
  <c r="L182" i="2"/>
  <c r="K177" i="2"/>
  <c r="L177" i="2"/>
  <c r="K178" i="2"/>
  <c r="L178" i="2"/>
  <c r="K179" i="2"/>
  <c r="L179" i="2"/>
  <c r="K180" i="2"/>
  <c r="L180" i="2"/>
  <c r="K176" i="2"/>
  <c r="L176" i="2"/>
  <c r="K173" i="2"/>
  <c r="L173" i="2"/>
  <c r="K174" i="2"/>
  <c r="L174" i="2"/>
  <c r="K175" i="2"/>
  <c r="L175" i="2"/>
  <c r="K166" i="2"/>
  <c r="L166" i="2"/>
  <c r="K167" i="2"/>
  <c r="L167" i="2"/>
  <c r="K168" i="2"/>
  <c r="L168" i="2"/>
  <c r="K169" i="2"/>
  <c r="L169" i="2"/>
  <c r="K170" i="2"/>
  <c r="L170" i="2"/>
  <c r="K171" i="2"/>
  <c r="L171" i="2"/>
  <c r="K172" i="2"/>
  <c r="L172" i="2"/>
  <c r="L66" i="4" l="1"/>
  <c r="L164" i="4"/>
  <c r="L165" i="4"/>
  <c r="L179" i="4"/>
  <c r="L180" i="4"/>
  <c r="L186" i="4"/>
  <c r="L187" i="4"/>
  <c r="L211" i="4"/>
  <c r="K165" i="2"/>
  <c r="L165" i="2"/>
  <c r="K164" i="2"/>
  <c r="L164" i="2"/>
  <c r="K161" i="2"/>
  <c r="L161" i="2"/>
  <c r="K162" i="2"/>
  <c r="L162" i="2"/>
  <c r="K163" i="2"/>
  <c r="L163" i="2"/>
  <c r="K160" i="2"/>
  <c r="L160" i="2"/>
  <c r="L159" i="2"/>
  <c r="K159" i="2"/>
  <c r="L158" i="2"/>
  <c r="K158" i="2"/>
  <c r="L157" i="2"/>
  <c r="K157" i="2"/>
  <c r="L156" i="2"/>
  <c r="K156" i="2"/>
  <c r="L155" i="2"/>
  <c r="K155" i="2"/>
  <c r="K154" i="2"/>
  <c r="L154" i="2"/>
  <c r="K150" i="2"/>
  <c r="L150" i="2"/>
  <c r="K151" i="2"/>
  <c r="L151" i="2"/>
  <c r="K152" i="2"/>
  <c r="L152" i="2"/>
  <c r="K153" i="2"/>
  <c r="L153" i="2"/>
  <c r="K149" i="2"/>
  <c r="L149" i="2"/>
  <c r="K148" i="2"/>
  <c r="L148" i="2"/>
  <c r="K146" i="2"/>
  <c r="L146" i="2"/>
  <c r="K147" i="2"/>
  <c r="L147" i="2"/>
  <c r="K145" i="2"/>
  <c r="L145" i="2"/>
  <c r="K143" i="2"/>
  <c r="L143" i="2"/>
  <c r="K144" i="2"/>
  <c r="L144" i="2"/>
  <c r="L142" i="2"/>
  <c r="K142" i="2"/>
  <c r="L141" i="2"/>
  <c r="K141" i="2"/>
  <c r="L140" i="2"/>
  <c r="K140" i="2"/>
  <c r="L138" i="2"/>
  <c r="K138" i="2"/>
  <c r="K135" i="2"/>
  <c r="L135" i="2"/>
  <c r="K136" i="2"/>
  <c r="L136" i="2"/>
  <c r="K137" i="2"/>
  <c r="L137" i="2"/>
  <c r="K133" i="2"/>
  <c r="L133" i="2"/>
  <c r="K134" i="2"/>
  <c r="L134" i="2"/>
  <c r="K129" i="2"/>
  <c r="L129" i="2"/>
  <c r="K130" i="2"/>
  <c r="L130" i="2"/>
  <c r="K131" i="2"/>
  <c r="L131" i="2"/>
  <c r="K132" i="2"/>
  <c r="L132" i="2"/>
  <c r="L128" i="2"/>
  <c r="K128" i="2"/>
  <c r="L55" i="2"/>
  <c r="K55" i="2"/>
  <c r="L54" i="2"/>
  <c r="K54" i="2"/>
  <c r="E889" i="4" l="1"/>
  <c r="B889" i="4"/>
  <c r="E888" i="4"/>
  <c r="B888" i="4"/>
  <c r="E887" i="4"/>
  <c r="B887" i="4"/>
  <c r="E886" i="4"/>
  <c r="B886" i="4"/>
  <c r="E885" i="4"/>
  <c r="B885" i="4"/>
  <c r="E884" i="4"/>
  <c r="B884" i="4"/>
  <c r="E883" i="4"/>
  <c r="B883" i="4"/>
  <c r="E882" i="4"/>
  <c r="B882" i="4"/>
  <c r="E881" i="4"/>
  <c r="B881" i="4"/>
  <c r="E880" i="4"/>
  <c r="B880" i="4"/>
  <c r="E879" i="4"/>
  <c r="B879" i="4"/>
  <c r="E878" i="4"/>
  <c r="B878" i="4"/>
  <c r="E877" i="4"/>
  <c r="B877" i="4"/>
  <c r="E876" i="4"/>
  <c r="B876" i="4"/>
  <c r="E875" i="4"/>
  <c r="B875" i="4"/>
  <c r="E874" i="4"/>
  <c r="B874" i="4"/>
  <c r="E873" i="4"/>
  <c r="B873" i="4"/>
  <c r="E872" i="4"/>
  <c r="B872" i="4"/>
  <c r="E871" i="4"/>
  <c r="B871" i="4"/>
  <c r="E870" i="4"/>
  <c r="B870" i="4"/>
  <c r="E869" i="4"/>
  <c r="B869" i="4"/>
  <c r="E868" i="4"/>
  <c r="B868" i="4"/>
  <c r="E867" i="4"/>
  <c r="B867" i="4"/>
  <c r="E866" i="4"/>
  <c r="B866" i="4"/>
  <c r="E865" i="4"/>
  <c r="B865" i="4"/>
  <c r="E864" i="4"/>
  <c r="B864" i="4"/>
  <c r="E863" i="4"/>
  <c r="B863" i="4"/>
  <c r="E862" i="4"/>
  <c r="B862" i="4"/>
  <c r="E861" i="4"/>
  <c r="B861" i="4"/>
  <c r="E860" i="4"/>
  <c r="B860" i="4"/>
  <c r="E859" i="4"/>
  <c r="B859" i="4"/>
  <c r="E858" i="4"/>
  <c r="B858" i="4"/>
  <c r="E857" i="4"/>
  <c r="B857" i="4"/>
  <c r="E856" i="4"/>
  <c r="B856" i="4"/>
  <c r="E855" i="4"/>
  <c r="B855" i="4"/>
  <c r="E854" i="4"/>
  <c r="B854" i="4"/>
  <c r="E853" i="4"/>
  <c r="B853" i="4"/>
  <c r="E852" i="4"/>
  <c r="B852" i="4"/>
  <c r="E851" i="4"/>
  <c r="B851" i="4"/>
  <c r="E850" i="4"/>
  <c r="B850" i="4"/>
  <c r="E849" i="4"/>
  <c r="B849" i="4"/>
  <c r="E848" i="4"/>
  <c r="B848" i="4"/>
  <c r="E847" i="4"/>
  <c r="B847" i="4"/>
  <c r="E846" i="4"/>
  <c r="B846" i="4"/>
  <c r="E845" i="4"/>
  <c r="B845" i="4"/>
  <c r="E844" i="4"/>
  <c r="B844" i="4"/>
  <c r="E843" i="4"/>
  <c r="B843" i="4"/>
  <c r="E842" i="4"/>
  <c r="B842" i="4"/>
  <c r="E841" i="4"/>
  <c r="B841" i="4"/>
  <c r="E840" i="4"/>
  <c r="B840" i="4"/>
  <c r="E839" i="4"/>
  <c r="B839" i="4"/>
  <c r="E838" i="4"/>
  <c r="B838" i="4"/>
  <c r="E837" i="4"/>
  <c r="B837" i="4"/>
  <c r="E836" i="4"/>
  <c r="B836" i="4"/>
  <c r="E835" i="4"/>
  <c r="B835" i="4"/>
  <c r="E834" i="4"/>
  <c r="B834" i="4"/>
  <c r="E833" i="4"/>
  <c r="B833" i="4"/>
  <c r="E832" i="4"/>
  <c r="B832" i="4"/>
  <c r="E831" i="4"/>
  <c r="B831" i="4"/>
  <c r="E830" i="4"/>
  <c r="B830" i="4"/>
  <c r="E829" i="4"/>
  <c r="B829" i="4"/>
  <c r="E828" i="4"/>
  <c r="B828" i="4"/>
  <c r="E827" i="4"/>
  <c r="B827" i="4"/>
  <c r="E826" i="4"/>
  <c r="B826" i="4"/>
  <c r="E825" i="4"/>
  <c r="B825" i="4"/>
  <c r="E824" i="4"/>
  <c r="B824" i="4"/>
  <c r="E823" i="4"/>
  <c r="B823" i="4"/>
  <c r="E822" i="4"/>
  <c r="B822" i="4"/>
  <c r="E821" i="4"/>
  <c r="B821" i="4"/>
  <c r="E820" i="4"/>
  <c r="B820" i="4"/>
  <c r="E819" i="4"/>
  <c r="B819" i="4"/>
  <c r="E818" i="4"/>
  <c r="B818" i="4"/>
  <c r="E817" i="4"/>
  <c r="B817" i="4"/>
  <c r="E816" i="4"/>
  <c r="B816" i="4"/>
  <c r="E815" i="4"/>
  <c r="B815" i="4"/>
  <c r="E814" i="4"/>
  <c r="B814" i="4"/>
  <c r="E813" i="4"/>
  <c r="B813" i="4"/>
  <c r="E812" i="4"/>
  <c r="B812" i="4"/>
  <c r="E811" i="4"/>
  <c r="B811" i="4"/>
  <c r="E810" i="4"/>
  <c r="B810" i="4"/>
  <c r="E809" i="4"/>
  <c r="B809" i="4"/>
  <c r="E808" i="4"/>
  <c r="B808" i="4"/>
  <c r="E807" i="4"/>
  <c r="B807" i="4"/>
  <c r="E806" i="4"/>
  <c r="B806" i="4"/>
  <c r="E805" i="4"/>
  <c r="B805" i="4"/>
  <c r="E804" i="4"/>
  <c r="B804" i="4"/>
  <c r="E803" i="4"/>
  <c r="B803" i="4"/>
  <c r="E802" i="4"/>
  <c r="B802" i="4"/>
  <c r="E801" i="4"/>
  <c r="B801" i="4"/>
  <c r="E800" i="4"/>
  <c r="B800" i="4"/>
  <c r="E799" i="4"/>
  <c r="B799" i="4"/>
  <c r="E798" i="4"/>
  <c r="B798" i="4"/>
  <c r="E797" i="4"/>
  <c r="B797" i="4"/>
  <c r="E796" i="4"/>
  <c r="B796" i="4"/>
  <c r="E795" i="4"/>
  <c r="B795" i="4"/>
  <c r="E794" i="4"/>
  <c r="B794" i="4"/>
  <c r="E793" i="4"/>
  <c r="B793" i="4"/>
  <c r="E792" i="4"/>
  <c r="B792" i="4"/>
  <c r="E791" i="4"/>
  <c r="B791" i="4"/>
  <c r="E790" i="4"/>
  <c r="B790" i="4"/>
  <c r="E789" i="4"/>
  <c r="B789" i="4"/>
  <c r="E788" i="4"/>
  <c r="B788" i="4"/>
  <c r="E787" i="4"/>
  <c r="B787" i="4"/>
  <c r="E786" i="4"/>
  <c r="B786" i="4"/>
  <c r="E785" i="4"/>
  <c r="B785" i="4"/>
  <c r="E784" i="4"/>
  <c r="B784" i="4"/>
  <c r="E783" i="4"/>
  <c r="B783" i="4"/>
  <c r="E782" i="4"/>
  <c r="B782" i="4"/>
  <c r="E781" i="4"/>
  <c r="B781" i="4"/>
  <c r="E780" i="4"/>
  <c r="B780" i="4"/>
  <c r="E779" i="4"/>
  <c r="B779" i="4"/>
  <c r="E778" i="4"/>
  <c r="B778" i="4"/>
  <c r="E777" i="4"/>
  <c r="B777" i="4"/>
  <c r="E776" i="4"/>
  <c r="B776" i="4"/>
  <c r="E775" i="4"/>
  <c r="B775" i="4"/>
  <c r="E774" i="4"/>
  <c r="B774" i="4"/>
  <c r="E773" i="4"/>
  <c r="B773" i="4"/>
  <c r="E772" i="4"/>
  <c r="B772" i="4"/>
  <c r="E771" i="4"/>
  <c r="B771" i="4"/>
  <c r="E770" i="4"/>
  <c r="B770" i="4"/>
  <c r="E769" i="4"/>
  <c r="B769" i="4"/>
  <c r="E768" i="4"/>
  <c r="B768" i="4"/>
  <c r="E767" i="4"/>
  <c r="B767" i="4"/>
  <c r="E766" i="4"/>
  <c r="B766" i="4"/>
  <c r="E765" i="4"/>
  <c r="B765" i="4"/>
  <c r="E764" i="4"/>
  <c r="B764" i="4"/>
  <c r="E763" i="4"/>
  <c r="B763" i="4"/>
  <c r="E762" i="4"/>
  <c r="B762" i="4"/>
  <c r="E761" i="4"/>
  <c r="B761" i="4"/>
  <c r="E760" i="4"/>
  <c r="B760" i="4"/>
  <c r="E759" i="4"/>
  <c r="B759" i="4"/>
  <c r="E758" i="4"/>
  <c r="B758" i="4"/>
  <c r="E757" i="4"/>
  <c r="B757" i="4"/>
  <c r="E756" i="4"/>
  <c r="B756" i="4"/>
  <c r="E755" i="4"/>
  <c r="B755" i="4"/>
  <c r="E754" i="4"/>
  <c r="B754" i="4"/>
  <c r="E753" i="4"/>
  <c r="B753" i="4"/>
  <c r="E752" i="4"/>
  <c r="B752" i="4"/>
  <c r="E751" i="4"/>
  <c r="B751" i="4"/>
  <c r="E750" i="4"/>
  <c r="B750" i="4"/>
  <c r="E749" i="4"/>
  <c r="B749" i="4"/>
  <c r="E748" i="4"/>
  <c r="B748" i="4"/>
  <c r="E747" i="4"/>
  <c r="B747" i="4"/>
  <c r="E746" i="4"/>
  <c r="B746" i="4"/>
  <c r="E745" i="4"/>
  <c r="B745" i="4"/>
  <c r="E744" i="4"/>
  <c r="B744" i="4"/>
  <c r="E743" i="4"/>
  <c r="B743" i="4"/>
  <c r="E742" i="4"/>
  <c r="B742" i="4"/>
  <c r="E741" i="4"/>
  <c r="B741" i="4"/>
  <c r="E740" i="4"/>
  <c r="B740" i="4"/>
  <c r="E739" i="4"/>
  <c r="B739" i="4"/>
  <c r="E738" i="4"/>
  <c r="B738" i="4"/>
  <c r="E737" i="4"/>
  <c r="B737" i="4"/>
  <c r="E736" i="4"/>
  <c r="B736" i="4"/>
  <c r="E735" i="4"/>
  <c r="B735" i="4"/>
  <c r="E734" i="4"/>
  <c r="B734" i="4"/>
  <c r="E733" i="4"/>
  <c r="B733" i="4"/>
  <c r="E732" i="4"/>
  <c r="B732" i="4"/>
  <c r="E731" i="4"/>
  <c r="B731" i="4"/>
  <c r="E730" i="4"/>
  <c r="B730" i="4"/>
  <c r="E729" i="4"/>
  <c r="B729" i="4"/>
  <c r="E728" i="4"/>
  <c r="B728" i="4"/>
  <c r="E727" i="4"/>
  <c r="B727" i="4"/>
  <c r="E726" i="4"/>
  <c r="B726" i="4"/>
  <c r="E725" i="4"/>
  <c r="B725" i="4"/>
  <c r="E724" i="4"/>
  <c r="B724" i="4"/>
  <c r="E723" i="4"/>
  <c r="B723" i="4"/>
  <c r="E722" i="4"/>
  <c r="B722" i="4"/>
  <c r="E721" i="4"/>
  <c r="B721" i="4"/>
  <c r="E720" i="4"/>
  <c r="B720" i="4"/>
  <c r="E719" i="4"/>
  <c r="B719" i="4"/>
  <c r="E718" i="4"/>
  <c r="B718" i="4"/>
  <c r="E717" i="4"/>
  <c r="B717" i="4"/>
  <c r="E716" i="4"/>
  <c r="B716" i="4"/>
  <c r="E715" i="4"/>
  <c r="B715" i="4"/>
  <c r="E714" i="4"/>
  <c r="B714" i="4"/>
  <c r="E713" i="4"/>
  <c r="B713" i="4"/>
  <c r="E712" i="4"/>
  <c r="B712" i="4"/>
  <c r="E711" i="4"/>
  <c r="B711" i="4"/>
  <c r="E710" i="4"/>
  <c r="B710" i="4"/>
  <c r="E709" i="4"/>
  <c r="B709" i="4"/>
  <c r="E708" i="4"/>
  <c r="B708" i="4"/>
  <c r="E707" i="4"/>
  <c r="B707" i="4"/>
  <c r="E706" i="4"/>
  <c r="B706" i="4"/>
  <c r="E705" i="4"/>
  <c r="B705" i="4"/>
  <c r="E704" i="4"/>
  <c r="B704" i="4"/>
  <c r="E703" i="4"/>
  <c r="B703" i="4"/>
  <c r="E702" i="4"/>
  <c r="B702" i="4"/>
  <c r="E701" i="4"/>
  <c r="B701" i="4"/>
  <c r="E700" i="4"/>
  <c r="B700" i="4"/>
  <c r="E699" i="4"/>
  <c r="B699" i="4"/>
  <c r="E698" i="4"/>
  <c r="B698" i="4"/>
  <c r="E697" i="4"/>
  <c r="B697" i="4"/>
  <c r="E696" i="4"/>
  <c r="B696" i="4"/>
  <c r="E695" i="4"/>
  <c r="B695" i="4"/>
  <c r="E694" i="4"/>
  <c r="B694" i="4"/>
  <c r="E693" i="4"/>
  <c r="B693" i="4"/>
  <c r="E692" i="4"/>
  <c r="B692" i="4"/>
  <c r="E691" i="4"/>
  <c r="B691" i="4"/>
  <c r="E690" i="4"/>
  <c r="B690" i="4"/>
  <c r="E689" i="4"/>
  <c r="B689" i="4"/>
  <c r="E688" i="4"/>
  <c r="B688" i="4"/>
  <c r="E687" i="4"/>
  <c r="B687" i="4"/>
  <c r="E686" i="4"/>
  <c r="B686" i="4"/>
  <c r="E685" i="4"/>
  <c r="B685" i="4"/>
  <c r="E684" i="4"/>
  <c r="B684" i="4"/>
  <c r="E683" i="4"/>
  <c r="B683" i="4"/>
  <c r="E682" i="4"/>
  <c r="B682" i="4"/>
  <c r="E681" i="4"/>
  <c r="B681" i="4"/>
  <c r="E680" i="4"/>
  <c r="B680" i="4"/>
  <c r="E679" i="4"/>
  <c r="B679" i="4"/>
  <c r="E678" i="4"/>
  <c r="B678" i="4"/>
  <c r="E677" i="4"/>
  <c r="B677" i="4"/>
  <c r="E676" i="4"/>
  <c r="B676" i="4"/>
  <c r="E675" i="4"/>
  <c r="B675" i="4"/>
  <c r="E674" i="4"/>
  <c r="B674" i="4"/>
  <c r="E673" i="4"/>
  <c r="B673" i="4"/>
  <c r="E672" i="4"/>
  <c r="B672" i="4"/>
  <c r="E671" i="4"/>
  <c r="B671" i="4"/>
  <c r="E670" i="4"/>
  <c r="B670" i="4"/>
  <c r="E669" i="4"/>
  <c r="B669" i="4"/>
  <c r="E668" i="4"/>
  <c r="B668" i="4"/>
  <c r="E667" i="4"/>
  <c r="B667" i="4"/>
  <c r="E666" i="4"/>
  <c r="B666" i="4"/>
  <c r="E665" i="4"/>
  <c r="B665" i="4"/>
  <c r="E664" i="4"/>
  <c r="B664" i="4"/>
  <c r="E663" i="4"/>
  <c r="B663" i="4"/>
  <c r="E662" i="4"/>
  <c r="B662" i="4"/>
  <c r="E661" i="4"/>
  <c r="B661" i="4"/>
  <c r="E660" i="4"/>
  <c r="B660" i="4"/>
  <c r="E659" i="4"/>
  <c r="B659" i="4"/>
  <c r="E658" i="4"/>
  <c r="B658" i="4"/>
  <c r="E657" i="4"/>
  <c r="B657" i="4"/>
  <c r="E656" i="4"/>
  <c r="B656" i="4"/>
  <c r="E655" i="4"/>
  <c r="B655" i="4"/>
  <c r="E654" i="4"/>
  <c r="B654" i="4"/>
  <c r="E653" i="4"/>
  <c r="B653" i="4"/>
  <c r="E652" i="4"/>
  <c r="B652" i="4"/>
  <c r="E651" i="4"/>
  <c r="B651" i="4"/>
  <c r="E650" i="4"/>
  <c r="B650" i="4"/>
  <c r="E649" i="4"/>
  <c r="B649" i="4"/>
  <c r="E648" i="4"/>
  <c r="B648" i="4"/>
  <c r="E647" i="4"/>
  <c r="B647" i="4"/>
  <c r="E646" i="4"/>
  <c r="B646" i="4"/>
  <c r="E645" i="4"/>
  <c r="B645" i="4"/>
  <c r="E644" i="4"/>
  <c r="B644" i="4"/>
  <c r="E643" i="4"/>
  <c r="B643" i="4"/>
  <c r="E642" i="4"/>
  <c r="B642" i="4"/>
  <c r="E641" i="4"/>
  <c r="B641" i="4"/>
  <c r="E640" i="4"/>
  <c r="B640" i="4"/>
  <c r="E639" i="4"/>
  <c r="B639" i="4"/>
  <c r="E638" i="4"/>
  <c r="B638" i="4"/>
  <c r="E637" i="4"/>
  <c r="B637" i="4"/>
  <c r="E636" i="4"/>
  <c r="B636" i="4"/>
  <c r="E635" i="4"/>
  <c r="B635" i="4"/>
  <c r="E634" i="4"/>
  <c r="B634" i="4"/>
  <c r="E633" i="4"/>
  <c r="B633" i="4"/>
  <c r="E632" i="4"/>
  <c r="B632" i="4"/>
  <c r="E631" i="4"/>
  <c r="B631" i="4"/>
  <c r="E630" i="4"/>
  <c r="B630" i="4"/>
  <c r="E629" i="4"/>
  <c r="B629" i="4"/>
  <c r="E628" i="4"/>
  <c r="B628" i="4"/>
  <c r="E627" i="4"/>
  <c r="B627" i="4"/>
  <c r="E626" i="4"/>
  <c r="B626" i="4"/>
  <c r="E625" i="4"/>
  <c r="B625" i="4"/>
  <c r="E624" i="4"/>
  <c r="B624" i="4"/>
  <c r="E623" i="4"/>
  <c r="B623" i="4"/>
  <c r="E622" i="4"/>
  <c r="B622" i="4"/>
  <c r="E621" i="4"/>
  <c r="B621" i="4"/>
  <c r="E620" i="4"/>
  <c r="B620" i="4"/>
  <c r="E619" i="4"/>
  <c r="B619" i="4"/>
  <c r="E618" i="4"/>
  <c r="B618" i="4"/>
  <c r="E617" i="4"/>
  <c r="B617" i="4"/>
  <c r="E616" i="4"/>
  <c r="B616" i="4"/>
  <c r="E615" i="4"/>
  <c r="B615" i="4"/>
  <c r="E614" i="4"/>
  <c r="B614" i="4"/>
  <c r="E613" i="4"/>
  <c r="B613" i="4"/>
  <c r="E612" i="4"/>
  <c r="B612" i="4"/>
  <c r="E611" i="4"/>
  <c r="B611" i="4"/>
  <c r="E610" i="4"/>
  <c r="B610" i="4"/>
  <c r="E609" i="4"/>
  <c r="B609" i="4"/>
  <c r="E608" i="4"/>
  <c r="B608" i="4"/>
  <c r="E607" i="4"/>
  <c r="B607" i="4"/>
  <c r="E606" i="4"/>
  <c r="B606" i="4"/>
  <c r="E605" i="4"/>
  <c r="B605" i="4"/>
  <c r="E604" i="4"/>
  <c r="B604" i="4"/>
  <c r="E603" i="4"/>
  <c r="B603" i="4"/>
  <c r="E602" i="4"/>
  <c r="B602" i="4"/>
  <c r="E601" i="4"/>
  <c r="B601" i="4"/>
  <c r="E600" i="4"/>
  <c r="B600" i="4"/>
  <c r="E599" i="4"/>
  <c r="B599" i="4"/>
  <c r="E598" i="4"/>
  <c r="B598" i="4"/>
  <c r="E597" i="4"/>
  <c r="B597" i="4"/>
  <c r="E596" i="4"/>
  <c r="B596" i="4"/>
  <c r="E595" i="4"/>
  <c r="B595" i="4"/>
  <c r="E594" i="4"/>
  <c r="B594" i="4"/>
  <c r="E593" i="4"/>
  <c r="B593" i="4"/>
  <c r="E592" i="4"/>
  <c r="B592" i="4"/>
  <c r="E591" i="4"/>
  <c r="B591" i="4"/>
  <c r="E590" i="4"/>
  <c r="B590" i="4"/>
  <c r="E589" i="4"/>
  <c r="B589" i="4"/>
  <c r="E588" i="4"/>
  <c r="B588" i="4"/>
  <c r="E587" i="4"/>
  <c r="B587" i="4"/>
  <c r="E586" i="4"/>
  <c r="B586" i="4"/>
  <c r="E585" i="4"/>
  <c r="B585" i="4"/>
  <c r="E584" i="4"/>
  <c r="B584" i="4"/>
  <c r="E583" i="4"/>
  <c r="B583" i="4"/>
  <c r="E582" i="4"/>
  <c r="B582" i="4"/>
  <c r="E581" i="4"/>
  <c r="B581" i="4"/>
  <c r="E580" i="4"/>
  <c r="B580" i="4"/>
  <c r="E579" i="4"/>
  <c r="B579" i="4"/>
  <c r="E578" i="4"/>
  <c r="B578" i="4"/>
  <c r="E577" i="4"/>
  <c r="B577" i="4"/>
  <c r="E576" i="4"/>
  <c r="B576" i="4"/>
  <c r="E575" i="4"/>
  <c r="B575" i="4"/>
  <c r="E574" i="4"/>
  <c r="B574" i="4"/>
  <c r="E573" i="4"/>
  <c r="B573" i="4"/>
  <c r="E572" i="4"/>
  <c r="B572" i="4"/>
  <c r="E571" i="4"/>
  <c r="B571" i="4"/>
  <c r="E570" i="4"/>
  <c r="B570" i="4"/>
  <c r="E569" i="4"/>
  <c r="B569" i="4"/>
  <c r="E568" i="4"/>
  <c r="B568" i="4"/>
  <c r="E567" i="4"/>
  <c r="B567" i="4"/>
  <c r="E566" i="4"/>
  <c r="B566" i="4"/>
  <c r="E565" i="4"/>
  <c r="B565" i="4"/>
  <c r="E564" i="4"/>
  <c r="B564" i="4"/>
  <c r="E563" i="4"/>
  <c r="B563" i="4"/>
  <c r="E562" i="4"/>
  <c r="B562" i="4"/>
  <c r="E561" i="4"/>
  <c r="B561" i="4"/>
  <c r="E560" i="4"/>
  <c r="B560" i="4"/>
  <c r="E559" i="4"/>
  <c r="B559" i="4"/>
  <c r="E558" i="4"/>
  <c r="B558" i="4"/>
  <c r="E557" i="4"/>
  <c r="B557" i="4"/>
  <c r="E556" i="4"/>
  <c r="B556" i="4"/>
  <c r="E555" i="4"/>
  <c r="B555" i="4"/>
  <c r="E554" i="4"/>
  <c r="B554" i="4"/>
  <c r="E553" i="4"/>
  <c r="B553" i="4"/>
  <c r="E552" i="4"/>
  <c r="B552" i="4"/>
  <c r="E551" i="4"/>
  <c r="B551" i="4"/>
  <c r="E550" i="4"/>
  <c r="B550" i="4"/>
  <c r="E549" i="4"/>
  <c r="B549" i="4"/>
  <c r="E548" i="4"/>
  <c r="B548" i="4"/>
  <c r="E547" i="4"/>
  <c r="B547" i="4"/>
  <c r="E546" i="4"/>
  <c r="B546" i="4"/>
  <c r="E545" i="4"/>
  <c r="B545" i="4"/>
  <c r="E544" i="4"/>
  <c r="B544" i="4"/>
  <c r="E543" i="4"/>
  <c r="B543" i="4"/>
  <c r="E542" i="4"/>
  <c r="B542" i="4"/>
  <c r="E541" i="4"/>
  <c r="B541" i="4"/>
  <c r="E540" i="4"/>
  <c r="B540" i="4"/>
  <c r="E539" i="4"/>
  <c r="B539" i="4"/>
  <c r="E538" i="4"/>
  <c r="B538" i="4"/>
  <c r="E537" i="4"/>
  <c r="B537" i="4"/>
  <c r="E536" i="4"/>
  <c r="B536" i="4"/>
  <c r="E535" i="4"/>
  <c r="B535" i="4"/>
  <c r="E534" i="4"/>
  <c r="B534" i="4"/>
  <c r="E533" i="4"/>
  <c r="B533" i="4"/>
  <c r="E532" i="4"/>
  <c r="B532" i="4"/>
  <c r="E531" i="4"/>
  <c r="B531" i="4"/>
  <c r="E530" i="4"/>
  <c r="B530" i="4"/>
  <c r="E529" i="4"/>
  <c r="B529" i="4"/>
  <c r="E528" i="4"/>
  <c r="B528" i="4"/>
  <c r="E527" i="4"/>
  <c r="B527" i="4"/>
  <c r="E526" i="4"/>
  <c r="B526" i="4"/>
  <c r="E525" i="4"/>
  <c r="B525" i="4"/>
  <c r="E524" i="4"/>
  <c r="B524" i="4"/>
  <c r="E523" i="4"/>
  <c r="B523" i="4"/>
  <c r="E522" i="4"/>
  <c r="B522" i="4"/>
  <c r="E521" i="4"/>
  <c r="B521" i="4"/>
  <c r="E520" i="4"/>
  <c r="B520" i="4"/>
  <c r="E519" i="4"/>
  <c r="B519" i="4"/>
  <c r="E518" i="4"/>
  <c r="B518" i="4"/>
  <c r="E517" i="4"/>
  <c r="B517" i="4"/>
  <c r="E516" i="4"/>
  <c r="B516" i="4"/>
  <c r="E515" i="4"/>
  <c r="B515" i="4"/>
  <c r="E514" i="4"/>
  <c r="B514" i="4"/>
  <c r="E513" i="4"/>
  <c r="B513" i="4"/>
  <c r="E512" i="4"/>
  <c r="B512" i="4"/>
  <c r="E511" i="4"/>
  <c r="B511" i="4"/>
  <c r="E510" i="4"/>
  <c r="B510" i="4"/>
  <c r="E509" i="4"/>
  <c r="B509" i="4"/>
  <c r="E508" i="4"/>
  <c r="B508" i="4"/>
  <c r="E507" i="4"/>
  <c r="B507" i="4"/>
  <c r="E506" i="4"/>
  <c r="B506" i="4"/>
  <c r="E505" i="4"/>
  <c r="B505" i="4"/>
  <c r="E504" i="4"/>
  <c r="B504" i="4"/>
  <c r="E503" i="4"/>
  <c r="B503" i="4"/>
  <c r="E502" i="4"/>
  <c r="B502" i="4"/>
  <c r="E501" i="4"/>
  <c r="B501" i="4"/>
  <c r="E500" i="4"/>
  <c r="B500" i="4"/>
  <c r="E499" i="4"/>
  <c r="B499" i="4"/>
  <c r="E498" i="4"/>
  <c r="B498" i="4"/>
  <c r="E497" i="4"/>
  <c r="B497" i="4"/>
  <c r="E496" i="4"/>
  <c r="B496" i="4"/>
  <c r="E495" i="4"/>
  <c r="B495" i="4"/>
  <c r="E494" i="4"/>
  <c r="B494" i="4"/>
  <c r="E493" i="4"/>
  <c r="B493" i="4"/>
  <c r="E492" i="4"/>
  <c r="B492" i="4"/>
  <c r="E491" i="4"/>
  <c r="B491" i="4"/>
  <c r="E490" i="4"/>
  <c r="B490" i="4"/>
  <c r="E489" i="4"/>
  <c r="B489" i="4"/>
  <c r="E488" i="4"/>
  <c r="B488" i="4"/>
  <c r="E487" i="4"/>
  <c r="B487" i="4"/>
  <c r="E486" i="4"/>
  <c r="B486" i="4"/>
  <c r="E485" i="4"/>
  <c r="B485" i="4"/>
  <c r="E484" i="4"/>
  <c r="B484" i="4"/>
  <c r="E483" i="4"/>
  <c r="B483" i="4"/>
  <c r="E482" i="4"/>
  <c r="B482" i="4"/>
  <c r="E481" i="4"/>
  <c r="B481" i="4"/>
  <c r="E480" i="4"/>
  <c r="B480" i="4"/>
  <c r="E479" i="4"/>
  <c r="B479" i="4"/>
  <c r="E478" i="4"/>
  <c r="B478" i="4"/>
  <c r="E477" i="4"/>
  <c r="B477" i="4"/>
  <c r="E476" i="4"/>
  <c r="B476" i="4"/>
  <c r="E475" i="4"/>
  <c r="B475" i="4"/>
  <c r="E474" i="4"/>
  <c r="B474" i="4"/>
  <c r="E473" i="4"/>
  <c r="B473" i="4"/>
  <c r="E472" i="4"/>
  <c r="B472" i="4"/>
  <c r="E471" i="4"/>
  <c r="B471" i="4"/>
  <c r="E470" i="4"/>
  <c r="B470" i="4"/>
  <c r="E469" i="4"/>
  <c r="B469" i="4"/>
  <c r="E468" i="4"/>
  <c r="B468" i="4"/>
  <c r="E467" i="4"/>
  <c r="B467" i="4"/>
  <c r="E466" i="4"/>
  <c r="B466" i="4"/>
  <c r="E465" i="4"/>
  <c r="B465" i="4"/>
  <c r="E464" i="4"/>
  <c r="B464" i="4"/>
  <c r="E463" i="4"/>
  <c r="B463" i="4"/>
  <c r="E462" i="4"/>
  <c r="B462" i="4"/>
  <c r="E461" i="4"/>
  <c r="B461" i="4"/>
  <c r="E460" i="4"/>
  <c r="B460" i="4"/>
  <c r="E459" i="4"/>
  <c r="B459" i="4"/>
  <c r="E458" i="4"/>
  <c r="B458" i="4"/>
  <c r="E457" i="4"/>
  <c r="B457" i="4"/>
  <c r="E456" i="4"/>
  <c r="B456" i="4"/>
  <c r="E455" i="4"/>
  <c r="B455" i="4"/>
  <c r="E454" i="4"/>
  <c r="B454" i="4"/>
  <c r="E453" i="4"/>
  <c r="B453" i="4"/>
  <c r="E452" i="4"/>
  <c r="B452" i="4"/>
  <c r="E451" i="4"/>
  <c r="B451" i="4"/>
  <c r="E450" i="4"/>
  <c r="B450" i="4"/>
  <c r="E449" i="4"/>
  <c r="B449" i="4"/>
  <c r="E448" i="4"/>
  <c r="B448" i="4"/>
  <c r="E447" i="4"/>
  <c r="B447" i="4"/>
  <c r="E446" i="4"/>
  <c r="B446" i="4"/>
  <c r="E445" i="4"/>
  <c r="B445" i="4"/>
  <c r="E444" i="4"/>
  <c r="B444" i="4"/>
  <c r="E443" i="4"/>
  <c r="B443" i="4"/>
  <c r="E442" i="4"/>
  <c r="B442" i="4"/>
  <c r="E441" i="4"/>
  <c r="B441" i="4"/>
  <c r="E440" i="4"/>
  <c r="B440" i="4"/>
  <c r="E439" i="4"/>
  <c r="B439" i="4"/>
  <c r="E438" i="4"/>
  <c r="B438" i="4"/>
  <c r="E437" i="4"/>
  <c r="B437" i="4"/>
  <c r="E436" i="4"/>
  <c r="B436" i="4"/>
  <c r="E435" i="4"/>
  <c r="B435" i="4"/>
  <c r="E434" i="4"/>
  <c r="B434" i="4"/>
  <c r="E433" i="4"/>
  <c r="B433" i="4"/>
  <c r="E432" i="4"/>
  <c r="B432" i="4"/>
  <c r="E431" i="4"/>
  <c r="B431" i="4"/>
  <c r="E430" i="4"/>
  <c r="B430" i="4"/>
  <c r="E429" i="4"/>
  <c r="B429" i="4"/>
  <c r="E428" i="4"/>
  <c r="B428" i="4"/>
  <c r="E427" i="4"/>
  <c r="B427" i="4"/>
  <c r="E426" i="4"/>
  <c r="B426" i="4"/>
  <c r="E425" i="4"/>
  <c r="B425" i="4"/>
  <c r="E424" i="4"/>
  <c r="B424" i="4"/>
  <c r="E423" i="4"/>
  <c r="B423" i="4"/>
  <c r="E422" i="4"/>
  <c r="B422" i="4"/>
  <c r="E421" i="4"/>
  <c r="B421" i="4"/>
  <c r="E420" i="4"/>
  <c r="B420" i="4"/>
  <c r="E419" i="4"/>
  <c r="B419" i="4"/>
  <c r="E418" i="4"/>
  <c r="B418" i="4"/>
  <c r="E417" i="4"/>
  <c r="B417" i="4"/>
  <c r="E416" i="4"/>
  <c r="B416" i="4"/>
  <c r="E415" i="4"/>
  <c r="B415" i="4"/>
  <c r="E414" i="4"/>
  <c r="B414" i="4"/>
  <c r="E413" i="4"/>
  <c r="B413" i="4"/>
  <c r="E412" i="4"/>
  <c r="B412" i="4"/>
  <c r="E411" i="4"/>
  <c r="B411" i="4"/>
  <c r="E410" i="4"/>
  <c r="B410" i="4"/>
  <c r="E409" i="4"/>
  <c r="B409" i="4"/>
  <c r="E408" i="4"/>
  <c r="B408" i="4"/>
  <c r="E407" i="4"/>
  <c r="B407" i="4"/>
  <c r="E406" i="4"/>
  <c r="B406" i="4"/>
  <c r="E405" i="4"/>
  <c r="B405" i="4"/>
  <c r="E404" i="4"/>
  <c r="B404" i="4"/>
  <c r="E403" i="4"/>
  <c r="B403" i="4"/>
  <c r="E402" i="4"/>
  <c r="B402" i="4"/>
  <c r="E401" i="4"/>
  <c r="B401" i="4"/>
  <c r="E400" i="4"/>
  <c r="B400" i="4"/>
  <c r="E399" i="4"/>
  <c r="B399" i="4"/>
  <c r="E398" i="4"/>
  <c r="B398" i="4"/>
  <c r="E397" i="4"/>
  <c r="B397" i="4"/>
  <c r="E396" i="4"/>
  <c r="B396" i="4"/>
  <c r="E395" i="4"/>
  <c r="B395" i="4"/>
  <c r="E394" i="4"/>
  <c r="B394" i="4"/>
  <c r="E393" i="4"/>
  <c r="B393" i="4"/>
  <c r="E392" i="4"/>
  <c r="B392" i="4"/>
  <c r="E391" i="4"/>
  <c r="B391" i="4"/>
  <c r="E390" i="4"/>
  <c r="B390" i="4"/>
  <c r="E389" i="4"/>
  <c r="B389" i="4"/>
  <c r="E388" i="4"/>
  <c r="B388" i="4"/>
  <c r="E387" i="4"/>
  <c r="B387" i="4"/>
  <c r="E386" i="4"/>
  <c r="B386" i="4"/>
  <c r="E385" i="4"/>
  <c r="B385" i="4"/>
  <c r="E384" i="4"/>
  <c r="B384" i="4"/>
  <c r="E383" i="4"/>
  <c r="B383" i="4"/>
  <c r="E382" i="4"/>
  <c r="B382" i="4"/>
  <c r="E381" i="4"/>
  <c r="B381" i="4"/>
  <c r="E380" i="4"/>
  <c r="B380" i="4"/>
  <c r="E379" i="4"/>
  <c r="B379" i="4"/>
  <c r="E378" i="4"/>
  <c r="B378" i="4"/>
  <c r="E377" i="4"/>
  <c r="B377" i="4"/>
  <c r="E376" i="4"/>
  <c r="B376" i="4"/>
  <c r="E375" i="4"/>
  <c r="B375" i="4"/>
  <c r="E374" i="4"/>
  <c r="B374" i="4"/>
  <c r="E373" i="4"/>
  <c r="B373" i="4"/>
  <c r="E372" i="4"/>
  <c r="B372" i="4"/>
  <c r="E371" i="4"/>
  <c r="B371" i="4"/>
  <c r="E370" i="4"/>
  <c r="B370" i="4"/>
  <c r="E369" i="4"/>
  <c r="B369" i="4"/>
  <c r="E368" i="4"/>
  <c r="B368" i="4"/>
  <c r="E367" i="4"/>
  <c r="B367" i="4"/>
  <c r="E366" i="4"/>
  <c r="B366" i="4"/>
  <c r="E365" i="4"/>
  <c r="B365" i="4"/>
  <c r="E364" i="4"/>
  <c r="B364" i="4"/>
  <c r="E363" i="4"/>
  <c r="B363" i="4"/>
  <c r="E362" i="4"/>
  <c r="B362" i="4"/>
  <c r="E361" i="4"/>
  <c r="B361" i="4"/>
  <c r="E360" i="4"/>
  <c r="B360" i="4"/>
  <c r="E359" i="4"/>
  <c r="B359" i="4"/>
  <c r="E358" i="4"/>
  <c r="B358" i="4"/>
  <c r="E357" i="4"/>
  <c r="B357" i="4"/>
  <c r="E356" i="4"/>
  <c r="B356" i="4"/>
  <c r="E355" i="4"/>
  <c r="B355" i="4"/>
  <c r="E354" i="4"/>
  <c r="B354" i="4"/>
  <c r="E353" i="4"/>
  <c r="B353" i="4"/>
  <c r="E352" i="4"/>
  <c r="B352" i="4"/>
  <c r="E351" i="4"/>
  <c r="B351" i="4"/>
  <c r="E350" i="4"/>
  <c r="B350" i="4"/>
  <c r="E349" i="4"/>
  <c r="B349" i="4"/>
  <c r="E348" i="4"/>
  <c r="B348" i="4"/>
  <c r="E347" i="4"/>
  <c r="B347" i="4"/>
  <c r="E346" i="4"/>
  <c r="B346" i="4"/>
  <c r="E345" i="4"/>
  <c r="B345" i="4"/>
  <c r="E344" i="4"/>
  <c r="B344" i="4"/>
  <c r="E343" i="4"/>
  <c r="B343" i="4"/>
  <c r="E342" i="4"/>
  <c r="B342" i="4"/>
  <c r="E341" i="4"/>
  <c r="B341" i="4"/>
  <c r="E340" i="4"/>
  <c r="B340" i="4"/>
  <c r="E339" i="4"/>
  <c r="B339" i="4"/>
  <c r="E338" i="4"/>
  <c r="B338" i="4"/>
  <c r="E337" i="4"/>
  <c r="B337" i="4"/>
  <c r="E336" i="4"/>
  <c r="B336" i="4"/>
  <c r="E335" i="4"/>
  <c r="B335" i="4"/>
  <c r="E334" i="4"/>
  <c r="B334" i="4"/>
  <c r="E333" i="4"/>
  <c r="B333" i="4"/>
  <c r="E332" i="4"/>
  <c r="B332" i="4"/>
  <c r="E331" i="4"/>
  <c r="B331" i="4"/>
  <c r="E330" i="4"/>
  <c r="B330" i="4"/>
  <c r="E329" i="4"/>
  <c r="B329" i="4"/>
  <c r="E328" i="4"/>
  <c r="B328" i="4"/>
  <c r="E327" i="4"/>
  <c r="B327" i="4"/>
  <c r="E326" i="4"/>
  <c r="B326" i="4"/>
  <c r="E325" i="4"/>
  <c r="B325" i="4"/>
  <c r="E324" i="4"/>
  <c r="B324" i="4"/>
  <c r="E323" i="4"/>
  <c r="B323" i="4"/>
  <c r="E322" i="4"/>
  <c r="B322" i="4"/>
  <c r="E321" i="4"/>
  <c r="B321" i="4"/>
  <c r="E320" i="4"/>
  <c r="B320" i="4"/>
  <c r="E319" i="4"/>
  <c r="B319" i="4"/>
  <c r="E318" i="4"/>
  <c r="B318" i="4"/>
  <c r="E317" i="4"/>
  <c r="B317" i="4"/>
  <c r="E316" i="4"/>
  <c r="B316" i="4"/>
  <c r="E315" i="4"/>
  <c r="B315" i="4"/>
  <c r="E314" i="4"/>
  <c r="B314" i="4"/>
  <c r="E313" i="4"/>
  <c r="B313" i="4"/>
  <c r="E312" i="4"/>
  <c r="B312" i="4"/>
  <c r="E311" i="4"/>
  <c r="B311" i="4"/>
  <c r="E310" i="4"/>
  <c r="B310" i="4"/>
  <c r="E309" i="4"/>
  <c r="B309" i="4"/>
  <c r="E308" i="4"/>
  <c r="B308" i="4"/>
  <c r="E307" i="4"/>
  <c r="B307" i="4"/>
  <c r="E306" i="4"/>
  <c r="B306" i="4"/>
  <c r="E305" i="4"/>
  <c r="B305" i="4"/>
  <c r="E304" i="4"/>
  <c r="B304" i="4"/>
  <c r="E303" i="4"/>
  <c r="B303" i="4"/>
  <c r="E302" i="4"/>
  <c r="B302" i="4"/>
  <c r="E301" i="4"/>
  <c r="B301" i="4"/>
  <c r="E300" i="4"/>
  <c r="B300" i="4"/>
  <c r="E299" i="4"/>
  <c r="B299" i="4"/>
  <c r="E298" i="4"/>
  <c r="B298" i="4"/>
  <c r="E297" i="4"/>
  <c r="B297" i="4"/>
  <c r="E296" i="4"/>
  <c r="B296" i="4"/>
  <c r="E295" i="4"/>
  <c r="B295" i="4"/>
  <c r="E294" i="4"/>
  <c r="B294" i="4"/>
  <c r="E293" i="4"/>
  <c r="B293" i="4"/>
  <c r="E292" i="4"/>
  <c r="B292" i="4"/>
  <c r="E291" i="4"/>
  <c r="B291" i="4"/>
  <c r="E290" i="4"/>
  <c r="B290" i="4"/>
  <c r="E289" i="4"/>
  <c r="B289" i="4"/>
  <c r="E288" i="4"/>
  <c r="B288" i="4"/>
  <c r="E287" i="4"/>
  <c r="B287" i="4"/>
  <c r="E286" i="4"/>
  <c r="B286" i="4"/>
  <c r="E285" i="4"/>
  <c r="B285" i="4"/>
  <c r="E284" i="4"/>
  <c r="B284" i="4"/>
  <c r="E283" i="4"/>
  <c r="B283" i="4"/>
  <c r="E282" i="4"/>
  <c r="B282" i="4"/>
  <c r="E281" i="4"/>
  <c r="B281" i="4"/>
  <c r="E280" i="4"/>
  <c r="B280" i="4"/>
  <c r="E279" i="4"/>
  <c r="B279" i="4"/>
  <c r="E278" i="4"/>
  <c r="B278" i="4"/>
  <c r="E277" i="4"/>
  <c r="B277" i="4"/>
  <c r="E276" i="4"/>
  <c r="B276" i="4"/>
  <c r="E275" i="4"/>
  <c r="B275" i="4"/>
  <c r="E274" i="4"/>
  <c r="B274" i="4"/>
  <c r="E273" i="4"/>
  <c r="B273" i="4"/>
  <c r="E272" i="4"/>
  <c r="B272" i="4"/>
  <c r="E271" i="4"/>
  <c r="B271" i="4"/>
  <c r="E270" i="4"/>
  <c r="B270" i="4"/>
  <c r="E269" i="4"/>
  <c r="B269" i="4"/>
  <c r="E268" i="4"/>
  <c r="B268" i="4"/>
  <c r="E267" i="4"/>
  <c r="B267" i="4"/>
  <c r="E266" i="4"/>
  <c r="B266" i="4"/>
  <c r="E265" i="4"/>
  <c r="B265" i="4"/>
  <c r="E264" i="4"/>
  <c r="B264" i="4"/>
  <c r="E263" i="4"/>
  <c r="B263" i="4"/>
  <c r="E262" i="4"/>
  <c r="B262" i="4"/>
  <c r="E261" i="4"/>
  <c r="B261" i="4"/>
  <c r="E260" i="4"/>
  <c r="B260" i="4"/>
  <c r="E259" i="4"/>
  <c r="B259" i="4"/>
  <c r="E258" i="4"/>
  <c r="B258" i="4"/>
  <c r="E257" i="4"/>
  <c r="B257" i="4"/>
  <c r="E256" i="4"/>
  <c r="B256" i="4"/>
  <c r="E255" i="4"/>
  <c r="B255" i="4"/>
  <c r="E254" i="4"/>
  <c r="B254" i="4"/>
  <c r="E253" i="4"/>
  <c r="B253" i="4"/>
  <c r="E252" i="4"/>
  <c r="B252" i="4"/>
  <c r="E251" i="4"/>
  <c r="B251" i="4"/>
  <c r="E250" i="4"/>
  <c r="B250" i="4"/>
  <c r="E249" i="4"/>
  <c r="B249" i="4"/>
  <c r="E248" i="4"/>
  <c r="B248" i="4"/>
  <c r="E247" i="4"/>
  <c r="B247" i="4"/>
  <c r="E246" i="4"/>
  <c r="B246" i="4"/>
  <c r="E245" i="4"/>
  <c r="B245" i="4"/>
  <c r="E244" i="4"/>
  <c r="B244" i="4"/>
  <c r="E243" i="4"/>
  <c r="B243" i="4"/>
  <c r="E242" i="4"/>
  <c r="B242" i="4"/>
  <c r="E241" i="4"/>
  <c r="B241" i="4"/>
  <c r="E240" i="4"/>
  <c r="B240" i="4"/>
  <c r="E239" i="4"/>
  <c r="B239" i="4"/>
  <c r="E238" i="4"/>
  <c r="B238" i="4"/>
  <c r="E237" i="4"/>
  <c r="B237" i="4"/>
  <c r="E236" i="4"/>
  <c r="B236" i="4"/>
  <c r="E235" i="4"/>
  <c r="B235" i="4"/>
  <c r="E234" i="4"/>
  <c r="B234" i="4"/>
  <c r="E233" i="4"/>
  <c r="B233" i="4"/>
  <c r="E232" i="4"/>
  <c r="B232" i="4"/>
  <c r="E231" i="4"/>
  <c r="B231" i="4"/>
  <c r="E230" i="4"/>
  <c r="B230" i="4"/>
  <c r="E229" i="4"/>
  <c r="B229" i="4"/>
  <c r="E228" i="4"/>
  <c r="B228" i="4"/>
  <c r="E227" i="4"/>
  <c r="B227" i="4"/>
  <c r="E226" i="4"/>
  <c r="B226" i="4"/>
  <c r="E225" i="4"/>
  <c r="B225" i="4"/>
  <c r="E224" i="4"/>
  <c r="B224" i="4"/>
  <c r="E223" i="4"/>
  <c r="B223" i="4"/>
  <c r="E222" i="4"/>
  <c r="B222" i="4"/>
  <c r="E221" i="4"/>
  <c r="B221" i="4"/>
  <c r="E220" i="4"/>
  <c r="B220" i="4"/>
  <c r="E219" i="4"/>
  <c r="B219" i="4"/>
  <c r="E218" i="4"/>
  <c r="B218" i="4"/>
  <c r="E217" i="4"/>
  <c r="B217" i="4"/>
  <c r="E216" i="4"/>
  <c r="B216" i="4"/>
  <c r="E215" i="4"/>
  <c r="B215" i="4"/>
  <c r="E214" i="4"/>
  <c r="B214" i="4"/>
  <c r="E213" i="4"/>
  <c r="B213" i="4"/>
  <c r="E212" i="4"/>
  <c r="B212" i="4"/>
  <c r="E211" i="4"/>
  <c r="B211" i="4"/>
  <c r="E210" i="4"/>
  <c r="B210" i="4"/>
  <c r="E209" i="4"/>
  <c r="B209" i="4"/>
  <c r="E208" i="4"/>
  <c r="B208" i="4"/>
  <c r="E207" i="4"/>
  <c r="B207" i="4"/>
  <c r="E206" i="4"/>
  <c r="B206" i="4"/>
  <c r="E205" i="4"/>
  <c r="B205" i="4"/>
  <c r="E204" i="4"/>
  <c r="B204" i="4"/>
  <c r="E203" i="4"/>
  <c r="B203" i="4"/>
  <c r="E202" i="4"/>
  <c r="B202" i="4"/>
  <c r="E201" i="4"/>
  <c r="B201" i="4"/>
  <c r="E200" i="4"/>
  <c r="B200" i="4"/>
  <c r="E199" i="4"/>
  <c r="B199" i="4"/>
  <c r="E198" i="4"/>
  <c r="B198" i="4"/>
  <c r="E197" i="4"/>
  <c r="B197" i="4"/>
  <c r="E196" i="4"/>
  <c r="B196" i="4"/>
  <c r="E195" i="4"/>
  <c r="B195" i="4"/>
  <c r="E194" i="4"/>
  <c r="B194" i="4"/>
  <c r="E193" i="4"/>
  <c r="B193" i="4"/>
  <c r="E192" i="4"/>
  <c r="B192" i="4"/>
  <c r="E191" i="4"/>
  <c r="B191" i="4"/>
  <c r="E190" i="4"/>
  <c r="B190" i="4"/>
  <c r="E189" i="4"/>
  <c r="B189" i="4"/>
  <c r="E188" i="4"/>
  <c r="B188" i="4"/>
  <c r="E187" i="4"/>
  <c r="B187" i="4"/>
  <c r="E186" i="4"/>
  <c r="B186" i="4"/>
  <c r="E185" i="4"/>
  <c r="B185" i="4"/>
  <c r="E184" i="4"/>
  <c r="B184" i="4"/>
  <c r="E183" i="4"/>
  <c r="B183" i="4"/>
  <c r="E182" i="4"/>
  <c r="B182" i="4"/>
  <c r="E181" i="4"/>
  <c r="B181" i="4"/>
  <c r="E180" i="4"/>
  <c r="B180" i="4"/>
  <c r="E179" i="4"/>
  <c r="B179" i="4"/>
  <c r="E178" i="4"/>
  <c r="B178" i="4"/>
  <c r="E177" i="4"/>
  <c r="B177" i="4"/>
  <c r="E176" i="4"/>
  <c r="B176" i="4"/>
  <c r="E175" i="4"/>
  <c r="B175" i="4"/>
  <c r="E174" i="4"/>
  <c r="B174" i="4"/>
  <c r="E173" i="4"/>
  <c r="B173" i="4"/>
  <c r="E172" i="4"/>
  <c r="B172" i="4"/>
  <c r="E171" i="4"/>
  <c r="B171" i="4"/>
  <c r="E170" i="4"/>
  <c r="B170" i="4"/>
  <c r="E169" i="4"/>
  <c r="B169" i="4"/>
  <c r="E168" i="4"/>
  <c r="B168" i="4"/>
  <c r="E167" i="4"/>
  <c r="B167" i="4"/>
  <c r="E166" i="4"/>
  <c r="B166" i="4"/>
  <c r="E165" i="4"/>
  <c r="B165" i="4"/>
  <c r="E164" i="4"/>
  <c r="B164" i="4"/>
  <c r="E163" i="4"/>
  <c r="B163" i="4"/>
  <c r="E162" i="4"/>
  <c r="B162" i="4"/>
  <c r="E161" i="4"/>
  <c r="B161" i="4"/>
  <c r="E160" i="4"/>
  <c r="B160" i="4"/>
  <c r="E159" i="4"/>
  <c r="B159" i="4"/>
  <c r="E158" i="4"/>
  <c r="B158" i="4"/>
  <c r="E157" i="4"/>
  <c r="B157" i="4"/>
  <c r="E156" i="4"/>
  <c r="B156" i="4"/>
  <c r="E155" i="4"/>
  <c r="B155" i="4"/>
  <c r="E154" i="4"/>
  <c r="B154" i="4"/>
  <c r="E153" i="4"/>
  <c r="B153" i="4"/>
  <c r="E152" i="4"/>
  <c r="B152" i="4"/>
  <c r="E151" i="4"/>
  <c r="B151" i="4"/>
  <c r="E150" i="4"/>
  <c r="B150" i="4"/>
  <c r="E149" i="4"/>
  <c r="B149" i="4"/>
  <c r="E148" i="4"/>
  <c r="B148" i="4"/>
  <c r="E147" i="4"/>
  <c r="B147" i="4"/>
  <c r="E146" i="4"/>
  <c r="B146" i="4"/>
  <c r="E145" i="4"/>
  <c r="B145" i="4"/>
  <c r="E144" i="4"/>
  <c r="B144" i="4"/>
  <c r="E143" i="4"/>
  <c r="B143" i="4"/>
  <c r="E142" i="4"/>
  <c r="B142" i="4"/>
  <c r="E141" i="4"/>
  <c r="B141" i="4"/>
  <c r="E140" i="4"/>
  <c r="B140" i="4"/>
  <c r="E139" i="4"/>
  <c r="B139" i="4"/>
  <c r="E138" i="4"/>
  <c r="B138" i="4"/>
  <c r="E137" i="4"/>
  <c r="B137" i="4"/>
  <c r="E136" i="4"/>
  <c r="B136" i="4"/>
  <c r="E135" i="4"/>
  <c r="B135" i="4"/>
  <c r="E134" i="4"/>
  <c r="B134" i="4"/>
  <c r="E133" i="4"/>
  <c r="B133" i="4"/>
  <c r="E132" i="4"/>
  <c r="B132" i="4"/>
  <c r="E131" i="4"/>
  <c r="B131" i="4"/>
  <c r="E130" i="4"/>
  <c r="B130" i="4"/>
  <c r="E129" i="4"/>
  <c r="B129" i="4"/>
  <c r="E128" i="4"/>
  <c r="B128" i="4"/>
  <c r="E127" i="4"/>
  <c r="B127" i="4"/>
  <c r="E126" i="4"/>
  <c r="B126" i="4"/>
  <c r="E125" i="4"/>
  <c r="B125" i="4"/>
  <c r="E124" i="4"/>
  <c r="B124" i="4"/>
  <c r="E123" i="4"/>
  <c r="B123" i="4"/>
  <c r="E122" i="4"/>
  <c r="B122" i="4"/>
  <c r="E121" i="4"/>
  <c r="B121" i="4"/>
  <c r="E120" i="4"/>
  <c r="B120" i="4"/>
  <c r="E119" i="4"/>
  <c r="B119" i="4"/>
  <c r="E118" i="4"/>
  <c r="B118" i="4"/>
  <c r="E117" i="4"/>
  <c r="B117" i="4"/>
  <c r="E116" i="4"/>
  <c r="B116" i="4"/>
  <c r="E115" i="4"/>
  <c r="B115" i="4"/>
  <c r="E114" i="4"/>
  <c r="B114" i="4"/>
  <c r="E113" i="4"/>
  <c r="B113" i="4"/>
  <c r="E112" i="4"/>
  <c r="B112" i="4"/>
  <c r="E111" i="4"/>
  <c r="B111" i="4"/>
  <c r="E110" i="4"/>
  <c r="B110" i="4"/>
  <c r="E109" i="4"/>
  <c r="B109" i="4"/>
  <c r="E108" i="4"/>
  <c r="B108" i="4"/>
  <c r="E107" i="4"/>
  <c r="B107" i="4"/>
  <c r="E106" i="4"/>
  <c r="B106" i="4"/>
  <c r="E105" i="4"/>
  <c r="B105" i="4"/>
  <c r="E104" i="4"/>
  <c r="B104" i="4"/>
  <c r="E103" i="4"/>
  <c r="B103" i="4"/>
  <c r="E102" i="4"/>
  <c r="B102" i="4"/>
  <c r="E101" i="4"/>
  <c r="B101" i="4"/>
  <c r="E100" i="4"/>
  <c r="B100" i="4"/>
  <c r="E99" i="4"/>
  <c r="B99" i="4"/>
  <c r="E98" i="4"/>
  <c r="B98" i="4"/>
  <c r="E97" i="4"/>
  <c r="B97" i="4"/>
  <c r="E96" i="4"/>
  <c r="B96" i="4"/>
  <c r="E95" i="4"/>
  <c r="B95" i="4"/>
  <c r="E94" i="4"/>
  <c r="B94" i="4"/>
  <c r="E93" i="4"/>
  <c r="B93" i="4"/>
  <c r="E92" i="4"/>
  <c r="B92" i="4"/>
  <c r="E91" i="4"/>
  <c r="B91" i="4"/>
  <c r="E90" i="4"/>
  <c r="B90" i="4"/>
  <c r="E89" i="4"/>
  <c r="B89" i="4"/>
  <c r="E88" i="4"/>
  <c r="B88" i="4"/>
  <c r="E87" i="4"/>
  <c r="B87" i="4"/>
  <c r="E86" i="4"/>
  <c r="B86" i="4"/>
  <c r="E85" i="4"/>
  <c r="B85" i="4"/>
  <c r="E84" i="4"/>
  <c r="B84" i="4"/>
  <c r="E83" i="4"/>
  <c r="B83" i="4"/>
  <c r="E82" i="4"/>
  <c r="B82" i="4"/>
  <c r="E81" i="4"/>
  <c r="B81" i="4"/>
  <c r="E80" i="4"/>
  <c r="B80" i="4"/>
  <c r="E79" i="4"/>
  <c r="B79" i="4"/>
  <c r="E78" i="4"/>
  <c r="B78" i="4"/>
  <c r="E77" i="4"/>
  <c r="B77" i="4"/>
  <c r="E76" i="4"/>
  <c r="B76" i="4"/>
  <c r="E75" i="4"/>
  <c r="B75" i="4"/>
  <c r="E74" i="4"/>
  <c r="B74" i="4"/>
  <c r="E73" i="4"/>
  <c r="B73" i="4"/>
  <c r="E72" i="4"/>
  <c r="B72" i="4"/>
  <c r="E71" i="4"/>
  <c r="B71" i="4"/>
  <c r="E70" i="4"/>
  <c r="B70" i="4"/>
  <c r="E69" i="4"/>
  <c r="B69" i="4"/>
  <c r="E68" i="4"/>
  <c r="B68" i="4"/>
  <c r="E67" i="4"/>
  <c r="B67" i="4"/>
  <c r="E66" i="4"/>
  <c r="B66" i="4"/>
  <c r="E65" i="4"/>
  <c r="B65" i="4"/>
  <c r="E64" i="4"/>
  <c r="B64" i="4"/>
  <c r="E63" i="4"/>
  <c r="B63" i="4"/>
  <c r="E62" i="4"/>
  <c r="B62" i="4"/>
  <c r="E61" i="4"/>
  <c r="B61" i="4"/>
  <c r="E60" i="4"/>
  <c r="B60" i="4"/>
  <c r="E59" i="4"/>
  <c r="B59" i="4"/>
  <c r="E58" i="4"/>
  <c r="B58" i="4"/>
  <c r="E57" i="4"/>
  <c r="B57" i="4"/>
  <c r="E56" i="4"/>
  <c r="B56" i="4"/>
  <c r="E55" i="4"/>
  <c r="B55" i="4"/>
  <c r="E54" i="4"/>
  <c r="B54" i="4"/>
  <c r="E53" i="4"/>
  <c r="B53" i="4"/>
  <c r="E52" i="4"/>
  <c r="B52" i="4"/>
  <c r="E51" i="4"/>
  <c r="B51" i="4"/>
  <c r="E50" i="4"/>
  <c r="B50" i="4"/>
  <c r="E49" i="4"/>
  <c r="B49" i="4"/>
  <c r="E48" i="4"/>
  <c r="B48" i="4"/>
  <c r="E47" i="4"/>
  <c r="B47" i="4"/>
  <c r="E46" i="4"/>
  <c r="B46" i="4"/>
  <c r="B45" i="4"/>
  <c r="E44" i="4"/>
  <c r="B44" i="4"/>
  <c r="E43" i="4"/>
  <c r="B43" i="4"/>
  <c r="E42" i="4"/>
  <c r="B42" i="4"/>
  <c r="E41" i="4"/>
  <c r="B41" i="4"/>
  <c r="E40" i="4"/>
  <c r="B40" i="4"/>
  <c r="E39" i="4"/>
  <c r="B39" i="4"/>
  <c r="E38" i="4"/>
  <c r="B38" i="4"/>
  <c r="E37" i="4"/>
  <c r="B37" i="4"/>
  <c r="E36" i="4"/>
  <c r="B36" i="4"/>
  <c r="E35" i="4"/>
  <c r="B35" i="4"/>
  <c r="E34" i="4"/>
  <c r="B34" i="4"/>
  <c r="E33" i="4"/>
  <c r="B33" i="4"/>
  <c r="E32" i="4"/>
  <c r="B32" i="4"/>
  <c r="E31" i="4"/>
  <c r="B31" i="4"/>
  <c r="E30" i="4"/>
  <c r="B30" i="4"/>
  <c r="E29" i="4"/>
  <c r="B29" i="4"/>
  <c r="E28" i="4"/>
  <c r="B28" i="4"/>
  <c r="E27" i="4"/>
  <c r="B27" i="4"/>
  <c r="E26" i="4"/>
  <c r="B26" i="4"/>
  <c r="E25" i="4"/>
  <c r="B25" i="4"/>
  <c r="E24" i="4"/>
  <c r="B24" i="4"/>
  <c r="E23" i="4"/>
  <c r="B23" i="4"/>
  <c r="E22" i="4"/>
  <c r="B22" i="4"/>
  <c r="E21" i="4"/>
  <c r="B21" i="4"/>
  <c r="E20" i="4"/>
  <c r="B20" i="4"/>
  <c r="E19" i="4"/>
  <c r="B19" i="4"/>
  <c r="E18" i="4"/>
  <c r="B18" i="4"/>
  <c r="E17" i="4"/>
  <c r="B17" i="4"/>
  <c r="E16" i="4"/>
  <c r="B16" i="4"/>
  <c r="E15" i="4"/>
  <c r="B15" i="4"/>
  <c r="E14" i="4"/>
  <c r="B14" i="4"/>
  <c r="E13" i="4"/>
  <c r="B13" i="4"/>
  <c r="E12" i="4"/>
  <c r="B12" i="4"/>
  <c r="E11" i="4"/>
  <c r="B11" i="4"/>
  <c r="E10" i="4"/>
  <c r="B10" i="4"/>
  <c r="E9" i="4"/>
  <c r="B9" i="4"/>
  <c r="E8" i="4"/>
  <c r="B8" i="4"/>
  <c r="E7" i="4"/>
  <c r="B7" i="4"/>
  <c r="E6" i="4"/>
  <c r="B6" i="4"/>
  <c r="E5" i="4"/>
  <c r="B5" i="4"/>
  <c r="E4" i="4"/>
  <c r="B4" i="4"/>
  <c r="E3" i="4"/>
  <c r="B3" i="4"/>
  <c r="E2" i="4"/>
  <c r="B2" i="4"/>
  <c r="L220" i="2"/>
  <c r="K220" i="2"/>
  <c r="L219" i="2"/>
  <c r="K219" i="2"/>
  <c r="L218" i="2"/>
  <c r="K218" i="2"/>
  <c r="L217" i="2"/>
  <c r="K217" i="2"/>
  <c r="L216" i="2"/>
  <c r="K216" i="2"/>
  <c r="L215" i="2"/>
  <c r="K215" i="2"/>
  <c r="L139" i="2"/>
  <c r="K139" i="2"/>
  <c r="L127" i="2"/>
  <c r="K127" i="2"/>
  <c r="L126" i="2"/>
  <c r="K126" i="2"/>
  <c r="L125" i="2"/>
  <c r="K125" i="2"/>
  <c r="L124" i="2"/>
  <c r="K124" i="2"/>
  <c r="L123" i="2"/>
  <c r="K123" i="2"/>
  <c r="L122" i="2"/>
  <c r="K122" i="2"/>
  <c r="L121" i="2"/>
  <c r="K121" i="2"/>
  <c r="L120" i="2"/>
  <c r="K120" i="2"/>
  <c r="L119" i="2"/>
  <c r="K119" i="2"/>
  <c r="L118" i="2"/>
  <c r="K118" i="2"/>
  <c r="L117" i="2"/>
  <c r="K117" i="2"/>
  <c r="L116" i="2"/>
  <c r="K116" i="2"/>
  <c r="L115" i="2"/>
  <c r="K115" i="2"/>
  <c r="L114" i="2"/>
  <c r="K114" i="2"/>
  <c r="L113" i="2"/>
  <c r="K113" i="2"/>
  <c r="L112" i="2"/>
  <c r="K112" i="2"/>
  <c r="L111" i="2"/>
  <c r="K111" i="2"/>
  <c r="L110" i="2"/>
  <c r="K110" i="2"/>
  <c r="L109" i="2"/>
  <c r="K109" i="2"/>
  <c r="L108" i="2"/>
  <c r="K108" i="2"/>
  <c r="L107" i="2"/>
  <c r="K107" i="2"/>
  <c r="L106" i="2"/>
  <c r="K106" i="2"/>
  <c r="L105" i="2"/>
  <c r="K105" i="2"/>
  <c r="L104" i="2"/>
  <c r="K104" i="2"/>
  <c r="L103" i="2"/>
  <c r="K103" i="2"/>
  <c r="L102" i="2"/>
  <c r="K102" i="2"/>
  <c r="L101" i="2"/>
  <c r="K101" i="2"/>
  <c r="L100" i="2"/>
  <c r="K100" i="2"/>
  <c r="L99" i="2"/>
  <c r="K99" i="2"/>
  <c r="L98" i="2"/>
  <c r="K98" i="2"/>
  <c r="L97" i="2"/>
  <c r="K97" i="2"/>
  <c r="L96" i="2"/>
  <c r="K96" i="2"/>
  <c r="L95" i="2"/>
  <c r="K95" i="2"/>
  <c r="L94" i="2"/>
  <c r="K94" i="2"/>
  <c r="L93" i="2"/>
  <c r="K93" i="2"/>
  <c r="L92" i="2"/>
  <c r="K92" i="2"/>
  <c r="L91" i="2"/>
  <c r="K91" i="2"/>
  <c r="L90" i="2"/>
  <c r="K90" i="2"/>
  <c r="L89" i="2"/>
  <c r="K89" i="2"/>
  <c r="L88" i="2"/>
  <c r="K88" i="2"/>
  <c r="L87" i="2"/>
  <c r="K87" i="2"/>
  <c r="L86" i="2"/>
  <c r="K86" i="2"/>
  <c r="L85" i="2"/>
  <c r="K85" i="2"/>
  <c r="L84" i="2"/>
  <c r="K84" i="2"/>
  <c r="L83" i="2"/>
  <c r="K83" i="2"/>
  <c r="L82" i="2"/>
  <c r="K82" i="2"/>
  <c r="L81" i="2"/>
  <c r="K81" i="2"/>
  <c r="L80" i="2"/>
  <c r="K80" i="2"/>
  <c r="L79" i="2"/>
  <c r="K79" i="2"/>
  <c r="L78" i="2"/>
  <c r="K78" i="2"/>
  <c r="L77" i="2"/>
  <c r="K77" i="2"/>
  <c r="L76" i="2"/>
  <c r="K76" i="2"/>
  <c r="L75" i="2"/>
  <c r="K75" i="2"/>
  <c r="L74" i="2"/>
  <c r="K74" i="2"/>
  <c r="L73" i="2"/>
  <c r="K73" i="2"/>
  <c r="L72" i="2"/>
  <c r="K72" i="2"/>
  <c r="L71" i="2"/>
  <c r="K71" i="2"/>
  <c r="L70" i="2"/>
  <c r="K70" i="2"/>
  <c r="L69" i="2"/>
  <c r="K69" i="2"/>
  <c r="L68" i="2"/>
  <c r="K68" i="2"/>
  <c r="L67" i="2"/>
  <c r="K67" i="2"/>
  <c r="L66" i="2"/>
  <c r="K66" i="2"/>
  <c r="L65" i="2"/>
  <c r="K65" i="2"/>
  <c r="L64" i="2"/>
  <c r="K64" i="2"/>
  <c r="L63" i="2"/>
  <c r="K63" i="2"/>
  <c r="L62" i="2"/>
  <c r="K62" i="2"/>
  <c r="L61" i="2"/>
  <c r="K61" i="2"/>
  <c r="L60" i="2"/>
  <c r="K60" i="2"/>
  <c r="L59" i="2"/>
  <c r="K59" i="2"/>
  <c r="L58" i="2"/>
  <c r="K58" i="2"/>
  <c r="L57" i="2"/>
  <c r="K57" i="2"/>
  <c r="L56" i="2"/>
  <c r="K56" i="2"/>
  <c r="L53" i="2"/>
  <c r="K53" i="2"/>
  <c r="L52" i="2"/>
  <c r="K52" i="2"/>
  <c r="L51" i="2"/>
  <c r="K51" i="2"/>
  <c r="L50" i="2"/>
  <c r="K50" i="2"/>
  <c r="L49" i="2"/>
  <c r="K49" i="2"/>
  <c r="L48" i="2"/>
  <c r="K48" i="2"/>
  <c r="L47" i="2"/>
  <c r="K47" i="2"/>
  <c r="L46" i="2"/>
  <c r="K46" i="2"/>
  <c r="L45" i="2"/>
  <c r="K45" i="2"/>
  <c r="L44" i="2"/>
  <c r="K44" i="2"/>
  <c r="L43" i="2"/>
  <c r="K43" i="2"/>
  <c r="L42" i="2"/>
  <c r="K42" i="2"/>
  <c r="L41" i="2"/>
  <c r="K41" i="2"/>
  <c r="L40" i="2"/>
  <c r="K40" i="2"/>
  <c r="L39" i="2"/>
  <c r="K39" i="2"/>
  <c r="L38" i="2"/>
  <c r="K38" i="2"/>
  <c r="L37" i="2"/>
  <c r="K37" i="2"/>
  <c r="L36" i="2"/>
  <c r="K36" i="2"/>
  <c r="L35" i="2"/>
  <c r="K35" i="2"/>
  <c r="L34" i="2"/>
  <c r="K34" i="2"/>
  <c r="L33" i="2"/>
  <c r="K33" i="2"/>
  <c r="L32" i="2"/>
  <c r="K32" i="2"/>
  <c r="L31" i="2"/>
  <c r="K31" i="2"/>
  <c r="L30" i="2"/>
  <c r="K30" i="2"/>
  <c r="L29" i="2"/>
  <c r="K29" i="2"/>
  <c r="L28" i="2"/>
  <c r="K28" i="2"/>
  <c r="L27" i="2"/>
  <c r="K27" i="2"/>
  <c r="L26" i="2"/>
  <c r="K26" i="2"/>
  <c r="L25" i="2"/>
  <c r="K25" i="2"/>
  <c r="L24" i="2"/>
  <c r="K24" i="2"/>
  <c r="L23" i="2"/>
  <c r="K23" i="2"/>
  <c r="L22" i="2"/>
  <c r="K22" i="2"/>
  <c r="L21" i="2"/>
  <c r="K21" i="2"/>
  <c r="L20" i="2"/>
  <c r="K20" i="2"/>
  <c r="L19" i="2"/>
  <c r="K19" i="2"/>
  <c r="L18" i="2"/>
  <c r="K18" i="2"/>
  <c r="L17" i="2"/>
  <c r="K17" i="2"/>
  <c r="L16" i="2"/>
  <c r="K16" i="2"/>
  <c r="L15" i="2"/>
  <c r="K15" i="2"/>
  <c r="L14" i="2"/>
  <c r="K14" i="2"/>
  <c r="L13" i="2"/>
  <c r="K13" i="2"/>
  <c r="L12" i="2"/>
  <c r="K12" i="2"/>
  <c r="L11" i="2"/>
  <c r="K11" i="2"/>
  <c r="L10" i="2"/>
  <c r="K10" i="2"/>
  <c r="L9" i="2"/>
  <c r="K9" i="2"/>
  <c r="L8" i="2"/>
  <c r="K8" i="2"/>
  <c r="L7" i="2"/>
  <c r="K7" i="2"/>
  <c r="L6" i="2"/>
  <c r="K6" i="2"/>
  <c r="L5" i="2"/>
  <c r="K5" i="2"/>
  <c r="L4" i="2"/>
  <c r="K4" i="2"/>
  <c r="L3" i="2"/>
  <c r="K3" i="2"/>
  <c r="L2" i="2"/>
  <c r="K2" i="2"/>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F4" i="3"/>
  <c r="F3" i="3"/>
  <c r="F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tc={1CFDCA5F-7E1A-4DBC-AC55-9B3BD2278DF0}</author>
  </authors>
  <commentList>
    <comment ref="J1" authorId="0" shapeId="0" xr:uid="{1CFDCA5F-7E1A-4DBC-AC55-9B3BD2278DF0}">
      <text>
        <t>[Threaded comment]
Your version of Excel allows you to read this threaded comment; however, any edits to it will get removed if the file is opened in a newer version of Excel. Learn more: https://go.microsoft.com/fwlink/?linkid=870924
Comment:
    Valor de referencia. Debe ser editable, depende de cada UM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tc={DB56B6BA-3BE4-4B63-8FF7-392375812CC8}</author>
  </authors>
  <commentList>
    <comment ref="H50" authorId="0" shapeId="0" xr:uid="{DB56B6BA-3BE4-4B63-8FF7-392375812CC8}">
      <text>
        <t>[Threaded comment]
Your version of Excel allows you to read this threaded comment; however, any edits to it will get removed if the file is opened in a newer version of Excel. Learn more: https://go.microsoft.com/fwlink/?linkid=870924
Comment:
    Involucra el principio 4</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tc={5CD2A6F8-DD7D-459B-9CA8-999E02B24D6B}</author>
  </authors>
  <commentList>
    <comment ref="B1" authorId="0" shapeId="0" xr:uid="{5CD2A6F8-DD7D-459B-9CA8-999E02B24D6B}">
      <text>
        <t>[Threaded comment]
Your version of Excel allows you to read this threaded comment; however, any edits to it will get removed if the file is opened in a newer version of Excel. Learn more: https://go.microsoft.com/fwlink/?linkid=870924
Comment:
    La cantidad de documentos es variable. Pueden aumentar de acuerdo a la información del cliente.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tc={B249BEE3-850C-4E56-99AC-243DDDEA911D}</author>
  </authors>
  <commentList>
    <comment ref="F1" authorId="0" shapeId="0" xr:uid="{B249BEE3-850C-4E56-99AC-243DDDEA911D}">
      <text>
        <t>[Threaded comment]
Your version of Excel allows you to read this threaded comment; however, any edits to it will get removed if the file is opened in a newer version of Excel. Learn more: https://go.microsoft.com/fwlink/?linkid=870924
Comment:
    Para ROL COMPLEMENTARIO: Se inicia la búsqueda en los documentos indicados en la columna E, en caso no se encuentre la información, se realizara la búsqueda en los documentos de esta columna, y por último los otros documentos no descritos.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<sst xmlns="http://schemas.openxmlformats.org/spreadsheetml/2006/main" count="5302" uniqueCount="1770">
  <si>
    <t>ID_Criterio</t>
  </si>
  <si>
    <t>Tema</t>
  </si>
  <si>
    <t>Nombre Tema</t>
  </si>
  <si>
    <t>Principio</t>
  </si>
  <si>
    <t>Descripción Principio</t>
  </si>
  <si>
    <t>Requisito</t>
  </si>
  <si>
    <t>Descripción Requisito</t>
  </si>
  <si>
    <t>Criterio</t>
  </si>
  <si>
    <t>Descripción Criterio</t>
  </si>
  <si>
    <t>Ponderación</t>
  </si>
  <si>
    <t>C001</t>
  </si>
  <si>
    <t>I</t>
  </si>
  <si>
    <t>COMUNIDADES AFECTADAS</t>
  </si>
  <si>
    <t>Principio 01</t>
  </si>
  <si>
    <t>Respetar los derechos de las personas afectadas por el proyecto y lograr su participación significativa en todas las fases del ciclo de vida de las instalaciones de relaves, incluido su cierre.</t>
  </si>
  <si>
    <t>Requisito 01.1</t>
  </si>
  <si>
    <t>Requisito 01.1 Demostrar respeto por los derechos humanos en cumplimiento con los Principios Guía de las Naciones Unidas sobre Empresas, realizar la debida diligencia de los derechos humanos para informar las decisiones de gestión a lo largo del ciclo de vida de la instalación de relaves y abordar los riesgos de los derechos humanos en los escenarios de falla creíbles en la instalación de relaves. Para las instalaciones existentes, el Operador puede optar inicialmente por priorizar las cuestiones de los derechos humanos más importantes de acuerdo al UNGP.</t>
  </si>
  <si>
    <t xml:space="preserve"> 1.1 - A</t>
  </si>
  <si>
    <t xml:space="preserve"> 1.1 - A El Operador tiene una política de compromiso para respetar los derechos humanos de acuerdo al UNGP.</t>
  </si>
  <si>
    <t>C002</t>
  </si>
  <si>
    <t xml:space="preserve"> 1.1 - B</t>
  </si>
  <si>
    <t xml:space="preserve"> 1.1 - B El Operador ha realizado el proceso de diligencias de derechos humanos específicas al sitio para informarlas decisiones de gestión a través del ciclo de vida de los relaves.</t>
  </si>
  <si>
    <t>C003</t>
  </si>
  <si>
    <t xml:space="preserve"> 1.1 - C</t>
  </si>
  <si>
    <t xml:space="preserve"> 1.1 - C El Operador ha abordado los riesgos a los derechos humanos de los escenarios de falla creíbles de la instalación de relaves donde aquellos escenarios existan para tal instalación.</t>
  </si>
  <si>
    <t>C004</t>
  </si>
  <si>
    <t>Requisito 01.2</t>
  </si>
  <si>
    <t>Requisito 01.2 Donde una nueva instalación de relaves puede impactar los derechos de pueblos indígenas o tribales, incluida sus tierras y derechos a los recursos y su derecho a la libre determinación, trabajar para obtener y mantener un Consentimiento Libre, Previo e Informado (CLPI) al demostrar conformidad con la guía internacional y con el marco de las mejores prácticas reconocidas.</t>
  </si>
  <si>
    <t xml:space="preserve"> 1.2 - A</t>
  </si>
  <si>
    <t xml:space="preserve"> 1.2 - A El Operador ha identificado los grupos indígenas o tribales que puedan verse afectados por una nueva instalación de relaves, y entiende como los derechos de estas personas pueden verse impactados, incluyendo sus tierras y derechos a los recursos y su derecho a la libre determinación. </t>
  </si>
  <si>
    <t>C005</t>
  </si>
  <si>
    <t xml:space="preserve"> 1.2 - B</t>
  </si>
  <si>
    <t xml:space="preserve"> 1.2 - B El Operador trabaja para obtener y mantener el CLPI por parte de los grupos indígenas o tribales, en cumplimiento con la guía internacional y marco de las mejores prácticas reconocidas. </t>
  </si>
  <si>
    <t>C006</t>
  </si>
  <si>
    <t>Requisito 01.3</t>
  </si>
  <si>
    <t>Requisito 01.3 Demostrar que las personas afectadas por el proyecto participan de forma significativa a lo largo del ciclo de vida de la instalación de relaves en la construcción de la base de conocimientos que puedan influir en la seguridad pública e integridad de la instalación de relaves. El Operador deberá compartir información para respaldar este proceso</t>
  </si>
  <si>
    <t xml:space="preserve"> 1.3 - A</t>
  </si>
  <si>
    <t xml:space="preserve"> 1.3 - A El Operador ha identificado a los grupos afectados por el proyecto.</t>
  </si>
  <si>
    <t>C007</t>
  </si>
  <si>
    <t xml:space="preserve"> 1.3 - B</t>
  </si>
  <si>
    <t xml:space="preserve"> 1.3 - B El Operador ha asumido un compromiso significativo con los grupos afectados por el proyecto a través del ciclo de vida de la instalación de relaves para: - Compartir información relevante y accesible sobre la instalación de relaves; - Construir la base de conocimientos para la instalación de relaves, incluyendo el contexto social, medioambiental y económico local; y, - Buscar retroalimentación en las decisiones que pueden tener relación con la seguridad pública y la integridad de la instalación de relaves. </t>
  </si>
  <si>
    <t>C008</t>
  </si>
  <si>
    <t>Requisito 01.4</t>
  </si>
  <si>
    <t>Requisito 01.4 Establecer un mecanismo de reclamos no judicial eficaz a nivel operativo que aborde las quejas y agravios de las personas afectadas por el proyecto relacionado a la instalación de relaves, y proporcionar una solución acorde al UNGP</t>
  </si>
  <si>
    <t xml:space="preserve"> 1.4 - A</t>
  </si>
  <si>
    <t xml:space="preserve"> 1.4 - A Se desarrolló e implementó un mecanismo de reclamos accesible y eficaz a nivel operativo para personas afectadas por el proyecto. </t>
  </si>
  <si>
    <t>C009</t>
  </si>
  <si>
    <t>Requisito 01.5</t>
  </si>
  <si>
    <t>Requisito 01.5 Establecer un mecanismo de reclamos no judicial eficaz a nivel operativo que aborde las quejas y agravios de las personas afectadas por el proyecto relacionado a la instalación de relaves, y proporcionar una solución acorde al UNGP</t>
  </si>
  <si>
    <t xml:space="preserve"> 1.4 - B</t>
  </si>
  <si>
    <t xml:space="preserve"> 1.4 - B El mecanismo de reclamos abarca quejas y agravios de las personas afectadas por el proyecto relacionado a la instalación de relaves. </t>
  </si>
  <si>
    <t>C010</t>
  </si>
  <si>
    <t xml:space="preserve"> 1.4 - C</t>
  </si>
  <si>
    <t xml:space="preserve"> 1.4 - C El mecanismo de reclamos brinda soluciones de acuerdo a las UNGPs 29-31. </t>
  </si>
  <si>
    <t>C011</t>
  </si>
  <si>
    <t>II</t>
  </si>
  <si>
    <t>BASE DE CONOCIMIENTOS INTEGRADA</t>
  </si>
  <si>
    <t>Principio 02</t>
  </si>
  <si>
    <t xml:space="preserve"> Elaborar y mantener una base de conocimientos interdisciplinaria para respaldar la gestión de los relaves durante todo su ciclo de vida, incluido su cierre.</t>
  </si>
  <si>
    <t>Requisito 02.1</t>
  </si>
  <si>
    <t>Requisito 02.1 Desarrollar y documentar conocimientos sobre el contexto social, medioambiental y económico local de la instalación de relaves, utilizando métodos alineados con las mejores prácticas internacionales. Actualizar este conocimiento por lo menos cada cinco años, y cada vez haya un cambio material, ya sea en la instalación este conocimiento por lo menos cada cinco años, y cada vez haya un cambio material, ya sea en la instalación de relaves o en el contexto social, medioambiental o económico local. Este conocimiento debe capturar las incertidumbres debidas al cambio climático.</t>
  </si>
  <si>
    <t xml:space="preserve"> 2.1 - A</t>
  </si>
  <si>
    <t xml:space="preserve"> 2.1  - A El Operador ha documentado el contexto social, medioambiental y económico específico del sitio con respecto a su instalación de relaves. </t>
  </si>
  <si>
    <t>C012</t>
  </si>
  <si>
    <t xml:space="preserve"> 2.1 - B</t>
  </si>
  <si>
    <t xml:space="preserve"> 2.1  - B Evalúa las incertidumbres asociadas s al cambio climático que pueda impactar la seguridad de la instalación de relaves (véase también requisito GISTM 3.1) </t>
  </si>
  <si>
    <t>C013</t>
  </si>
  <si>
    <t xml:space="preserve"> 2.1 - C</t>
  </si>
  <si>
    <t xml:space="preserve"> 2.1  - C El Operador actualiza la información descrita arriba en un intervalo de por lo menos cinco años, y cada vez que haya un cambio material en la instalación de relaves o relacionado al contexto ambiental, social o económico. </t>
  </si>
  <si>
    <t>C014</t>
  </si>
  <si>
    <t>Requisito 02.2</t>
  </si>
  <si>
    <t>Requisito 02.2 Preparar, documentar y actualizar una caracterización del sitio detallada de la (las) instalación(es) de relaves que incluyan datos sobre el clima, geomorfología, geología, geoquímica, hidrología e hidrogeología (flujo y calidad de aguas superficiales y de subsuelo), geotécnicos y sísmicos. Las propiedades químicas y físicas del relave serán caracterizadas y actualizadas con regularidad para tomar en cuenta la variabilidad de las propiedades y procesamiento del mineral</t>
  </si>
  <si>
    <t xml:space="preserve"> 2.2 - A</t>
  </si>
  <si>
    <t xml:space="preserve"> 2.2 - A Existe una caracterización detallada1 del(los) sitio(s) de la instalación de relaves y se actualiza según se justifica a través del ciclo de vida, para reflejar los cambios materiales en las condiciones y nuevos conocimientos. </t>
  </si>
  <si>
    <t>C015</t>
  </si>
  <si>
    <t xml:space="preserve"> 2.2 - B</t>
  </si>
  <si>
    <t xml:space="preserve"> 2.2 - B La caracterización del sitio es respaldada por datos incluyendo datos en clima, geomorfología, geología, geoquímica, hidrología, hidrogeología (flujo y calidad de aguas superficiales y subsuelo), geotécnicos y sísmicos). </t>
  </si>
  <si>
    <t>C016</t>
  </si>
  <si>
    <t xml:space="preserve"> 2.2 - C</t>
  </si>
  <si>
    <t xml:space="preserve"> 2.2 - C Existe una caracterización de relaves, considerando las propiedades físicas y geoquímicas, y se actualizan a lo largo del ciclo de vida para tomar en cuenta la variabilidad en las propiedades y el procesamiento del mineral y la deposición de relaves. </t>
  </si>
  <si>
    <t>C017</t>
  </si>
  <si>
    <t>Requisito 02.3</t>
  </si>
  <si>
    <t xml:space="preserve">Requisito 02.3 Desarrollar y documentar un análisis de brechas para la instalación de relaves, utilizando una metodología que considere modelos de falla creíble, condiciones del sitio, y las propiedades de las lamas. Los resultados del análisis estimarán el área física impactada por una falla potencial. Cuando materiales fluidos (agua o sólidos licuables) estén presentes en una instalación de relaves con una Clasificación de Consecuencias "Altas", "Muy Altas" o "Extremas", los resultados deben incluir estimados del área física impactada por la falla potencial, tiempos de llegada de flujo, profundidad y velocidades, y profundidad de la deposición de material. Actualizar cuando se dé un cambio material, ya sea a la instalación de relaves o al área física impactada. </t>
  </si>
  <si>
    <t xml:space="preserve"> 2.3 - A</t>
  </si>
  <si>
    <t xml:space="preserve"> 2.3 - A Donde una instalación de relaves tiene un modelo/escenario de falla creíble1, hay un análisis de brecha documentado para la instalación de relaves, utilizando una metodología que considere los modelos de falla creíbles, condiciones del sitio y propiedades de los relaves. </t>
  </si>
  <si>
    <t>C018</t>
  </si>
  <si>
    <t xml:space="preserve"> 2.3 - B</t>
  </si>
  <si>
    <t xml:space="preserve"> 2.3 - B El área física potencialmente afectada por una falla es estimada y definida.</t>
  </si>
  <si>
    <t>C019</t>
  </si>
  <si>
    <t xml:space="preserve"> 2.3 - C</t>
  </si>
  <si>
    <t xml:space="preserve"> 2.3 - C Para las instalaciones con escenarios de falla creíbles involucrando materiales fluidos (agua y sólidos licuables) y con una clasificación de consecuencias de “Altas”, “Muy Altas” o “Extremas”, se estiman los tiempos de llegada de flujo, profundidades de flujo, velocidades de flujo y profundidad del material depositado. </t>
  </si>
  <si>
    <t>C020</t>
  </si>
  <si>
    <t xml:space="preserve"> 2.3 - D</t>
  </si>
  <si>
    <t xml:space="preserve"> 2.3 - D Para las instalaciones que cumplen con las condiciones a, b y c, el análisis de brecha se completa/ actualiza si se da un cambio material 1 en la instalación de relaves o a la base de conocimientos que resulte en un escenario de falla creíble que pueda llevar a una falla de flujo. </t>
  </si>
  <si>
    <t>C021</t>
  </si>
  <si>
    <t>Requisito 02.4</t>
  </si>
  <si>
    <t xml:space="preserve">Requisito 02.4 Para poder identificar los grupos de mayor riesgo, referirse al análisis de brechas actualizado de la instalación de relaves para evaluar y documentar la exposición y vulnerabilidad humana a los escenarios de falla creíble de la instalación de relaves. Actualizar la evaluación cuando se dé un cambio material, ya sea en la instalación de relaves o en la base del conocimiento </t>
  </si>
  <si>
    <t xml:space="preserve"> 2.4 - A</t>
  </si>
  <si>
    <t xml:space="preserve"> 2.4 - A Se identifican los grupos de mayor riesgo, considerando el análisis de brechas para aquellas instalaciones con escenarios de fallas creíbles según el Requisito 2.3. </t>
  </si>
  <si>
    <t>C022</t>
  </si>
  <si>
    <t xml:space="preserve"> 2.4 - B</t>
  </si>
  <si>
    <t xml:space="preserve"> 2.4 - B Se documenta la exposición y vulnerabilidad humana potencial de los escenarios de fallas creíbles de la instalación de relaves. </t>
  </si>
  <si>
    <t>C023</t>
  </si>
  <si>
    <t xml:space="preserve"> 2.4 - C</t>
  </si>
  <si>
    <t xml:space="preserve"> 2.4 - C La evaluación de la exposición y vulnerabilidad humana se actualiza si es que se da un cambio material 1 a la credibilidad de la falla de flujo potencial y su correspondiente análisis de brecha o base del conocimiento. </t>
  </si>
  <si>
    <t>C024</t>
  </si>
  <si>
    <t>Principio 03</t>
  </si>
  <si>
    <t>Utilizar los elementos de la base de conocimientos – sociales, ambientales, de la economía local y técnicos – con el fin de informar las decisiones durante el ciclo de vida de la instalación de relaves, incluido su cierre</t>
  </si>
  <si>
    <t>Requisito 03.1</t>
  </si>
  <si>
    <t xml:space="preserve">Requisito 03.1 Para mejorar la resistencia al cambio climático, evaluar, actualizar con regularidad y utilizar conocimientos del cambio climático a través del ciclo de vida de la instalación de relaves de acuerdo a los principios de la Gestión Adaptativa. </t>
  </si>
  <si>
    <t xml:space="preserve"> 3.1 - A</t>
  </si>
  <si>
    <t xml:space="preserve"> 3.1 - A Para mejorar la resistencia, se actualiza con regularidad el conocimiento sobre el cambio climático y se usa para evaluar los riesgos y oportunidades para el ciclo de vida de la instalación de relaves, en cumplimiento con los principios de gestión adaptativa, con la meta de mejorar la resistencia al cambio climático. </t>
  </si>
  <si>
    <t>C025</t>
  </si>
  <si>
    <t>Requisito 03.2</t>
  </si>
  <si>
    <t xml:space="preserve">Requisito 03.2 Para nuevas instalaciones de relaves, el Operador deberá utilizar la base de conocimientos y realizará un análisis de alternativas de criterio múltiple de todos los sitios, tecnologías y estrategias factibles para la gestión de relaves. El objetivo de este análisis será de: (i) seleccionar una alternativa que minimice los riesgos a las personas y medioambiente durante el ciclo de vida de la instalación de relaves, y (ii) minimiza el volumen de aguas y relaves colocados en instalaciones de relaves externas. Este análisis será un análisis objetivo de restricciones que será revisado por la Junta de Revisión Independiente de Relaves (ITRB) o un revisor técnico superior independiente. Para las instalaciones de relaves existentes, el Operador deberá revisar y refinar periódicamente las tecnologías y diseños de relaves, y las estrategias de gestión para minimizar riesgos y mejorar resultados medioambientales. Se aplicaría una excepción a las instalaciones que se demuestren estar en un estado de cierre seguro. </t>
  </si>
  <si>
    <t xml:space="preserve"> 3.2 - A</t>
  </si>
  <si>
    <t xml:space="preserve"> 3.2 A Para las nuevas instalaciones de relaves, un Análisis de Alternativas1 se realiza para examinar sitios, tecnologías y estrategias factibles para el tratamiento de relaves durante el ciclo de vida, que busca minimizar: - riesgos a las personas y medio ambiente; - volumen de relaves y aguas almacenados en instalaciones superficiales. </t>
  </si>
  <si>
    <t>C026</t>
  </si>
  <si>
    <t xml:space="preserve"> 3.2 - B</t>
  </si>
  <si>
    <t xml:space="preserve"> 3.2 B Para instalaciones existentes que no estén en un estado de cierre seguro, hay revisiones periódicas de las tecnologías, diseños y estrategias de tratamiento de relaves, y evaluaciones del potencial para implementar mejoras que surjan de las revisiones. </t>
  </si>
  <si>
    <t>C027</t>
  </si>
  <si>
    <t xml:space="preserve"> 3.2 - C</t>
  </si>
  <si>
    <t xml:space="preserve"> 3.2 C Para las nuevas instalaciones, el análisis es revisado por el ITRB o un revisor técnico superior independiente. </t>
  </si>
  <si>
    <t>C028</t>
  </si>
  <si>
    <t>Requisito 03.3</t>
  </si>
  <si>
    <t xml:space="preserve">Requisito 03.3 Para las nuevas instalaciones de relaves, utilizar la base de conocimientos, incluyendo la incertidumbre debida al cambio climático para evaluar los impactos sociales, medioambientales y económicos locales de la instalación de relaves y su falla potencial a lo largo de su ciclo de vida. Donde las evaluaciones de impacto predicen impactos materiales agudos o crónicos, el Operador deberá desarrollar, documentar e implementar planes de mitigación y gestión usando la jerarquía de mitigación. </t>
  </si>
  <si>
    <t xml:space="preserve"> 3.3 - A</t>
  </si>
  <si>
    <t xml:space="preserve"> 3.3 - A Se realizan las evaluaciones de impacto medioambiental, social y económico locales y se informan a la base de conocimiento existente. </t>
  </si>
  <si>
    <t>C029</t>
  </si>
  <si>
    <t xml:space="preserve"> 3.3 - B</t>
  </si>
  <si>
    <t xml:space="preserve"> 3.3 - B Las evaluaciones ambientales, sociales y económico locales demuestran que las incertidumbres son consideradas en la evaluación de la vida de los impactos de las instalaciones de relaves y si hay algún potencial para una falla creíble a lo largo del ciclo de vida de la instalación de relaves. </t>
  </si>
  <si>
    <t>C030</t>
  </si>
  <si>
    <t xml:space="preserve"> 3.3 - C</t>
  </si>
  <si>
    <t xml:space="preserve"> 3.3 - C Medidas y planes de mitigación y gestión son desarrollados, documentados e implementados para abarcar los impactos materiales crónicos y agudos. </t>
  </si>
  <si>
    <t>C031</t>
  </si>
  <si>
    <t xml:space="preserve"> 3.3 - D</t>
  </si>
  <si>
    <t xml:space="preserve"> 3.3 - D Los planes de gestión se basan en los principios y prácticas de una jerarquía de mitigación y planes de gestión para la instalación de relaves y se actualizan a lo largo del ciclo de vida de la instalación de relaves. </t>
  </si>
  <si>
    <t>C032</t>
  </si>
  <si>
    <t>Requisito 03.4</t>
  </si>
  <si>
    <t xml:space="preserve">Requisito 03.4 Actualizar la evaluación de los impactos sociales, medioambientales y económicos locales para reflejar un cambio material ya sea para la instalación de relaves o para el contexto social, medioambiental y económico local. Si nuevos datos indican que los impactos de la instalación de relaves han cambiado materialmente, incluso como el resultado de conocimiento del cambio climático o impactos a largo plazo, el Operador deberá actualizar la gestión de la instalación de relaves para reflejar los nuevos datos utilizando las mejores prácticas de Gestión Adaptativa. </t>
  </si>
  <si>
    <t xml:space="preserve"> 3.4 - A</t>
  </si>
  <si>
    <t xml:space="preserve"> 3.4 - A El cambio material como ha sido definido por el Operador es aplicado consistentemente para generar actualizaciones en las evaluaciones medioambientales, sociales y económicas de la instalación de relaves. </t>
  </si>
  <si>
    <t>C033</t>
  </si>
  <si>
    <t xml:space="preserve"> 3.4 - B</t>
  </si>
  <si>
    <t xml:space="preserve"> 3.4 - B Se actualiza la gestión de la instalación de relaves de acuerdo a las mejores prácticas de gestión adaptativa si nuevos datos (incluyendo conocimientos sobre cambio climático) indican que los impactos de la instalación de relaves han cambiado materialmente. </t>
  </si>
  <si>
    <t>C034</t>
  </si>
  <si>
    <t>III</t>
  </si>
  <si>
    <t>DISEÑO, CONSTRUCCIÓN, OPERACIÓN Y MONITOREO DE LAS INSTALACIONES DE RELAVES</t>
  </si>
  <si>
    <t>Principio 04</t>
  </si>
  <si>
    <t xml:space="preserve"> Desarrollar planes y criterios de diseño para la instalación de relaves con el fin de minimizar los riesgos para todas las fases del ciclo de vida, incluso el cierre y el post cierre.</t>
  </si>
  <si>
    <t>Requisito 04.1</t>
  </si>
  <si>
    <t xml:space="preserve">Requisito 04.1 Determinar la consecuencia de la clasificación de fallas de la instalación de relaves al evaluar las condiciones de aguas abajo documentadas en la base de conocimientos y seleccionar la clasificación correspondiente a la Clasificación de Consecuencias más elevada para cada categoría en el Anexo 2, Tabla 1. La evaluación y selección de la clasificación se hará en base a los modelos de falla creíbles, y debe ser defendible y documentado. </t>
  </si>
  <si>
    <t xml:space="preserve"> 4.1 - A</t>
  </si>
  <si>
    <t xml:space="preserve"> 4.1 - A Se determina la clasificación de consecuencias de fallas de instalaciones de relaves al evaluar las condiciones aguas abajo documentadas en la base de conocimientos y adopta: (i) la clasificación de consecuencias para el nivel más alto en cada categoría en el Anexo 2, Tabla 1, o (ii) un enfoque más conservador mediante la adopción de criterios de diseño de carga post-cierre “Extremos” en el Anexo 2. </t>
  </si>
  <si>
    <t>C035</t>
  </si>
  <si>
    <t xml:space="preserve"> 4.1 - B</t>
  </si>
  <si>
    <t xml:space="preserve"> 4.1 - B Para a(i) basar la evaluación y selección de la clasificación en modelos/escenarios de fallas creíbles. </t>
  </si>
  <si>
    <t>C036</t>
  </si>
  <si>
    <t xml:space="preserve"> 4.1 - C</t>
  </si>
  <si>
    <t xml:space="preserve"> 4.1 - C Documentar la evaluación y selección con evidencia defendible. </t>
  </si>
  <si>
    <t>C037</t>
  </si>
  <si>
    <t>Requisito 04.2</t>
  </si>
  <si>
    <t xml:space="preserve">Requisito 04.2 Con el objetivo de mantener flexibilidad en el desarrollo de una nueva instalación de relaves y optimizar costos mientras se da prioridad a la seguridad durante el ciclo de vida de la instalación de relaves.      a) Desarrollar diseños preliminares para la instalación de relaves con el criterio de carga de diseño externo consistente tanto con la clasificación de consecuencias de la falla en base a condiciones actuales y la Clasificación de Consecuencias mayor (incluyendo “Extrema”) -  b) Informado por la gama de requisitos definidos por los diseños preliminares, ya sea:  - Implementar el diseño para los criterios de carga de la Clasificación de Consecuencias “Extremas”; o  - Implementar el diseño para el criterio de Clasificación de Consecuencias actual o uno más elevado, y demostrar factibilidad, a nivel de prueba de concepto, para mejorar el diseño para que el criterio de clasificación “Extrema” se mantenga a lo largo del ciclo de vida de la instalación de relaves.  c) Si se implementa la opción B.2, revisar la clasificación de las consecuencias de la falla al momento de la Revisión de Seguridad de Represas (RSR) y por lo menos cada cinco años, o más pronto si se da un cambio material en el contexto social, medioambiental y económico local, y completar la actualización de la instalación de relaves acorde a la nueva Clasificación de Consecuencias según lo determinado por la RSR dentro de tres años. Esta revisión procederá hasta que la instalación de relaves haya sido cerrada de forma segura de acuerdo a este Estándar. d) El proceso descrito anteriormente será revisado por la Junta de Revisión de Relaves Independiente (ITRB) o el revisor técnico senior independiente, como sea adecuado para la Clasificación de Consecuencias de la instalación de relaves.     Sujeto al Requisito 4.7, los Requisitos 4.2c y 4.2 también serán aplicados a instalaciones de relaves existentes. </t>
  </si>
  <si>
    <t xml:space="preserve"> 4.2 - A</t>
  </si>
  <si>
    <t xml:space="preserve"> 4.2 - A Se preparan diseños preliminares para la instalación de relaves, con consideración de las etapas del ciclo de vida, utilizando criterios de carga de diseños externos consistentes con la clasificación de consecuencias de fallas basada en condiciones actuales y la Clasificación de Consecuencias mayor (incluyendo “Extrema”). </t>
  </si>
  <si>
    <t>C038</t>
  </si>
  <si>
    <t xml:space="preserve"> 4.2 - B</t>
  </si>
  <si>
    <t xml:space="preserve"> 4.2 - B Adoptar (i) los criterios de carga externa de la Clasificación de Consecuencias “Extrema”, o (ii) adoptar los criterios de carga de la Clasificación de Consecuencias actual o una mayor, y demostrar la factibilidad, a nivel de prueba de concepto, para mejorar el diseño para que el criterio de clasificación “Extremo” se mantenga a lo largo del ciclo de vida de la instalación de relaves. </t>
  </si>
  <si>
    <t>C039</t>
  </si>
  <si>
    <t xml:space="preserve"> 4.2 - C</t>
  </si>
  <si>
    <t xml:space="preserve"> 4.2 - C Si la opción b(ii) anterior es implementada, la Clasificación de Consecuencias es revisada al momento de la Revisión de Seguridad de Represas (DRS) 1 y por lo menos cada cinco años, o antes si se da algún cambio material en el contexto social, medioambiental o económico local, y completar la mejora de la instalación de relaves conforme a la nueva Clasificación de Consecuencias determinada por la DSR dentro de tres años. Esta revisión procederá hasta que la instalación de relaves haya sido cerrada de forma segura de acuerdo a este Estándar. </t>
  </si>
  <si>
    <t>C040</t>
  </si>
  <si>
    <t xml:space="preserve"> 4.2 - D</t>
  </si>
  <si>
    <t xml:space="preserve"> 4.2 - D El proceso descrito en a, b y c, deberá ser revisado por la Junta de Revisión de Relaves Independiente (ITRB) o el revisor técnico senior independiente, según sea apropiado para la Clasificación de Consecuencias de la instalación de relaves. </t>
  </si>
  <si>
    <t>C041</t>
  </si>
  <si>
    <t xml:space="preserve"> 4.2 - E</t>
  </si>
  <si>
    <t xml:space="preserve"> 4.2 - E Sujeto al Requisito 4.7, los Requisitos 4.2 c y 4.2 d deberán aplicarse también a instalaciones de relaves existentes. </t>
  </si>
  <si>
    <t>C042</t>
  </si>
  <si>
    <t>Requisito 04.3</t>
  </si>
  <si>
    <t xml:space="preserve">Requisito 04.3 El Ejecutivo Responsable deberá tomar la decisión de adoptar un diseño para el criterio actual de Clasificación de Consecuencias y para mantener la flexibilidad para actualizar el diseño al criterio de clasificación más elevado posteriormente en el ciclo de vida de la instalación de relaves. Esta decisión deberá ser documentada. </t>
  </si>
  <si>
    <t xml:space="preserve"> 4.3 - A</t>
  </si>
  <si>
    <t xml:space="preserve"> 4.3 - A Las cargas extremas ya están en su lugar.</t>
  </si>
  <si>
    <t>C043</t>
  </si>
  <si>
    <t xml:space="preserve"> 4.3 - B</t>
  </si>
  <si>
    <t xml:space="preserve"> 4.3 - B Si no se adopta el criterio de carga externo de Clasificación de Consecuencias Extremas, el Ejecutivo Responsable deberá tomar la decisión de adoptar un diseño para el criterio actual de Clasificación de Consecuencias y mantener la flexibilidad para actualizar el diseño para el criterio de clasificación más alto más adelante en el ciclo de vida de la instalación de relaves. </t>
  </si>
  <si>
    <t>C044</t>
  </si>
  <si>
    <t>Requisito 04.4</t>
  </si>
  <si>
    <t>Requisito 04.4 Seleccionar, identificar explícitamente y documentar todos los criterios de diseño que son adecuados para minimizar los riesgos de todos los modelos de falla creíbles para todas las fases del ciclo de vida de la instalación de relaves</t>
  </si>
  <si>
    <t xml:space="preserve"> 4.4 - A</t>
  </si>
  <si>
    <t xml:space="preserve"> 4.4 - A Seleccionar e identificar criterios de diseño que son adecuados para minimizar los riesgos para todos los modelos de falla creíbles durante cada fase del ciclo de vida de la instalación de relaves. </t>
  </si>
  <si>
    <t>C045</t>
  </si>
  <si>
    <t xml:space="preserve"> 4.4 - B</t>
  </si>
  <si>
    <t xml:space="preserve"> 4.4 - B Documentar el razonamiento detrás del criterio de diseño seleccionado para minimizar riesgos. </t>
  </si>
  <si>
    <t>C046</t>
  </si>
  <si>
    <t>Requisito 04.5</t>
  </si>
  <si>
    <t xml:space="preserve">Requisito 04.5 Aplicar criterios de diseño, tales como factores de seguridad para la estabilidad de taludes y el manejo de filtraciones, que consideren las propiedades estimadas de los materiales y el desempeño esperado de los elementos de diseño, y la calidad de la implementación de los sistemas de gestión de riesgos. Estos problemas </t>
  </si>
  <si>
    <t xml:space="preserve"> 4.5 - A</t>
  </si>
  <si>
    <t xml:space="preserve"> 4.5 - A Un desarrollo y aplicación de un criterio de diseño1 tales como factores de seguridad para la estabilidad de taludes y manejo de filtraciones, para cada fase del ciclo de vida que considere: las propiedades operativas2 estimadas de los materiales y desempeño esperado de los elementos de diseño  y la calidad de la implementación de los sistemas de gestión de riesgos. </t>
  </si>
  <si>
    <t>C047</t>
  </si>
  <si>
    <t xml:space="preserve"> 4.5 - B</t>
  </si>
  <si>
    <t xml:space="preserve"> 4.5 - B Tener en cuenta estos problemas de diseño e implementación en las evaluaciones que estén basadas en análisis de deformación. </t>
  </si>
  <si>
    <t>C048</t>
  </si>
  <si>
    <t>Requisito 04.6</t>
  </si>
  <si>
    <t xml:space="preserve">Requisito 04.6 Identificar y abarcar los modelos de falla frágil con un criterio de diseño conservador, independiente de mecanismos de activación, para minimizar su impacto en el desempeño de la instalación de relaves. </t>
  </si>
  <si>
    <t xml:space="preserve"> 4.6 - A</t>
  </si>
  <si>
    <t xml:space="preserve"> 4.6 - A Se documenta una evaluación del potencial del modelo de falla frágil y se abordan los análisis en el Reporte de Diseño Base (DBR). </t>
  </si>
  <si>
    <t>C049</t>
  </si>
  <si>
    <t>Requisito 04.7</t>
  </si>
  <si>
    <t xml:space="preserve">Requisito 04.7 Las Instalaciones de relaves existentes deben cumplir con los Requisitos bajo el Principio 4, a excepción de aquellos aspectos en los que el Ingeniero de Registro (EOR), con revisión por parte de la ITRB o un revisor técnico senior independiente, determine que la mejorar de una instalación de relaves existente no es viable o no se puede aplicar de forma retroactiva. En este caso el Ejecutivo Responsable deberá aprobar y documentar la implementación de las medidas para reducir tanto la probabilidad de, como las consecuencias de una falla de una instalación de relaves, para así reducir el riesgo a un nivel tan bajo como sea razonablemente factible (ALARP). La base y el tiempo para abordar la mejora de instalaciones de relaves existentes deberá estar informado sobre los riesgos y debe llevarse a cabo tan pronto como sea razonablemente posible. </t>
  </si>
  <si>
    <t xml:space="preserve"> 4.7 - A</t>
  </si>
  <si>
    <t xml:space="preserve"> 4.7 - A Que las instalaciones de relaves existentes deberán cumplir con los requisitos bajo el Principio 4, a excepción de aquellos aspectos donde el Ingeniero de Registro (EOR), con revisión de la ITRB o de un revisor técnico senior independiente, como sea adecuado, determine que una mejora de una instalación de relaves existente no es requerida, viable o no se puede aplicar de forma retroactiva. </t>
  </si>
  <si>
    <t>C050</t>
  </si>
  <si>
    <t xml:space="preserve"> 4.7 - B</t>
  </si>
  <si>
    <t xml:space="preserve"> 4.7 - B Que si la condición (a). de arriba aplica, el Ejecutivo Responsable deberá aprobar y documentar la implementación de medidas para reducir tanto la probabilidad de, como las consecuencias de una falla de una instalación de relaves para reducir el riesgo a un nivel tan bajo como sea razonablemente factible (ALARP). </t>
  </si>
  <si>
    <t>C051</t>
  </si>
  <si>
    <t xml:space="preserve"> 4.7 - C</t>
  </si>
  <si>
    <t xml:space="preserve"> 4.7 - C La base y tiempo para abordar la mejora de las instalaciones de relaves existentes deberá estar informado sobre los riesgos y debe llevarse a cabo tan pronto como sea razonablemente factible. </t>
  </si>
  <si>
    <t>C052</t>
  </si>
  <si>
    <t>Requisito 04.8</t>
  </si>
  <si>
    <t xml:space="preserve">Requisito 04.8 El EOR deberá preparar un Reporte de Base de Diseño (DBR) que detalle las hipótesis y criterios del diseño, incluyendo las restricciones de operación, y que proporcione una base para el diseño de todas las fases del ciclo de vida de la instalación de relaves. El DBR deberá ser revisado por la ITRB o por un revisor técnico senior independiente. El EOR deberá actualizar el DBR cada vez que haya un cambio material en las hipótesis de diseño, criterios de diseño, diseño o base de conocimiento y confirmar la consistencia entre estos elementos. </t>
  </si>
  <si>
    <t xml:space="preserve"> 4.8 - A</t>
  </si>
  <si>
    <t xml:space="preserve"> 4.8 - A Que el EOR preparará un Reporte de Base de Diseño (DBR) 1, 2, que detalle las hipótesis y criterios de diseño, incluyendo las restricciones de operación, y que proporcione la base para el diseño de todas las fases del ciclo de vida de la instalación de relaves. </t>
  </si>
  <si>
    <t>C053</t>
  </si>
  <si>
    <t xml:space="preserve"> 4.8 - B</t>
  </si>
  <si>
    <t xml:space="preserve"> 4.8 - B Que el DBR será revisado por la ITRB o el revisor técnico senior independiente. </t>
  </si>
  <si>
    <t>C054</t>
  </si>
  <si>
    <t xml:space="preserve"> 4.8 - C</t>
  </si>
  <si>
    <t xml:space="preserve"> 4.8 - C Que el EOR actualizará el DBR cada vez que haya un cambio material en las hipótesis del diseño, criterios del diseño, diseño o base de conocimiento y confirmar la consistencia interna entre estos elementos. </t>
  </si>
  <si>
    <t>C055</t>
  </si>
  <si>
    <t>Principio 05</t>
  </si>
  <si>
    <t xml:space="preserve"> Desarrollar un diseño sólido que integre la base de conocimientos y minimice el riesgo de falla que pueda afectar a las personas y el medio ambiente durante todas las fases del ciclo de vida de la instalación de relaves, incluso el cierre y post cierre.</t>
  </si>
  <si>
    <t>Requisito 05.1</t>
  </si>
  <si>
    <t xml:space="preserve">Requisito 05.1 Para las nuevas instalaciones de relaves, incorporar el resultado del análisis de alternativas de criterio múltiple incluyendo el uso de tecnologías de relaves en el diseño de la instalación de relaves. Para expansiones de instalaciones de relaves existentes, investigar el potencial para refinar las tecnologías de relaves y enfoques de diseño con el objetivo de minimizar los riesgos a las personas y medioambiente a lo largo del ciclo de vida de la instalación de relaves. </t>
  </si>
  <si>
    <t xml:space="preserve"> 5.1 - A</t>
  </si>
  <si>
    <t xml:space="preserve"> 5.1 - A Que, para las nuevas instalaciones de relaves, el diseño incorpora los resultados del análisis de alternativas1 (según el Requisito 3.2). </t>
  </si>
  <si>
    <t>C056</t>
  </si>
  <si>
    <t xml:space="preserve"> 5.1 - B</t>
  </si>
  <si>
    <t xml:space="preserve"> 5.1 - B Que, para las expansiones de instalaciones existentes, se evalúan los resultados de las revisiones periódicas de refinamientos potenciales de tecnologías de relaves y enfoques de diseño (según Requisito 3.2). </t>
  </si>
  <si>
    <t>C057</t>
  </si>
  <si>
    <t xml:space="preserve"> 5.1 - C</t>
  </si>
  <si>
    <t xml:space="preserve"> 5.1 - C Donde el diseño difiere del análisis de alternativas, hay una justificación que incorpora el objetivo de minimizar los riesgos a las personas y medioambiente a lo largo del ciclo de vida de la instalación de relaves. </t>
  </si>
  <si>
    <t>C058</t>
  </si>
  <si>
    <t>Requisito 05.2</t>
  </si>
  <si>
    <t xml:space="preserve">Requisito 05.2 Desarrollar un diseño robusto que considere el contexto técnico, social, medioambiental y económico local, la Clasificación de Consecuencias de una instalación de relaves, condiciones del sitio, gestión de aguas, operaciones de la planta minera, problemas operacionales y de construcción de relaves, y que demuestre la factibilidad de un cierre seguro de la instalación de relaves. El diseño debe ser revisado y actualizado conforme el desempeño y los datos de sitio lleguen a estar disponibles y en respuesta a los cambios materiales a la instalación de relaves o su desempeño. </t>
  </si>
  <si>
    <t xml:space="preserve"> 5.2 - A</t>
  </si>
  <si>
    <t xml:space="preserve"> 5.2 - A Que un diseño robusto1,2 considera: - El contexto técnico, social, medioambiental, y económico local de la instalación de relaves. - La Clasificación de Consecuencias, condiciones del sitio, gestión de aguas, operaciones de planta minera, y problemas operacionales y de construcción de relaves. - El diseño muestra la factibilidad del cierre seguro de la instalación de relaves. </t>
  </si>
  <si>
    <t>C059</t>
  </si>
  <si>
    <t xml:space="preserve"> 5.2 - B</t>
  </si>
  <si>
    <t xml:space="preserve"> 5.2 - B El diseño es revisado y actualizado a la vez que el desempeño y los datos desempeño de sitio lleguen a estar disponibles a través del ciclo de vida de la instalación de relaves y/o en respuesta a los cambios materiales. </t>
  </si>
  <si>
    <t>C060</t>
  </si>
  <si>
    <t>Requisito 05.3</t>
  </si>
  <si>
    <t xml:space="preserve">Requisito 05.3 Desarrollar, implementar y mantener un modelo de balance de aguas y planes de tratamiento de aguas asociados para la instalación de relaves, tomando en cuenta la base del conocimiento, incluyendo el cambio climático, las cuencas hidrológicas e hidrogeológicas aguas arriba y aguas abajo, el sitio de la mina, planificación minera y operaciones en general y la integridad de la instalación de relaves a lo largo de su ciclo de vida. El programa de tratamiento de aguas debe diseñarse para protegerse contra descargas involuntarias. </t>
  </si>
  <si>
    <t xml:space="preserve"> 5.3 - A</t>
  </si>
  <si>
    <t xml:space="preserve"> 5.3 - A Un plan de tratamiento de aguas1,3 que tome en consideración la base del conocimiento, el plan minero para el estado actual del ciclo de vida de la instalación de relaves, cuencas hidrológicas e hidrogeológicas aguas arriba y aguas abajo, y el potencial para el cambio climático. </t>
  </si>
  <si>
    <t>C061</t>
  </si>
  <si>
    <t xml:space="preserve"> 5.3 - B</t>
  </si>
  <si>
    <t xml:space="preserve"> 5.3 - B Un modelo de balance de aguas2,3 que considere el plan general de tratamiento de aguas. </t>
  </si>
  <si>
    <t>C062</t>
  </si>
  <si>
    <t xml:space="preserve"> 5.3 - C</t>
  </si>
  <si>
    <t xml:space="preserve"> 5.3 - C El plan de tratamiento de aguas y el balance de aguas abarcan la seguridad de la instalación de relaves y la prevención de descargas involuntarias. </t>
  </si>
  <si>
    <t>C063</t>
  </si>
  <si>
    <t>Requisito 05.4</t>
  </si>
  <si>
    <t>Requisito 05.4 Abarcar todos los modelos de falla potencial de la estructura, su fundación, estribos, reservorio (depósitos de relaves y poza de agua recuperada), borde del embalse y estructuras de apertura para minimizar el riesgo con ALARP. Se deben utilizar las evaluaciones de riegos para informar el diseño.</t>
  </si>
  <si>
    <t xml:space="preserve"> 5.4 - A</t>
  </si>
  <si>
    <t xml:space="preserve"> 5.4 - A Modelos de falla potencial a la estructura, su fundación, estribos, reservorio (depósitos de relaves y poza de agua recuperada)), Borde del embalse, y estructuras de apertura son identificadas y categorizadas por las evaluaciones de riesgos, y abarcadas a través de medidas preventivas incorporadas en el diseño y/o a través de controles operativos. </t>
  </si>
  <si>
    <t>C064</t>
  </si>
  <si>
    <t xml:space="preserve"> 5.4 - B</t>
  </si>
  <si>
    <t xml:space="preserve"> 5.4 - B Evaluaciones de riesgos son utilizadas para informar el diseño para minimizar el riesgo al ALARP. Evaluaciones de riesgo deben utilizarse para determinar si los modelos/escenarios de falla creíbles son fiables. </t>
  </si>
  <si>
    <t>C065</t>
  </si>
  <si>
    <t>Requisito 05.5</t>
  </si>
  <si>
    <t>Requisito 05.5 Desarrollar un diseño para cada etapa para la construcción de la instalación de relaves, incluyendo, pero no limitándose al inicio, levantamiento parcial y configuraciones internas, levantamiento final y todas las etapas de cierre.</t>
  </si>
  <si>
    <t xml:space="preserve"> 5.5 - A</t>
  </si>
  <si>
    <t xml:space="preserve"> 5.5 - A Se realizan diseños para cada etapa de construcción1 de la instalación de relaves, incluyendo, pero no limitándose al inicio, levantamiento parcial y configuraciones internas, levantamiento final, y todas las etapas de cierre previas a la construcción. El nivel de detalle del diseño debe ser acorde a la fase del ciclo de vida de la instalación de relaves. </t>
  </si>
  <si>
    <t>C066</t>
  </si>
  <si>
    <t>Requisito 05.6</t>
  </si>
  <si>
    <t>Requisito 05.6 Diseñar la fase de cierre de forma tal que cumpla con todos los Requisitos del Estándar con suficiente detalle para demostrar la factibilidad del escenario de cierre y permitir la implementación de los elementos del diseño durante la construcción y operación según sea adecuado. El diseño debe incluir el cierre progresivo y la recuperación durante operaciones.</t>
  </si>
  <si>
    <t xml:space="preserve"> 5.6 - A</t>
  </si>
  <si>
    <t xml:space="preserve"> 5.6 - A El diseño de cierre1 cumple con todos los Requisitos del Estándar con suficiente detalle para demostrar la factibilidad del escenario de cierre. </t>
  </si>
  <si>
    <t>C067</t>
  </si>
  <si>
    <t xml:space="preserve"> 5.6 - B</t>
  </si>
  <si>
    <t xml:space="preserve"> 5.6 - B El diseño de cierre permite la implementación del diseño de cierre durante la construcción y operación según sea adecuado. </t>
  </si>
  <si>
    <t>C068</t>
  </si>
  <si>
    <t xml:space="preserve"> 5.6 - C</t>
  </si>
  <si>
    <t xml:space="preserve"> 5.6 - C El diseño incluye el cierre progresivo y la recuperación durante operaciones. </t>
  </si>
  <si>
    <t>C069</t>
  </si>
  <si>
    <t>Requisito 05.7</t>
  </si>
  <si>
    <t xml:space="preserve">Requisito 05.7 Para una nueva instalación de relaves propuesta clasificada como "Alta", "Muy Alta" o "Extrema", el Ejecutivo Responsable deberá confirmar que el diseño cumpla con el ALARP y deberá aprobar pasos razonables adicionales que puedan tomarse aguas abajo, para poder reducir aún más las consecuencias potenciales hacia las personas y medioambiente. El Ejecutivo Responsable deberá explicar y documentar las decisiones con respecto al ALARP y las medidas de reducción de consecuencias adicionales. Para una instalación de relaves existente clasificada como "Alta", "Muy Alta" o "Extrema", el Ejecutivo Responsable, al momento de cada RSR o por lo menos cada cinco años, deberá confirmar que el diseño cumpla con el ALARP y deberá buscar identificar e implementar pasos adicionales razonables que puedan tomarse para poder reducir aún más las potenciales consecuencias hacia las personas y medioambiente. El Ejecutivo Responsable deberá explicar y documentar las decisiones con respecto al ALARP y las medidas de reducción de consecuencias adicionales, consultando con grupos externos de ser adecuado. </t>
  </si>
  <si>
    <t xml:space="preserve"> 5.7 - A</t>
  </si>
  <si>
    <t xml:space="preserve"> 5.7 - A Confirmar que el diseño cumpla con ALARP.</t>
  </si>
  <si>
    <t>C070</t>
  </si>
  <si>
    <t xml:space="preserve"> 5.7 - B</t>
  </si>
  <si>
    <t xml:space="preserve"> 5.7 - B Aprobar pasos adicionales razonables que se puedan tomar aguas abajo, para reducir aún más las consecuencias potenciales hacia las personas y medioambiente. </t>
  </si>
  <si>
    <t>C071</t>
  </si>
  <si>
    <t xml:space="preserve"> 5.7 - C</t>
  </si>
  <si>
    <t xml:space="preserve"> 5.7 - C Explicar y documentar las decisiones con respecto al ALARP y medidas de reducción de consecuencias adicionales. Para una instalación de relaves existente, el Ejecutivo Responsable, al momento de cada DSR o al menos cada cinco años, deberá: </t>
  </si>
  <si>
    <t>C072</t>
  </si>
  <si>
    <t xml:space="preserve"> 5.7 - D</t>
  </si>
  <si>
    <t xml:space="preserve"> 5.7 - D Confirmar que el diseño cumpla con ALARP. </t>
  </si>
  <si>
    <t>C073</t>
  </si>
  <si>
    <t xml:space="preserve"> 5.7 - E</t>
  </si>
  <si>
    <t xml:space="preserve"> 5.7 - E Buscar la identificación e implementación de pasos razonables adicionales que se puedan tomar para reducir aún más las consecuencias potenciales hacia las personas y medioambiente. </t>
  </si>
  <si>
    <t>C074</t>
  </si>
  <si>
    <t xml:space="preserve"> 5.7 - F</t>
  </si>
  <si>
    <t xml:space="preserve"> 5.7 - F Explicar y documentar las decisiones con respecto al ALARP y medidas de reducción de consecuencias adicionales, consultando con grupos externos de ser adecuado. </t>
  </si>
  <si>
    <t>C075</t>
  </si>
  <si>
    <t>Requisito 05.8</t>
  </si>
  <si>
    <t xml:space="preserve">Requisito 05.8 Al haberse agotado las medidas para reducir las consecuencias de un modelo de falla creíble de una instalación de relaves conforme al análisis de brechas, y al no poderse evitar un reasentamiento preventivo, el Operador deberá demostrar cumplimiento con los estándares internacionales respecto al reasentamiento involuntario. </t>
  </si>
  <si>
    <t xml:space="preserve"> 5.8 - A</t>
  </si>
  <si>
    <t xml:space="preserve"> 5.8 - A Los Operadores que poseen una instalación con un modelo de falla creíble, conforme al análisis de brecha, han agotado las medidas para reducir las consecuencias y no pueden evitar un reasentamiento preventivo. </t>
  </si>
  <si>
    <t>C076</t>
  </si>
  <si>
    <t xml:space="preserve"> 5.8 - B</t>
  </si>
  <si>
    <t xml:space="preserve"> 5.8 - B El Operador ha cumplido con los estándares internacionales para el reasentamiento involuntario. </t>
  </si>
  <si>
    <t>C077</t>
  </si>
  <si>
    <t>Principio 06</t>
  </si>
  <si>
    <t>Planificar, construir y operar la instalación de relaves para gestionar el riesgo en todas las fases de su ciclo de vida, incluidas la fase de cierre y el post cierre.</t>
  </si>
  <si>
    <t>Requisito 06.1</t>
  </si>
  <si>
    <t xml:space="preserve">Requisito 06.1 Construir, operar, monitorear y crear la instalación de relaves de acuerdo a la intención del diseño en todas las fases del ciclo de vida de la instalación de relaves, utilizando personal calificado y metodología, equipo y procedimientos adecuados, métodos de adquisición de datos, el Sistema de Tratamiento de Relaves (STR) y el Sistema de Gestión Medioambiental y Social (SGMS) general para la mina e infraestructura asociada. </t>
  </si>
  <si>
    <t xml:space="preserve"> 6.1 - A</t>
  </si>
  <si>
    <t xml:space="preserve"> 6.1 - A La intención del diseño, establecida en el DBR, es comprendida e implementada para la construcción, operación y cierre de cada fase del ciclo de vida de la instalación de relaves. </t>
  </si>
  <si>
    <t>C078</t>
  </si>
  <si>
    <t xml:space="preserve"> 6.1 - B</t>
  </si>
  <si>
    <t xml:space="preserve"> 6.1 - B El personal de construcción y operación asignado a las tareas relacionadas a los relaves están calificados en base a las cualidades definidas en el Sistema de Tratamiento de Relaves (TMS). </t>
  </si>
  <si>
    <t>C079</t>
  </si>
  <si>
    <t xml:space="preserve"> 6.1 - C</t>
  </si>
  <si>
    <t xml:space="preserve"> 6.1 - C A lo largo de las etapas del ciclo de vida de la instalación de relaves se utiliza la metodología, equipo y procedimientos1 adecuados, métodos de adquisición de datos son utilizados e incorporados dentro del TMS y en el Sistema de Gestión Medioambiental y Social (ESMS) para la mina e infraestructura asociada. </t>
  </si>
  <si>
    <t>C080</t>
  </si>
  <si>
    <t xml:space="preserve"> 6.1 - D</t>
  </si>
  <si>
    <t xml:space="preserve"> 6.1 - D El TMS y el ESMS son implementados durante la construcción, operación y cierre. </t>
  </si>
  <si>
    <t>C081</t>
  </si>
  <si>
    <t>Requisito 06.2</t>
  </si>
  <si>
    <t xml:space="preserve">Requisito 06.2 Gestionar la calidad y adecuación de los procesos de construcción y operación al implementar Control de Calidad, Aseguramiento de Calidad y Construcción frente a Verificación de Intención del Diseño (CDIV). El Operador utilizará el CDIV para asegurar que la intención del diseño se implemente y se siga cumpliendo si las condiciones del sitio difieren de las suposiciones del diseño. </t>
  </si>
  <si>
    <t xml:space="preserve"> 6.2 - A</t>
  </si>
  <si>
    <t xml:space="preserve"> 6.2 - A Programas de Control de Calidad1 (QC) y Aseguramiento de Calidad2 (QA) sean establecidos para supervisar la calidad y adecuación de los procesos de construcción2 y operación. </t>
  </si>
  <si>
    <t>C082</t>
  </si>
  <si>
    <t xml:space="preserve"> 6.2 - B</t>
  </si>
  <si>
    <t xml:space="preserve"> 6.2 - B Se cumple con un programa CDIV que confirme que se cumpla con la intención de diseño si las condiciones varían a las hipótesis de diseño. </t>
  </si>
  <si>
    <t>C083</t>
  </si>
  <si>
    <t>Requisito 06.3</t>
  </si>
  <si>
    <t>Requisito 06.3 Preparar un Reporte de Registros de Construcción (informe “según obra”) detallado cuando haya un cambio material en la instalación de relaves, su infraestructura o sistema de monitoreo. El EOR y el Ingeniero Responsable de la Instalación de Relaves (RTFE) deberán firmar este reporte.</t>
  </si>
  <si>
    <t xml:space="preserve"> 6.3 - A</t>
  </si>
  <si>
    <t xml:space="preserve"> 6.3 - A Los Reportes de Registros de Construcción (CRR) 1,2,3 están actualizados y listos para cuando haya un cambio material en la instalación de relaves, su infraestructura, o sistema de monitoreo. </t>
  </si>
  <si>
    <t>C084</t>
  </si>
  <si>
    <t xml:space="preserve"> 6.3 - B</t>
  </si>
  <si>
    <t xml:space="preserve"> 6.3 - B Los CRRs han sido firmados por el RTFE y el EOR. </t>
  </si>
  <si>
    <t>C085</t>
  </si>
  <si>
    <t>Requisito 06.4</t>
  </si>
  <si>
    <t xml:space="preserve">Requisito 06.4 Desarrollar, implementar, revisar anualmente y actualizar cuando es debido un Manual de Operación, Mantenimiento y Supervisión (OMS) que respalde la gestión efectiva de riesgos como parte de la TMS. El Manual de OMS debe seguir las mejores prácticas, proporcionar los contextos claros y controles fundamentales para las operaciones seguras y ser revisado para su efectividad. El RTFE debe proporcionar acceso al Manual de OMS y capacitación al personal en todos los niveles involucrados en el TMS con el respaldo del EOR. </t>
  </si>
  <si>
    <t xml:space="preserve"> 6.4 - A</t>
  </si>
  <si>
    <t xml:space="preserve"> 6.4 - A Se implementa un Manual de Operación, Mantenimiento y Supervisión (OMS), cubre todas las instalaciones de relaves e incluye los requisitos para las actividades del manual de OMS necesarias para la gestión eficaz de riesgos basadas en las mejores prácticas. </t>
  </si>
  <si>
    <t>C086</t>
  </si>
  <si>
    <t xml:space="preserve"> 6.4 - B</t>
  </si>
  <si>
    <t xml:space="preserve"> 6.4 - B El manual de OMS se revisa anualmente o más frecuentemente si hay alguna actualización debido a un cambio material según lo defina el Operador. </t>
  </si>
  <si>
    <t>C087</t>
  </si>
  <si>
    <t xml:space="preserve"> 6.4 - C</t>
  </si>
  <si>
    <t xml:space="preserve"> 6.4 - C El manual de OMS proporciona un contexto claro e incluye la inspección, mantenimiento y monitoreo de los requisitos identificados incluyendo los controles fundamentales para la operación segura y es revisado para su eficacia. </t>
  </si>
  <si>
    <t>C088</t>
  </si>
  <si>
    <t xml:space="preserve"> 6.4 - D</t>
  </si>
  <si>
    <t xml:space="preserve"> 6.4 - D El RTFE asegura que el personal involucrado en el TMS tiene acceso al Manual de OMS, </t>
  </si>
  <si>
    <t>C089</t>
  </si>
  <si>
    <t xml:space="preserve"> 6.4 - E</t>
  </si>
  <si>
    <t xml:space="preserve"> 6.4 - E El RTFE debe proporcionar acceso a la capacitación del personal en todos los niveles involucrados en el TMS </t>
  </si>
  <si>
    <t>C090</t>
  </si>
  <si>
    <t>Requisito 06.5</t>
  </si>
  <si>
    <t xml:space="preserve">Requisito 06.5 Implementar un sistema de gestión de cambio formal que desencadene en la evaluación, revisión, aprobación y documentación de cambios al diseño, construcción, operación o monitoreo durante el ciclo de vida de la instalación de relaves. El sistema de gestión de cambio también deberá incluir el requisito para que el EOR prepare un Reporte de Responsabilidad por Desviación (DAR por sus siglas en inglés) que proporcione una evaluación del impacto acumulativo de los cambios a nivel de riesgo de la instalación construida. El DAR deberá proporcionar recomendaciones para la gestión de riesgos, de ser necesario, y de cualquier actualización resultante al diseño, DBR, OMS, y al programa de monitoreo. El DAR deberá ser aprobado por el Ejecutivo Responsable. </t>
  </si>
  <si>
    <t xml:space="preserve"> 6.5 - A</t>
  </si>
  <si>
    <t xml:space="preserve"> 6.5 - A Se establece un Sistema de Gestión de Cambios. </t>
  </si>
  <si>
    <t>C091</t>
  </si>
  <si>
    <t xml:space="preserve"> 6.5 - B</t>
  </si>
  <si>
    <t xml:space="preserve"> 6.5 - B El Sistema de Gestión de Cambios incluye procesos para la identificación de cambios y procesos para la evaluación, revisión, aprobación y documentación de cambios a lo largo del ciclo de vida de la instalación. </t>
  </si>
  <si>
    <t>C092</t>
  </si>
  <si>
    <t xml:space="preserve"> 6.5 - C</t>
  </si>
  <si>
    <t xml:space="preserve"> 6.5 - C El Sistema de Gestión de Cambios abarca y documenta cambios materiales al diseño, construcción, operaciones o monitoreo. </t>
  </si>
  <si>
    <t>C093</t>
  </si>
  <si>
    <t xml:space="preserve"> 6.5 - D</t>
  </si>
  <si>
    <t xml:space="preserve"> 6.5 - D Un DAR es preparado y actualizado periódicamente por el EOR, el cual abarcar el impacto acumulativo de los cambios materiales a la instalación construida. </t>
  </si>
  <si>
    <t>C094</t>
  </si>
  <si>
    <t xml:space="preserve"> 6.5 - E</t>
  </si>
  <si>
    <t xml:space="preserve"> 6.5 - E Se han implementado recomendaciones del DAR a través de actualizaciones para la construcción, diseño, DBR, Manual de OMS y al programa de monitoreo. </t>
  </si>
  <si>
    <t>C095</t>
  </si>
  <si>
    <t xml:space="preserve"> 6.5 - F</t>
  </si>
  <si>
    <t xml:space="preserve"> 6.5 - F El Ejecutivo Responsable ha aprobado el DAR. </t>
  </si>
  <si>
    <t>C096</t>
  </si>
  <si>
    <t>Requisito 06.6</t>
  </si>
  <si>
    <t>Requisito 06.6 Incluir tecnologías y enfoques nuevos y emergentes y utilizar el conocimiento en evolución para la mejora del diseño, construcción y operación de la instalación de relaves.</t>
  </si>
  <si>
    <t xml:space="preserve"> 6.6 - A</t>
  </si>
  <si>
    <t xml:space="preserve"> 6.6 - A Revisiones de nuevas tecnologías y enfoques para el tratamiento de relaves se llevan a cabo considerando el ciclo de vida de la instalación de relaves. </t>
  </si>
  <si>
    <t>C097</t>
  </si>
  <si>
    <t xml:space="preserve"> 6.6 - B</t>
  </si>
  <si>
    <t xml:space="preserve"> 6.6 - B Los resultados materiales de las revisiones han sido incorporados en las mejoras del diseño, construcción y operación de la instalación. </t>
  </si>
  <si>
    <t>C098</t>
  </si>
  <si>
    <t>Principio 07</t>
  </si>
  <si>
    <t xml:space="preserve"> Diseñar, establecer y operar sistemas de monitoreo para la gestión de riesgos en todas las fases del ciclo de vida de la instalación de relaves, incluso su cierre.</t>
  </si>
  <si>
    <t>Requisito 07.1</t>
  </si>
  <si>
    <t xml:space="preserve">Requisito 07.1 Diseñar, implementar y operar un programa de monitoreo de desempeño completo e integrado para la instalación de relaves y sus estructuras correspondientes como parte del TMS y para aquellos aspectos del ESMS relacionados a la instalación de relaves en cumplimiento a los principios de Gestión Adaptativa. </t>
  </si>
  <si>
    <t xml:space="preserve"> 7.1 - A</t>
  </si>
  <si>
    <t xml:space="preserve"> 7.1 - A Se ha desarrollado un programa de monitoreo de desempeño integrado completo para la instalación de relaves y sus estructuras correspondientes y forma parte del TMS, e incluye actividades para la inspección, revisión, y requisitos de monitoreo en regla con la instalación del manual de OMS. </t>
  </si>
  <si>
    <t>C099</t>
  </si>
  <si>
    <t xml:space="preserve"> 7.1 - B</t>
  </si>
  <si>
    <t xml:space="preserve"> 7.1 - B Los aspectos del ESMS que están vinculados al monitoreo del desempeño de la instalación de relaves son identificados e incluidos en el programa de monitoreo de desempeño. </t>
  </si>
  <si>
    <t>C100</t>
  </si>
  <si>
    <t xml:space="preserve"> 7.1 - C</t>
  </si>
  <si>
    <t xml:space="preserve"> 7.1 - C El programa de monitoreo de desempeño es integrado y refleja otros programas tales como el manual de OMS y se actualiza manteniendo los principios de la Gestión Adaptativa. </t>
  </si>
  <si>
    <t>C101</t>
  </si>
  <si>
    <t>Requisito 07.2</t>
  </si>
  <si>
    <t xml:space="preserve">Requisito 07.2 Diseñar, implementar y operar un sistema de monitoreo de ingeniería completo e integrado que es adecuado para verificar hipótesis en el diseño y para monitores modelos de falla potenciales. Se adoptará una implementación completa del Método de Observación para los modelos de falla no frágiles. Los modelos de falla frágiles serán abordados con un criterio de diseño conservador. </t>
  </si>
  <si>
    <t xml:space="preserve"> 7.2 - A</t>
  </si>
  <si>
    <t xml:space="preserve"> 7.2 - A Un sistema de monitoreo de ingeniería completo e integrado1 ha sido diseñado y utilizado para verificar variables en el diseño y para monitorear modelos de falla potenciales. </t>
  </si>
  <si>
    <t>C102</t>
  </si>
  <si>
    <t xml:space="preserve"> 7.2 - B</t>
  </si>
  <si>
    <t xml:space="preserve"> 7.2 - B Los procedimientos de monitoreo para modelos de falla no frágiles son desarrollados e implementados para respaldar el Método de Observación. </t>
  </si>
  <si>
    <t>C103</t>
  </si>
  <si>
    <t xml:space="preserve"> 7.2 - C</t>
  </si>
  <si>
    <t xml:space="preserve"> 7.2 - C Los modelos de falla frágiles son abordados con un criterio de diseño conservador. </t>
  </si>
  <si>
    <t>C104</t>
  </si>
  <si>
    <t>Requisito 07.3</t>
  </si>
  <si>
    <t xml:space="preserve">Requisito 07.3 Establecer objetivos de desempeño, indicadores, criterios y parámetros de desempeño específicos y cuantificables e incluirlos en el diseño de los programas de monitoreo que midan el desempeño a lo largo del ciclo de vida de la instalación de relaves. Registrar y evaluar los datos en las frecuencias adecuadas. Basándose en los datos obtenidos, actualizar los programas de monitoreo a lo largo del ciclo de vida de la instalación de relaves para confirmar que se mantienen efectivos para gestionar los riesgos. </t>
  </si>
  <si>
    <t xml:space="preserve"> 7.3 - A</t>
  </si>
  <si>
    <t xml:space="preserve"> 7.3 - A Objetivos, indicadores y criterios de desempeño1 se establecen que miden el desempeño de la instalación de relaves. Estos son específicos y cuantificables y se incluyen en los programas de monitoreo. </t>
  </si>
  <si>
    <t>C105</t>
  </si>
  <si>
    <t xml:space="preserve"> 7.3 - B</t>
  </si>
  <si>
    <t xml:space="preserve"> 7.3 - B Se realizan inspecciones, monitoreos, pruebas, registros, evaluaciones y reportes de rutina y regulares de los datos de los programas de monitoreo de acuerdo con la frecuencia adecuada establecida. </t>
  </si>
  <si>
    <t>C106</t>
  </si>
  <si>
    <t xml:space="preserve"> 7.3 - C</t>
  </si>
  <si>
    <t xml:space="preserve"> 7.3 - C El programa de monitoreo es actualizado a lo largo del ciclo de vida de la instalación de relaves en base a la evaluación de los datos para confirmar que los objetivos, indicadores y criterios de desempeño se mantienen efectivos para gestionar riesgos. </t>
  </si>
  <si>
    <t>C107</t>
  </si>
  <si>
    <t>Requisito 07.4</t>
  </si>
  <si>
    <t xml:space="preserve">Requisito 07.4 Analizar datos de monitoreo técnico con la frecuencia recomendada por el EOR, y evaluar el desempeño de la instalación de relaves, identificando claramente y presentando evidencia de cualquier desviación sobre el desempeño esperado y cualquier deterioro del desempeño con el paso del tiempo. Presentar la evidencia al EOR con prontitud para la revisión y actualización de la evaluación y diseño de riesgo, de ser necesario. El desempeño fuera de los rangos esperados será abordado con prontitud a través de los Planes de Acción de Respuesta Desencadenada (TARPs, por sus siglas en inglés) </t>
  </si>
  <si>
    <t xml:space="preserve"> 7.4 - A</t>
  </si>
  <si>
    <t xml:space="preserve"> 7.4 - A El desempeño de la instalación de relaves se evalúa al analizar los datos técnicos de monitoreo con la frecuencia establecida por el EOR. </t>
  </si>
  <si>
    <t>C108</t>
  </si>
  <si>
    <t xml:space="preserve"> 7.4 - B</t>
  </si>
  <si>
    <t xml:space="preserve"> 7.4 - B El análisis de los datos técnicos de monitoreo de la instalación de relaves identifica claramente y presentan evidencia de las desviaciones de los objetivos de desempeño esperados y el deterioro del desempeño de la instalación de relaves con el paso del tiempo. </t>
  </si>
  <si>
    <t>C109</t>
  </si>
  <si>
    <t xml:space="preserve"> 7.4 - C</t>
  </si>
  <si>
    <t xml:space="preserve"> 7.4 - C Los resultados del análisis del monitoreo de desempeño de la instalación de relaves son reportados con prontitud al EOR. </t>
  </si>
  <si>
    <t>C110</t>
  </si>
  <si>
    <t xml:space="preserve"> 7.4 - D</t>
  </si>
  <si>
    <t xml:space="preserve"> 7.4 - D El EOR revisa con prontitud los resultados del análisis del monitoreo de desempeño de la instalación de relaves y si es requerido, indicará que se actualice la evaluación de riesgos y el diseño. </t>
  </si>
  <si>
    <t>C111</t>
  </si>
  <si>
    <t xml:space="preserve"> 7.4 - E</t>
  </si>
  <si>
    <t xml:space="preserve"> 7.4 - E Las expectativas de desempeño se incorporaron a los Planes de Acción de Respuesta Desencadenante o a los criterios fundamentales para indicar cuando una acción es o no necesaria. </t>
  </si>
  <si>
    <t>C112</t>
  </si>
  <si>
    <t>Requisito 07.5</t>
  </si>
  <si>
    <t xml:space="preserve">Requisito 07.5 Reportar los resultados de cada uno de los programas de monitoreo con la frecuencia requerida para cumplir con los requisitos reglamentarios y de la compañía y como mínimo anualmente. El RTFE y el EOR deberán revisar y aprobar los reportes técnicos de monitoreo. </t>
  </si>
  <si>
    <t xml:space="preserve"> 7.5 - A</t>
  </si>
  <si>
    <t xml:space="preserve"> 7.5 - A Los resultados de los programas de monitoreo se reportan con una frecuencia que cumpla las expectativas de la compañía y los requisitos reglamentarios y como mínimo que se complete anualmente. </t>
  </si>
  <si>
    <t>C113</t>
  </si>
  <si>
    <t xml:space="preserve"> 7.5 - B</t>
  </si>
  <si>
    <t xml:space="preserve"> 7.5 - B Los reportes de monitoreo técnicos son revisados y aprobados por el RTFE y el EOR. </t>
  </si>
  <si>
    <t>C114</t>
  </si>
  <si>
    <t>IV</t>
  </si>
  <si>
    <t>GESTIÓN Y GOBERNANZA</t>
  </si>
  <si>
    <t>Principio 08</t>
  </si>
  <si>
    <t>Establecer las políticas, sistemas y rendiciones de cuenta (accountability) para respaldar la seguridad e integridad de las instalaciones de relaves.</t>
  </si>
  <si>
    <t>Requisito 08.1</t>
  </si>
  <si>
    <t>Requisito 08.1 La Junta de Directores deberá adoptar y publicar una política o compromiso sobre la gestión segura de instalaciones de relaves, a la preparación y respuesta frente a emergencias, y a la recuperación después de una falla.</t>
  </si>
  <si>
    <t xml:space="preserve"> 8.1 - A</t>
  </si>
  <si>
    <t xml:space="preserve"> 8.1 - A Una política corporativa de gestión de relaves documentada1 que comprometa al Operador al tratamiento seguro de relaves, desarrollo de planes de respuesta frente a emergencias, y mecanismos de recuperación después de fallas. Esto puede darse en forma de una política única o estar integrado en un documento que la Junta Directiva adopte. </t>
  </si>
  <si>
    <t>C115</t>
  </si>
  <si>
    <t xml:space="preserve"> 8.1 - B</t>
  </si>
  <si>
    <t xml:space="preserve"> 8.1 - B La política y su aprobación por parte de la Junta Directiva se encuentra por escrito y está disponible al público. </t>
  </si>
  <si>
    <t>C116</t>
  </si>
  <si>
    <t>Requisito 08.2</t>
  </si>
  <si>
    <t>Requisito 08.2 Establecer un marco de gobernanza de relaves y un TMS en base al desempeño para asegurar que el ESMS y otros sistemas fundamentales abarquen los aspectos relevantes de la gestión de la instalación de relaves.</t>
  </si>
  <si>
    <t xml:space="preserve"> 8.2 - A</t>
  </si>
  <si>
    <t xml:space="preserve"> 8.2 - A Un TMS en base al desempeño, sigue procesos Planificar-Hacer- Revisar-Actuar establecidos y es adecuado para la organización y sus instalaciones de relaves. </t>
  </si>
  <si>
    <t>C117</t>
  </si>
  <si>
    <t xml:space="preserve"> 8.2 - B</t>
  </si>
  <si>
    <t xml:space="preserve"> 8.2 - B Las responsabilidades y competencias asociadas para la implementación de ese marco que están definidas respaldan la identificación y gestión adecuada de los riesgos de la instalación de relaves. </t>
  </si>
  <si>
    <t>C118</t>
  </si>
  <si>
    <t xml:space="preserve"> 8.2 - C</t>
  </si>
  <si>
    <t xml:space="preserve"> 8.2 - C El marco de gobernanza respalda el TMS, sus sistemas fundamentales relevantes y otros ESMS relacionados. </t>
  </si>
  <si>
    <t>C119</t>
  </si>
  <si>
    <t xml:space="preserve"> 8.2 - D</t>
  </si>
  <si>
    <t xml:space="preserve"> 8.2 - D Los vínculos entre los TMS y otros sistemas como los ESMS son claros para asegurar una gestión integral eficaz de la instalación de relaves. </t>
  </si>
  <si>
    <t>C120</t>
  </si>
  <si>
    <t>Requisito 08.3</t>
  </si>
  <si>
    <t xml:space="preserve">Requisito 08.3 Para los roles con responsabilidad en las instalaciones de relaves, desarrollar mecanismos tales que los pagos de incentivos las revisiones de desempeño se basen, por lo menos en parte, en la seguridad pública y en la integridad de la instalación de relaves. Estos pagos de incentivos deberán reflejar el grado en el que la seguridad pública y la integridad de la instalación de relaves participan del rol. Los incentivos a largo plazo para los gerentes ejecutivos relevantes deben tomarse deben tomar en cuenta la gestión de relaves. </t>
  </si>
  <si>
    <t xml:space="preserve"> 8.3 - A</t>
  </si>
  <si>
    <t xml:space="preserve"> 8.3 - A Para las personas con responsabilidades sobre las instalaciones de relaves, sus revisiones de desempeño y o los pagos de incentivos estás basados en parte, en la seguridad pública y la integridad de las instalaciones de relaves. </t>
  </si>
  <si>
    <t>C121</t>
  </si>
  <si>
    <t xml:space="preserve"> 8.3 - B</t>
  </si>
  <si>
    <t xml:space="preserve"> 8.3 - B En donde se utilicen pagos de incentivos, estos se basan en el grado en el que la seguridad pública y la integridad de la instalación de relaves son un componente de ese rol. </t>
  </si>
  <si>
    <t>C122</t>
  </si>
  <si>
    <t xml:space="preserve"> 8.3 - C</t>
  </si>
  <si>
    <t xml:space="preserve"> 8.3 - C Los incentivos a largo plazo, como parte de una compensación administrativa, toman en cuenta la gestión de relaves, desempeño de la instalación y la seguridad pública. </t>
  </si>
  <si>
    <t>C123</t>
  </si>
  <si>
    <t>Requisito 08.4</t>
  </si>
  <si>
    <t xml:space="preserve">Requisito 08.4 Asignar uno o más Ejecutivos Responsables los cuales son directamente responsables al CEO en los asuntos relacionados a este Estándar. El (los) Ejecutivo(s) Responsable(s) deben ser responsables de la seguridad de las instalaciones de relaves y de evitar o minimizar las consecuencias sociales y ambientales de una falla de la instalación de relaves. El(los) Ejecutivo(s) Responsable(s) también deberán ser responsables de un programa de capacitación de tratamiento de relaves, y de preparación y respuesta a emergencias. El(los) Ejecutivo(s) Responsable(s) debe tener programada comunicaciones regulares con el EOR y la Junta Directiva, que pueden ser iniciadas por el(los) Ejecutivo(s) Responsable(s), y o la Junta. La Junta Directiva deberá documentar cómo el(los) Ejecutivos Responsable(s) rindieron cuentas. </t>
  </si>
  <si>
    <t xml:space="preserve"> 8.4 - A</t>
  </si>
  <si>
    <t xml:space="preserve"> 8.4 - A El(los) Ejecutivos Responsable(s) que es(son) directamente responsables al CEO han identificado y asignado los aspectos de seguridad de la instalación de relaves para prevenir o minimizar las consecuencias medioambientales o sociales de una falla de una instalación de relaves. </t>
  </si>
  <si>
    <t>C124</t>
  </si>
  <si>
    <t xml:space="preserve"> 8.4 - B</t>
  </si>
  <si>
    <t xml:space="preserve"> 8.4 - B La responsabilidad referida en (a) incluye desarrollar e implementar un programa de capacitación de tratamiento de relaves, y para preparación y respuesta frente a emergencias. </t>
  </si>
  <si>
    <t>C125</t>
  </si>
  <si>
    <t xml:space="preserve"> 8.4 - C</t>
  </si>
  <si>
    <t xml:space="preserve"> 8.4 - C El(los) Ejecutivo(s) Responsable(s) tienen comunicaciones regulares programadas con el EOR y Junta Directiva que puede ser iniciada ya sea por el Ejecutivo Responsable o la Junta. </t>
  </si>
  <si>
    <t>C126</t>
  </si>
  <si>
    <t xml:space="preserve"> 8.4 - D</t>
  </si>
  <si>
    <t xml:space="preserve"> 8.4 - D El proceso por el cual el(los) Ejecutivos Responsables rinden cuentas a la Junta Directiva. </t>
  </si>
  <si>
    <t>C127</t>
  </si>
  <si>
    <t>Requisito 08.5</t>
  </si>
  <si>
    <t xml:space="preserve">Requisito 08.5 Asignar un Ingeniero Responsable de la Instalación de Relaves (RTFE) específico al sitio quien es responsable de la integridad de la instalación de relaves, quien se involucra con el EOR y equipos internos como operaciones, planificación, asuntos reglamentarios, desempeño social, y medioambiente y tiene una comunicación bidireccional con el Ejecutivo Responsable. El RTFE debe estar familiarizado con el DBR, el reporte de diseño y la construcción y desempeño de la instalación de relaves. </t>
  </si>
  <si>
    <t xml:space="preserve"> 8.5 - A</t>
  </si>
  <si>
    <t xml:space="preserve"> 8.5 - A Un Ingeniero Responsable de la Instalación de Relaves (RTFE) 1 es asignado al rol. </t>
  </si>
  <si>
    <t>C128</t>
  </si>
  <si>
    <t xml:space="preserve"> 8.5 - B</t>
  </si>
  <si>
    <t xml:space="preserve"> 8.5 - B Los roles y responsabilidades son claramente definidos y documentados para la posición del RTFE incluyendo la responsabilidad con respecto a la integridad de la integridad de relaves. </t>
  </si>
  <si>
    <t>C129</t>
  </si>
  <si>
    <t xml:space="preserve"> 8.5 - C</t>
  </si>
  <si>
    <t xml:space="preserve"> 8.5 - C El RTFE se relaciona con el EOR y equipos internos. </t>
  </si>
  <si>
    <t>C130</t>
  </si>
  <si>
    <t xml:space="preserve"> 8.5 - D</t>
  </si>
  <si>
    <t xml:space="preserve"> 8.5 - D El RTFE debe estar familiarizado con el DBR, reportes de diseño relevantes, y la construcción y operaciones/desempeño de la instalación de relaves. </t>
  </si>
  <si>
    <t>C131</t>
  </si>
  <si>
    <t xml:space="preserve"> 8.5 - E</t>
  </si>
  <si>
    <t xml:space="preserve"> 8.5 - E Existe comunicación entre el RTFE y el Ejecutivo Responsable o su designado. </t>
  </si>
  <si>
    <t>C132</t>
  </si>
  <si>
    <t>Requisito 08.6</t>
  </si>
  <si>
    <t xml:space="preserve">Requisito 08.6 Identificar calificaciones y requisitos de experiencia adecuados para todo el personal que juegan roles de seguridad fundamentales de una instalación de relaves, incluyendo, pero no limitándose al RTFE, el EOR, y el Ejecutivo Responsable. Asegurarse que los titulares de estos roles tengan las calificaciones y experiencias identificadas, y desarrollar un plan de sucesión para este personal. </t>
  </si>
  <si>
    <t xml:space="preserve"> 8.6 - A</t>
  </si>
  <si>
    <t xml:space="preserve"> 8.6 - A Los requisitos de calificación y experiencia para todo el personal con roles fundamentales en la seguridad están claramente definidos y son apropiados al nivel de responsabilidad de la posición. Esto incluye, pero no se limita a roles fundamentales tales como el RTFE, EOR, y Ejecutivos Responsables. </t>
  </si>
  <si>
    <t>C133</t>
  </si>
  <si>
    <t xml:space="preserve"> 8.6 - B</t>
  </si>
  <si>
    <t xml:space="preserve"> 8.6 - B Se desarrollan planes de sucesión para los roles fundamentales en la seguridad. </t>
  </si>
  <si>
    <t>C134</t>
  </si>
  <si>
    <t>Requisito 08.7</t>
  </si>
  <si>
    <t xml:space="preserve">Requisito 08.7 Para las instalaciones de relaves con Clasificación de Consecuencias "Muy Altas" o "Extremas", nombrar una Junta Independiente de Revisión de Relaves (ITRB por sus siglas en inglés). Para el resto de instalaciones, el Operador puede nombrar a un revisor técnico senior independiente. La ITRB o el revisor serán nombrados a comienzos del proceso de desarrollo del proyecto, reportados al Ejecutivo Responsable y certificarán por escrito que seguirán las mejores prácticas para ingenieros para evitar conflictos de intereses. </t>
  </si>
  <si>
    <t xml:space="preserve"> 8.7 - A</t>
  </si>
  <si>
    <t xml:space="preserve"> 8.7 - A Para las instalaciones de relaves con clasificación de consecuencias de falla “Muy Altas” a “Extremas”, el Operador ha nombrado una Junta Independiente de Revisión de Relaves (ITRB). </t>
  </si>
  <si>
    <t>C135</t>
  </si>
  <si>
    <t xml:space="preserve"> 8.7 - B</t>
  </si>
  <si>
    <t xml:space="preserve"> 8.7 - B Para una instalación de relaves con una clasificación de consecuencias de falla de “Altas” o menor, en la ausencia de una ITRB, el Operador ha nombrado a un revisor técnico senior independiente. </t>
  </si>
  <si>
    <t>C136</t>
  </si>
  <si>
    <t xml:space="preserve"> 8.7 - C</t>
  </si>
  <si>
    <t xml:space="preserve"> 8.7 - C La ITRB o revisor técnico senior independiente informa al Ejecutivo Responsable o delegado de la instalación de relaves. </t>
  </si>
  <si>
    <t>C137</t>
  </si>
  <si>
    <t xml:space="preserve"> 8.7 - D</t>
  </si>
  <si>
    <t xml:space="preserve"> 8.7 - D La ITRB o revisor técnico senior independiente es nombrado durante las fases iniciales de la investigación del sitio y ingeniería de diseño de la instalación de relaves. (prefactibilidad sugerida) </t>
  </si>
  <si>
    <t>C138</t>
  </si>
  <si>
    <t xml:space="preserve"> 8.7 - E</t>
  </si>
  <si>
    <t xml:space="preserve"> 8.7 - E Los miembros de la ITRB y un revisor técnico senior independiente han certificado por escrito la ausencia de un conflicto de intereses con la instalación de relaves como se define en las mejores prácticas. </t>
  </si>
  <si>
    <t>C139</t>
  </si>
  <si>
    <t>Principio 09</t>
  </si>
  <si>
    <t xml:space="preserve"> Nombrar y dotar de facultades a un ingeniero de registro.</t>
  </si>
  <si>
    <t>Requisito 09.1</t>
  </si>
  <si>
    <t xml:space="preserve">Requisito 09.1 Contratar una empresa de ingeniería con conocimientos y experiencia en el diseño y construcción de instalación de relaves de complejidad comparable para proporcionar servicios de EOR para operar la instalación de relaves y para instalaciones cerradas con Clasificación de Consecuencias "Altas", "Muy Altas" o "Extremas", que se encuentren en la fase de cierre activo. Solicitar que la empresa nombre un ingeniero superior, aprobado por el Operador, para representar a la empresa como el EOR, y verificar que el individuo tiene la experiencia, habilidades y tiempo necesario para cumplir con ese rol. Alternativamente, el Operador puede nombrar a un ingeniero interno con experiencia y conocimientos en instalaciones comparables como el EOR. En esta instancia, el EOR puede delegar el diseño a una empresa ("Diseñador de Registro") pero deberá mantenerse familiarizado a fondo con el diseño llevando a cabo sus responsabilidades como el EOR. Ya sea que el EOR o DOR sean internos o externos, deben ser competentes y tener la experiencia adecuada a la Clasificación de Consecuencias y complejidad de la instalación de relaves. </t>
  </si>
  <si>
    <t xml:space="preserve"> 9.1 - A</t>
  </si>
  <si>
    <t xml:space="preserve"> 9.1 - A Para todas las instalaciones de relaves operativas, y para las instalaciones cerradas con categorías de consecuencias “Altas”, “Muy Altas” o “Extremas” una empresa de ingeniería que tienen los conocimientos de diseño y construcción para instalaciones de relaves de complejidad comparable ha sido contratada. </t>
  </si>
  <si>
    <t>C140</t>
  </si>
  <si>
    <t xml:space="preserve"> 9.1 - B</t>
  </si>
  <si>
    <t xml:space="preserve"> 9.1 - B El Ingeniero de Registro (EOR) nombrado tiene la experiencia y conocimientos acordes a la complejidad de la instalación de relaves y la clase de consecuencias y el nombramiento ha sido aprobado por el Operador. </t>
  </si>
  <si>
    <t>C141</t>
  </si>
  <si>
    <t xml:space="preserve"> 9.1 - C</t>
  </si>
  <si>
    <t xml:space="preserve"> 9.1 - C Un DOR, de ser apropiado debido a la selección de un EOR interno u otras circunstancias, es nombrado que cumpla con las calificaciones y requisitos esenciales del EOR. </t>
  </si>
  <si>
    <t>C142</t>
  </si>
  <si>
    <t>Requisito 09.2</t>
  </si>
  <si>
    <t xml:space="preserve">Requisito 09.2 Empoderar al EOR a través de un acuerdo escrito que describa claramente su autoridad, rol y responsabilidades a lo largo del ciclo de vida de la instalación de relaves, y durante el cambio de titularidad de propiedades mineras. El acuerdo escrito debe describir claramente las obligaciones del Operador con el EOR, para respaldar el desempeño efectivo del EOR. </t>
  </si>
  <si>
    <t xml:space="preserve"> 9.2 - A</t>
  </si>
  <si>
    <t xml:space="preserve"> 9.2 - A Se designa y establece un EOR a lo largo del ciclo de vida de la instalación de relaves. El EOR nombrado puede cambiar durante el ciclo de vida de la instalación de relaves. </t>
  </si>
  <si>
    <t>C143</t>
  </si>
  <si>
    <t xml:space="preserve"> 9.2 - B</t>
  </si>
  <si>
    <t xml:space="preserve"> 9.2 - B El EOR es nombrado a través de un acuerdo escrito que indica claramente su autoridad, rol y responsabilidades a lo largo del ciclo de vida de la instalación de relaves, y durante el cambio de titularidad de las propiedades mineras. </t>
  </si>
  <si>
    <t>C144</t>
  </si>
  <si>
    <t xml:space="preserve"> 9.2 - C</t>
  </si>
  <si>
    <t xml:space="preserve"> 9.2 - C El acuerdo escrito describe claramente las obligaciones del Operador con el EOR, para respaldar el desempeño1 eficaz del EOR durante el ciclo de vida de la instalación de relaves. </t>
  </si>
  <si>
    <t>C145</t>
  </si>
  <si>
    <t>Requisito 09.3</t>
  </si>
  <si>
    <t xml:space="preserve">Requisito 09.3 Establecer e implementar un programa para gestionar la calidad de todo el trabajo de ingeniería, las interacciones entre el RTFE y el Ejecutivo Responsable, y su participación en el ciclo de vida de la instalación de relaves conforme sea necesario para confirmar que se cumplan con la implementación del diseño y con la intención del diseño. </t>
  </si>
  <si>
    <t xml:space="preserve"> 9.3 - A</t>
  </si>
  <si>
    <t xml:space="preserve"> 9.3 - A Se establece un programa para gestionar la calidad de todo trabajo de ingeniería e interacciones entre el EOR, el RTFE y el Ejecutivo Responsable. </t>
  </si>
  <si>
    <t>C146</t>
  </si>
  <si>
    <t xml:space="preserve"> 9.3 - B</t>
  </si>
  <si>
    <t xml:space="preserve"> 9.3 - B El programa establecido es implementado para gestionar la calidad de todo el trabajo de ingeniería e interacciones entre el EOR, el RTFE y el Ejecutivo Responsable. </t>
  </si>
  <si>
    <t>C147</t>
  </si>
  <si>
    <t xml:space="preserve"> 9.3 - C</t>
  </si>
  <si>
    <t xml:space="preserve"> 9.3 - C El Programa, desarrollado por el Operador, abarca el compromiso del EOR, del RTFE y del Ejecutivo Responsable en el ciclo de vida de la instalación de relaves conforme sea necesario para confirmar que se cumpla tanto con la implementación del diseño y con la intención del diseño. </t>
  </si>
  <si>
    <t>C148</t>
  </si>
  <si>
    <t>Requisito 09.4</t>
  </si>
  <si>
    <t>Requisito 09.4 Dado su impacto potencial en los riesgos asociados con la instalación de relaves, la selección del EOR debe ser debe ser tomada por el Ejecutivo Responsable e informada, pero no tomada, por el personal de adquisiciones.</t>
  </si>
  <si>
    <t xml:space="preserve"> 9.4 - A</t>
  </si>
  <si>
    <t xml:space="preserve"> 9.4 - A Los riesgos asociados a los impactos potenciales de la instalación de relaves son considerados por el Ejecutivo Responsable al seleccionar al EOR. </t>
  </si>
  <si>
    <t>C149</t>
  </si>
  <si>
    <t xml:space="preserve"> 9.4 - B</t>
  </si>
  <si>
    <t xml:space="preserve"> 9.4 - B La selección de EOR deberá ser decidida por el Ejecutivo Responsable e informada1, pero no decidida, por el personal de adquisiciones. </t>
  </si>
  <si>
    <t>C150</t>
  </si>
  <si>
    <t xml:space="preserve"> 9.4 - C</t>
  </si>
  <si>
    <t xml:space="preserve"> 9.4 - C La selección del EOR es consistente con el Requisito 9.1 </t>
  </si>
  <si>
    <t>C151</t>
  </si>
  <si>
    <t>Requisito 09.5</t>
  </si>
  <si>
    <t>Requisito 09.5 Donde sea necesario cambiar al EOR (ya sea una empresa o empleado interno), desarrollar un plan detallado para la transferencia integral de datos, información, conocimiento y experiencia con los procedimientos y materiales de construcción.</t>
  </si>
  <si>
    <t xml:space="preserve"> 9.5 - A</t>
  </si>
  <si>
    <t xml:space="preserve"> 9.5 - A Se tiene un plan de sucesión cuando sea necesario cambiar el EOR1 (ya sea una empresa, dentro de una empresa, o un empleado interno) </t>
  </si>
  <si>
    <t>C152</t>
  </si>
  <si>
    <t xml:space="preserve"> 9.5 - B</t>
  </si>
  <si>
    <t xml:space="preserve"> 9.5 - B El plan de sucesión2 incluye la transferencia integral de datos, información, conocimiento y experiencia con los procedimientos de construcción y materiales. </t>
  </si>
  <si>
    <t>C153</t>
  </si>
  <si>
    <t>Principio 10</t>
  </si>
  <si>
    <t>Establecer e implementar niveles de revisión como parte de un sistema de gestión de riesgos y de calidad sólido para todas las fases del ciclo de vida de la instalación de relaves, incluido su cierre.</t>
  </si>
  <si>
    <t>Requisito 10.1</t>
  </si>
  <si>
    <t xml:space="preserve">Requisito 10.1 Realizar y actualizar evaluaciones de riesgos con un equipo multidisciplinario calificado utilizando las metodologías de las mejores prácticas como mínimo cada tres años y más frecuentemente si se da un cambio material ya sea a la instalación de relaves o al contexto social, medioambiental o económico local. Enviar las evaluaciones de riesgos a la ITRB o al revisor técnico senior independiente para su revisión, y abordar con urgencia todos los riesgos inaceptables para la instalación de relaves. </t>
  </si>
  <si>
    <t xml:space="preserve"> 10.1 - A</t>
  </si>
  <si>
    <t xml:space="preserve"> 10.1 - A Existe un proceso de evaluación de riesgos para la instalación de relaves y está basado en una base de conocimiento actualizada para la instalación de relaves. </t>
  </si>
  <si>
    <t>C154</t>
  </si>
  <si>
    <t xml:space="preserve"> 10.1 - B</t>
  </si>
  <si>
    <t xml:space="preserve"> 10.1 - B La evaluación de riesgos es actualizada por lo menos cada tres años y más frecuentemente cada vez que haya un cambio material ya sea a la instalación de relaves o al contexto social, medioambiente y económico local. </t>
  </si>
  <si>
    <t>C155</t>
  </si>
  <si>
    <t xml:space="preserve"> 10.1 - C</t>
  </si>
  <si>
    <t xml:space="preserve"> 10.1 - C El alcance de la evaluación de riesgos incluye el área de influencia potencial completa de la instalación de relaves, e incorporar activamente la experiencia de la industria en la evaluación de riesgos. </t>
  </si>
  <si>
    <t>C156</t>
  </si>
  <si>
    <t xml:space="preserve"> 10.1 - D</t>
  </si>
  <si>
    <t xml:space="preserve"> 10.1 - D Las fuentes de riesgo son identificadas, evaluadas y gestionadas con regularidad a lo largo del ciclo de vida de la instalación de relaves, incluyendo impactos de cambio climático proyectados bajo un rango de escenarios climáticos futuros creíbles. </t>
  </si>
  <si>
    <t>C157</t>
  </si>
  <si>
    <t xml:space="preserve"> 10.1 - E</t>
  </si>
  <si>
    <t xml:space="preserve"> 10.1 - E Un equipo multidisciplinario es calificado para realizar una evaluación de riesgos específica a la fase del ciclo de vida de la instalación de relaves (por ejemplo, construcción, operación, suspensión, expansión, cierre) y tiene la habilidad de aplicar la metodología de las mejores prácticas de una forma multifuncional. </t>
  </si>
  <si>
    <t>C158</t>
  </si>
  <si>
    <t xml:space="preserve"> 10.1 - F</t>
  </si>
  <si>
    <t xml:space="preserve"> 10.1 - F Siguiendo la revisión por parte de la ITRB o del revisor técnico senior independiente, se preparan, implementan y reportan cuando las evaluaciones de riesgos identifican riesgos inaceptables para la instalación de relaves. </t>
  </si>
  <si>
    <t>C159</t>
  </si>
  <si>
    <t>Requisito 10.2</t>
  </si>
  <si>
    <t xml:space="preserve">Requisito 10.2 Realizar revisiones regulares del TMS y de los componentes del ESMS que hagan referencia de la instalación de relaves para garantizar la eficacia de los sistemas de gestión. Documentar y reportar los resultados al Ejecutivo Responsable, Junta Directiva y personas afectadas por el proyecto. La revisión deberá ser realizada por revisores técnicos con las calificaciones, experiencia y recursos adecuados. Para las instalaciones de relaves con Clasificación de Consecuencia "Alta", "Muy Alta" o "Extrema", realizar la revisión por lo menos cada tres años. </t>
  </si>
  <si>
    <t xml:space="preserve"> 10.2 - A</t>
  </si>
  <si>
    <t xml:space="preserve"> 10.2 - A El TMS y componentes del ESMS son revisados con suficiente frecuencia para asegurar que el sistema de gestión de la instalación de relaves sea efectivo y aplicable para los riesgos a lo largo del ciclo de vida completo de la instalación. </t>
  </si>
  <si>
    <t>C160</t>
  </si>
  <si>
    <t xml:space="preserve"> 10.2 - B</t>
  </si>
  <si>
    <t xml:space="preserve"> 10.2 - B Los resultados de las revisiones del TMS y ESMS son documentados y reportados al Ejecutivo Responsable, Junta Directiva y personas afectadas por el proyecto. </t>
  </si>
  <si>
    <t>C161</t>
  </si>
  <si>
    <t xml:space="preserve"> 10.2 - C</t>
  </si>
  <si>
    <t xml:space="preserve"> 10.2 - C La revisión será realizada por revisores técnicos superiores con las calificaciones, experiencias y recursos adecuados. </t>
  </si>
  <si>
    <t>C162</t>
  </si>
  <si>
    <t xml:space="preserve"> 10.2 - D</t>
  </si>
  <si>
    <t xml:space="preserve"> 10.2 - D Para las instalaciones de relaves con Clasificación de Consecuencia “Alta”, “Muy Alta” o “Extrema”, la revisión se realizará por lo menos cada tres años. </t>
  </si>
  <si>
    <t>C163</t>
  </si>
  <si>
    <t>Requisito 10.3</t>
  </si>
  <si>
    <t>Requisito 10.3 Realizar auditorías internas para verificar la implementación consistente de los procedimientos, guías y requisitos de gobernanza de la compañía consistentes con el TMS y aspectos del ESMS desarrollado para gestionar los riesgos de la instalación de relaves.</t>
  </si>
  <si>
    <t xml:space="preserve"> 10.3 - A</t>
  </si>
  <si>
    <t xml:space="preserve"> 10.3 - A Las auditorías internas se completan a una frecuencia que garantiza la implementación coherente de los requisitos establecidos relacionados con los procedimientos, guías de la compañía y requisitos de gobernanza corporativa1 que son consistentes con el TMS y aspectos del ESMS relacionados a los riesgos de la instalación de relaves. </t>
  </si>
  <si>
    <t>C164</t>
  </si>
  <si>
    <t>Requisito 10.4</t>
  </si>
  <si>
    <t>Requisito 10.4 El EOR o revisor técnico independiente deberá realizar una revisión de construcción y desempeño para la instalación de relaves anualmente o más frecuentemente, de ser necesario.</t>
  </si>
  <si>
    <t xml:space="preserve"> 10.4 - A</t>
  </si>
  <si>
    <t xml:space="preserve"> 10.4 - A Se realiza una revisión1 anual de la instalación de relaves a lo largo de los períodos de construcción y de operación para evaluar la condición y el desempeño. Las revisiones son realizadas por el EOR o el revisor técnico senior independiente, el que sea asignado a la instalación de relaves y que la revisión sea documentada. Las revisiones pueden ser realizadas con más frecuencia si es requerido debido a problemas identificados o a la implementación de medidas correctivas necesarias.</t>
  </si>
  <si>
    <t>C165</t>
  </si>
  <si>
    <t>Requisito 10.5</t>
  </si>
  <si>
    <t xml:space="preserve">Requisito 10.5 Realizar una DSR independiente por lo menos cada cinco años para instalaciones de relaves con Clasificaciones de Consecuencias "Muy Altas" o "Extremas" y por lo menos cada diez años para el resto de las instalaciones. Para instalaciones de relaves con condiciones o desempeños complejos, la ITRB puede recomendar DSRs más frecuentes. La DSR deberá incluir aspectos técnicos, operativos y de gobernanza para toda la instalación de relaves y deberá ser completada de acuerdo a las mejores prácticas. El contratista de DSR no puede realizar DSRs consecutivas en la misma instalación de relaves y deberá certificar por escrito que seguirá las mejores prácticas para ingenieros para la prevención de conflictos de interés. </t>
  </si>
  <si>
    <t xml:space="preserve"> 10.5 - A</t>
  </si>
  <si>
    <t xml:space="preserve"> 10.5 - A Se realizan y documentan las DSRs: - cada cinco años para instalaciones de relaves con Clasificaciones de Consecuencias “Muy Altas” o “Extremas”; - cada diez años para todas las otras instalaciones, o, - más seguido de ser recomendado por la ITRB. </t>
  </si>
  <si>
    <t>C166</t>
  </si>
  <si>
    <t xml:space="preserve"> 10.5 - B</t>
  </si>
  <si>
    <t xml:space="preserve"> 10.5 - B Las DSRs incluyen aspectos técnicos3, operativos4 y de gobernanza5 de la instalación de relaves y deberán ser completados de acuerdo a las mejores prácticas2. </t>
  </si>
  <si>
    <t>C167</t>
  </si>
  <si>
    <t xml:space="preserve"> 10.5 - C</t>
  </si>
  <si>
    <t xml:space="preserve"> 10.5 - C Los individuos de DSR no pueden realizar DSRs consecutivas en la misma instalación de relaves. </t>
  </si>
  <si>
    <t>C168</t>
  </si>
  <si>
    <t xml:space="preserve"> 10.5 - D</t>
  </si>
  <si>
    <t xml:space="preserve"> 10.5 - D Los individuos de DSR certifican por escrito que siguen las mejores prácticas para ingenieros en la prevención de conflictos de interés. </t>
  </si>
  <si>
    <t>C169</t>
  </si>
  <si>
    <t>Requisito 10.6</t>
  </si>
  <si>
    <t xml:space="preserve">Requisito 10.6 Para instalaciones de relaves con Clasificaciones de Consecuencias "Muy Altas" o "Extremas", la ITRB, reportando al Ejecutivo Responsable deberá otorgar une revisión independiente continua superior de la planificación, emplazamiento, diseño, construcción, operación, balance de aguas y masa, mantenimiento, monitoreo, desempeño y gestión de riesgos en los intervalos apropiados a lo largo de todas las fases del ciclo de vida de la instalación de relaves. Para las instalaciones de relaves con otras Clasificaciones de Consecuencias, esta revisión puede ser realizada por un revisor técnico senior independiente. </t>
  </si>
  <si>
    <t xml:space="preserve"> 10.6 - A</t>
  </si>
  <si>
    <t xml:space="preserve"> 10.6 - A Para instalaciones de relaves con Clasificaciones de Consecuencias “Muy Altas” o “Extremas”, la ITRB1, reportando al Ejecutivo Responsable proporciona una revisión técnica senior independiente de la planificación, emplazamiento, diseño, construcción, operación, balance de aguas y masa, mantenimiento, monitoreo, gestión de desempeño y riesgo a los intervalos adecuados a lo largo de todas las fases del ciclo de vida de la instalación de relaves. </t>
  </si>
  <si>
    <t>C170</t>
  </si>
  <si>
    <t xml:space="preserve"> 10.6 - B</t>
  </si>
  <si>
    <t xml:space="preserve"> 10.6 - B Para las instalaciones de relaves con otras Clasificaciones de Consecuencias, esta revisión puede ser realizada alternativamente por un revisor técnico senior independiente. </t>
  </si>
  <si>
    <t>C171</t>
  </si>
  <si>
    <t xml:space="preserve"> 10.6 - C</t>
  </si>
  <si>
    <t xml:space="preserve"> 10.6 - C Las revisiones continuas son realizadas a los intervalos adecuados a lo largo de todas las fases del ciclo de vida de la instalación de relaves. </t>
  </si>
  <si>
    <t>C172</t>
  </si>
  <si>
    <t>Requisito 10.7</t>
  </si>
  <si>
    <t xml:space="preserve">Requisito 10.7 El monto de costos estimados para el cierre planificado, cierre anticipado, recuperación, y post-cierre de la instalación de relaves y sus estructuras correspondientes deberá ser revisado periódicamente para confirmar que la capacidad económica adecuada (incluyendo seguro, en la medida que sea comercialmente razonable) esté disponible para tales propósitos a lo largo del ciclo de vida de la instalación de relaves, y las conclusiones de la revisión serán divulgados anualmente. La divulgación puede ser hecha en declaraciones financieras auditadas o en archivos reglamentarios públicos. Sujeto a las disposiciones de las regulaciones locales o nacionales en el asunto. Los Operadores harán todo lo posible para evaluar y tomar en cuenta la capacidad de un adquiriente de cualquiera de sus activos que involucre una instalación de relaves (mediante una fusión, adquisición, u otro cambio de titularidad) para mantener este Estándar durante el ciclo de vida de la instalación de relaves. </t>
  </si>
  <si>
    <t xml:space="preserve"> 10.7 - A</t>
  </si>
  <si>
    <t xml:space="preserve"> 10.7 - A Un proceso y mecanismos de gobernanza han sido establecidos para la planificación y estimación de costos del cierre. </t>
  </si>
  <si>
    <t>C173</t>
  </si>
  <si>
    <t xml:space="preserve"> 10.7 - B</t>
  </si>
  <si>
    <t xml:space="preserve"> 10.7 - B Un plan de cierre1 para la instalación de relaves ha sido establecido y se han preparado estimaciones de costos asociados al cierre. </t>
  </si>
  <si>
    <t>C174</t>
  </si>
  <si>
    <t xml:space="preserve"> 10.7 - C</t>
  </si>
  <si>
    <t xml:space="preserve"> 10.7 - C Los estimados de costos asociados al cierre1 son revisados periódicamente y se realiza declaración pública2 anualmente para confirmar que la capacidad económica (incluyendo el seguro, en la medida que sea comercialmente razonable) esté disponible para cumplir con los requisitos de cierre y plazo esperado para la instalación de relaves en su estado actual. </t>
  </si>
  <si>
    <t>C175</t>
  </si>
  <si>
    <t xml:space="preserve"> 10.7 - D</t>
  </si>
  <si>
    <t xml:space="preserve"> 10.7 - D Si uno de los activos del Operador que involucra una instalación de relaves sufre un cambio de Titularidad desde la última revisión, el Operador debe proporcionar documentación de que evaluaron y tomaron en consideración la capacidad de un adquiriente para mantener este Estándar (sujetos a las provisiones de las regulaciones locales/nacionales) </t>
  </si>
  <si>
    <t>C176</t>
  </si>
  <si>
    <t>Principio 11</t>
  </si>
  <si>
    <t xml:space="preserve"> Desarrollar una cultura organizacional que promueva el aprendizaje, la comunicación y el reconocimiento temprano de los problemas.</t>
  </si>
  <si>
    <t>Requisito 11.1</t>
  </si>
  <si>
    <t>Requisito 11.1 Educar al personal que tienen un rol en cualquier fase del ciclo de vida de la instalación de relaves sobre cómo los procedimientos y responsabilidades de su trabajo están relacionados a la prevención de una falla.</t>
  </si>
  <si>
    <t xml:space="preserve"> 11.1 - A</t>
  </si>
  <si>
    <t xml:space="preserve"> 11.1 - A El Operador ha desarrollado un programa educativo que incluye procedimientos y responsabilidades para prevención de fallas. </t>
  </si>
  <si>
    <t>C177</t>
  </si>
  <si>
    <t xml:space="preserve"> 11.1 - B</t>
  </si>
  <si>
    <t xml:space="preserve"> 11.1 - B Aquellos con roles de prevención de fallas en cualquier fase del ciclo de vida de la instalación de relaves son incluidos en el programa de educación. </t>
  </si>
  <si>
    <t>C178</t>
  </si>
  <si>
    <t>Requisito 11.2</t>
  </si>
  <si>
    <t>Requisito 11.2 Establecer mecanismos que incorporen el conocimiento basado en la experiencia del trabajador en la planificación, diseño y operación de todas las fases del ciclo de vida de la instalación de relaves.</t>
  </si>
  <si>
    <t xml:space="preserve"> 11.2 - A</t>
  </si>
  <si>
    <t xml:space="preserve"> 11.2 - A Se han establecido mecanismos que incorporan el conocimiento basado en la experiencia del trabajador en la planificación, diseño y operación de todas las fases del ciclo de vida de la instalación de relaves. </t>
  </si>
  <si>
    <t>C179</t>
  </si>
  <si>
    <t>Requisito 11.3</t>
  </si>
  <si>
    <t xml:space="preserve">Requisito 11.3 Establecer mecanismos que promuevan la colaboración multifuncional para asegurar el intercambio de datos y conocimiento, comunicación e implementación de medidas de gestión eficaces para respaldar la seguridad pública y la integridad de la instalación de relaves. </t>
  </si>
  <si>
    <t xml:space="preserve"> 11.3 - A</t>
  </si>
  <si>
    <t xml:space="preserve"> 11.3 - A El Operador ha establecido mecanismos que promueven la colaboración multifuncional para respaldar la seguridad pública y la integridad de la instalación de relaves a través de: - intercambio eficaz de datos y conocimiento; - comunicación eficaz, e - implementación de medidas de gestión. </t>
  </si>
  <si>
    <t>C180</t>
  </si>
  <si>
    <t>Requisito 11.4</t>
  </si>
  <si>
    <t>Requisito 11.4 Identificar e implementar lecciones de investigaciones de incidentes internos y reportes de incidentes externos relevantes, prestando especial atención a los factores humanos y organizacionales.</t>
  </si>
  <si>
    <t xml:space="preserve"> 11.4 - A</t>
  </si>
  <si>
    <t xml:space="preserve"> 11.4 - A El Operador ha identificado e implementado lecciones de investigaciones de incidentes internos. </t>
  </si>
  <si>
    <t>C181</t>
  </si>
  <si>
    <t xml:space="preserve"> 11.4 - B</t>
  </si>
  <si>
    <t xml:space="preserve"> 11.4 - B El Operador ha identificado e implementado lecciones de reportes de incidentes externos relevantes. </t>
  </si>
  <si>
    <t>C182</t>
  </si>
  <si>
    <t xml:space="preserve"> 11.4 - C</t>
  </si>
  <si>
    <t xml:space="preserve"> 11.4 - C Las lecciones de incidentes internos y externos aprendidas prestan especial atención a los factores humanos y organizativos. </t>
  </si>
  <si>
    <t>C183</t>
  </si>
  <si>
    <t>Requisito 11.5</t>
  </si>
  <si>
    <t xml:space="preserve">Requisito 11.5 Establecer mecanismos que reconozcan, recompensen y protejan frente a represalias, a los empleados y contratistas que reporten problemas o identifiquen oportunidades para la mejora de la gestión de la instalación de relaves. Responder de manera oportuna y comunicar las acciones tomadas y sus resultados. </t>
  </si>
  <si>
    <t xml:space="preserve"> 11.5 - A</t>
  </si>
  <si>
    <t xml:space="preserve"> 11.5 - A El Operador ha establecido un mecanismo1 documentado que reconoce, recompensa y protege a los empleados y contratistas que reportan problemas o identifican oportunidades para la mejora de la gestión de la instalación de relaves. </t>
  </si>
  <si>
    <t>C184</t>
  </si>
  <si>
    <t>Desarrollar una cultura organizacional que promueva el aprendizaje, la comunicación y el reconocimiento temprano de los problemas.</t>
  </si>
  <si>
    <t xml:space="preserve"> 11.5 - B</t>
  </si>
  <si>
    <t xml:space="preserve"> 11.5 - B El Operador ha respondido de manera oportuna, y comunicado a los empleados y contratistas las acciones tomadas en respuesta a las preocupaciones y oportunidades presentadas. </t>
  </si>
  <si>
    <t>C185</t>
  </si>
  <si>
    <t>Principio 12</t>
  </si>
  <si>
    <t>Establecer un proceso para informar y abordar las preocupaciones e implementar protecciones para los denunciantes.</t>
  </si>
  <si>
    <t>Requisito 12.1</t>
  </si>
  <si>
    <t xml:space="preserve">Requisito 12.1 El Ejecutivo Responsable deberá establecer un proceso, formal, confidencial y por escrito para recibir, investigar y abordar con prontitud las inquietudes de empleados y contratistas sobre posibles violaciones de permisos u otros asuntos relacionados al cumplimiento reglamentario, seguridad pública, integridad de la instalación de relaves o el medio ambiente. </t>
  </si>
  <si>
    <t xml:space="preserve"> 12.1 - A</t>
  </si>
  <si>
    <t xml:space="preserve"> 12.1 - A El Ejecutivo Responsable ha establecido un proceso formal, confidencial y por escrito para recibir, investigar y abordar con prontitud las inquietudes de empleados y contratistas relacionadas a la instalación de relaves, incluyendo posibles violaciones de permisos u otros asuntos relaciones al cumplimiento reglamentario, seguridad pública, integridad de la instalación de relaves o al medio ambiente. </t>
  </si>
  <si>
    <t>C186</t>
  </si>
  <si>
    <t>Requisito 12.2</t>
  </si>
  <si>
    <t xml:space="preserve">Requisito 12.2 De acuerdo a las mejores prácticas internaciones para la protección a denunciantes, el Operador no deberá descargar, discriminar en contra de, o de lo contrario tomar represaliar de ninguna manera contra un denunciante quien, de buena fe, ha reportado posibles violaciones de permisos u otros asuntos relacionados al cumplimiento reglamentario, seguridad pública, integridad de la instalación de relaves o el medioambiente. </t>
  </si>
  <si>
    <t xml:space="preserve"> 12.2 - A</t>
  </si>
  <si>
    <t xml:space="preserve"> 12.2 - A El Operador mantiene prácticas de protección al denunciante que no descargan, discriminan o toman represalias contra un denunciante quien, en buena fe, reporta posibles violaciones relacionadas al cumplimiento reglamentario, seguridad pública, integridad de la instalación de relaves o el medio ambiente. </t>
  </si>
  <si>
    <t>C187</t>
  </si>
  <si>
    <t>V</t>
  </si>
  <si>
    <t>RESPUESTA ANTE EMERGENCIAS Y RECUPERACIÓN A LARGO PLAZO</t>
  </si>
  <si>
    <t>Principio 13</t>
  </si>
  <si>
    <t>Estar preparado para la respuesta ante emergencias en caso de falla en las instalaciones de relave.</t>
  </si>
  <si>
    <t>Requisito 13.1</t>
  </si>
  <si>
    <t xml:space="preserve">Requisito 13.1 Como parte del TMS, usar las mejores prácticas y experiencia de respuesta frente a emergencias para preparar e implementar un Plan de Preparación y Respuesta frente a Emergencias (EPRP) específico del sitio de la instalación de relaves basado en escenarios de falla de flujo creíbles y en la evaluación de las consecuencias potenciales. Evaluar y actualizar el EPRP en todas las fases del ciclo de vida de la instalación de relaves en la frecuencia establecida en el plan, o más frecuentemente si es activada por un cambio material en la instalación de relaves o en el contexto social, medioambiental o económico local. Comprometerse significativamente con los empleados y contratistas para informar al EPRP, y codesarrollar medidas de preparación a emergencias enfocadas a la comunidad con las personas afectadas por el proyecto. </t>
  </si>
  <si>
    <t xml:space="preserve"> 13.1 - A</t>
  </si>
  <si>
    <t xml:space="preserve"> 13.1 - A El Sistema de Gestión de Relaves (TMS) incluye un Plan de Preparación y Respuesta frente a Emergencias (EPRP) específico al sitio de la instalación de relaves. El EPRP incluye acciones específicas tanto para preparar, como para manejar un evento creciente, y para responder después que un evento ha ocurrido. </t>
  </si>
  <si>
    <t>C188</t>
  </si>
  <si>
    <t xml:space="preserve"> 13.1 - B</t>
  </si>
  <si>
    <t xml:space="preserve"> 13.1 - B El EPRP de la instalación de relaves es responsivo a los escenarios de falla de flujo creíbles y a la evaluación de las consecuencias potenciales, e identifica claramente las áreas potencialmente afectadas y el grado potencial de las consecuencias esperadas. </t>
  </si>
  <si>
    <t>C189</t>
  </si>
  <si>
    <t xml:space="preserve"> 13.1 - C</t>
  </si>
  <si>
    <t xml:space="preserve"> 13.1 - C El EPRP fue desarrollado con aportes de experiencia apropiada en respuesta frente a emergencias, operaciones de sitio y de personas afectadas por el proyecto utilizando las mejores prácticas. </t>
  </si>
  <si>
    <t>C190</t>
  </si>
  <si>
    <t xml:space="preserve"> 13.1 - D</t>
  </si>
  <si>
    <t xml:space="preserve"> 13.1 - D El EPRP de la instalación de relaves para las instalaciones operativas son evaluados y revisados sobre el proceso y frecuencia especificados en el plan, cada 3 años, o más frecuentemente si es activado por un cambio material a la instalación de relaves o al contexto social, medioambiental o económico. Referencia R 13.2 y R. 13.3. </t>
  </si>
  <si>
    <t>C191</t>
  </si>
  <si>
    <t xml:space="preserve"> 13.1 - E</t>
  </si>
  <si>
    <t xml:space="preserve"> 13.1 - E El desarrollo y actualizaciones del EPRP involucran compromisos importantes de empleados, contratistas, proveedores de respuesta frente a emergencia comunitarios, y las personas afectadas por el proyecto son involucradas para codesarrollar preparación frente a emergencias enfocadas en la comunidad y comunicación de plan a las personas afectadas por el proyecto. </t>
  </si>
  <si>
    <t>C192</t>
  </si>
  <si>
    <t>Requisito 13.2</t>
  </si>
  <si>
    <t xml:space="preserve">Requisito 13.2 Participar con agencias del sector público, entidades de primera línea, autoridades locales e instituciones y tomar pasos razonables para evaluar la habilidad de los servicios de respuesta de emergencia para abordar los riesgos identificados en el EPRP de la instalación de relaves, identificar las carencias en la capacidad y utilizar esta información para respaldar el desarrollo de un plan colaborativo para mejorar la preparación. </t>
  </si>
  <si>
    <t xml:space="preserve"> 13.2 - A</t>
  </si>
  <si>
    <t xml:space="preserve"> 13.2 - A El Operador a identificado agencias del sector público, entidades de primera línea, autoridades locales e instituciones que participarían en cualquier respuesta de emergencia a una falla de una instalación de relaves. </t>
  </si>
  <si>
    <t>C193</t>
  </si>
  <si>
    <t xml:space="preserve"> 13.2 - B</t>
  </si>
  <si>
    <t xml:space="preserve"> 13.2 - B El Operador se ha involucrado con las organizaciones identificadas. </t>
  </si>
  <si>
    <t>C194</t>
  </si>
  <si>
    <t xml:space="preserve"> 13.2 - C</t>
  </si>
  <si>
    <t xml:space="preserve"> 13.2 - C El Operador ha tomado pasos razonables para evaluar la habilidad de las organizaciones identificadas para abordar los riesgos identificados en el EPRP de la instalación de relaves, para identificar las carencias en la capacidad, y para utilizar esta información para respaldar el desarrollo de un plan colaborativo para mejorar la preparación si se identifican carencias. </t>
  </si>
  <si>
    <t>C195</t>
  </si>
  <si>
    <t>Requisito 13.3</t>
  </si>
  <si>
    <t xml:space="preserve">Requisito 13.3 Considerando las medidas enfocadas en la comunidad y la capacidad del sector público, el Operador deberá tomar todos los pasos razonables para mantener un estado compartido de preparación para los escenarios de falla de flujo creíble de la instalación de relaves al asegurar los recursos y llevar a cabo capacitaciones y ejercicios anuales. El Operador deberá llevar a cabo simulaciones de respuesta frente a emergencias a una frecuencia establecida en el EPRP pero por lo menos cada 3 años para instalaciones de relaves con pérdida de vida potencial. </t>
  </si>
  <si>
    <t xml:space="preserve"> 13.3 - A</t>
  </si>
  <si>
    <t xml:space="preserve"> 13.3 - A El Operador incorpora el conocimiento de las medidas enfocadas a la comunidad y la capacidad del sector público al establecer un estado de preparación en el EPRP. </t>
  </si>
  <si>
    <t>C196</t>
  </si>
  <si>
    <t xml:space="preserve"> 13.3 - B</t>
  </si>
  <si>
    <t xml:space="preserve"> 13.3 - B El Operador ha tomado todos los pasos razonables para mantener un estado de preparación compartido al involucrarse con las agencias del sector público, entidades de primera línea, autoridades locales, instituciones, que responderían frente una emergencia (como se identificó en 13.2). </t>
  </si>
  <si>
    <t>C197</t>
  </si>
  <si>
    <t xml:space="preserve"> 13.3 - C</t>
  </si>
  <si>
    <t xml:space="preserve"> 13.3 - C El Operador aseguró y mantiene recursos en un estado de preparación para responder a escenarios de falla de flujo creíble de una instalación de relaves si aplica a su instalación. </t>
  </si>
  <si>
    <t>C198</t>
  </si>
  <si>
    <t xml:space="preserve"> 13.3 - D</t>
  </si>
  <si>
    <t xml:space="preserve"> 13.3 - D d. Se realizan capacitaciones internas y enfocadas en la comunidad y ejercicios sobre el EPRP. </t>
  </si>
  <si>
    <t>C199</t>
  </si>
  <si>
    <t xml:space="preserve"> 13.3 - E</t>
  </si>
  <si>
    <t xml:space="preserve"> 13.3 - E El Operador tiene un programa para realizar simulaciones de respuesta a emergencias con proveedores de servicios de emergencias, y personas afectadas por el proyecto a una frecuencia definida por el EPRP. </t>
  </si>
  <si>
    <t>C200</t>
  </si>
  <si>
    <t xml:space="preserve"> 13.3 - F</t>
  </si>
  <si>
    <t xml:space="preserve"> 13.3 - F Para las instalaciones con escenarios de falla de flujo creíble el Operador llevó a cabo una respuesta de emergencia, las simulaciones se llevan a cabo por lo menos cada 3 años para aquellas instalaciones de relaves con escenarios de falla de flujo creíble, que pueden resultar en muertes. Las simulaciones pueden variar desde ejercicios de mesa hasta ejercicios de campo de una emergencia y pueden incluir la evaluación de múltiples escenarios de falla de flujo creíbles. </t>
  </si>
  <si>
    <t>C201</t>
  </si>
  <si>
    <t>Requisito 13.4</t>
  </si>
  <si>
    <t>Requisito 13.4 En el caso de una falla catastrófica en una instalación de relaves, proporcionar respuesta inmediata para salvar vidas, otorgar ayuda humanitaria y minimizar el daño medioambiental.</t>
  </si>
  <si>
    <t xml:space="preserve"> 13.4 - A</t>
  </si>
  <si>
    <t xml:space="preserve"> 13.4 - A El EPRP incluye acciones específicas para responder inmediatamente si ha ocurrido una falla catastrófica de una instalación de relaves (refiérase a los Requisitos en 13.1). </t>
  </si>
  <si>
    <t>C202</t>
  </si>
  <si>
    <t xml:space="preserve"> 13.4 - B</t>
  </si>
  <si>
    <t xml:space="preserve"> 13.4 - B La respuesta inmediata en el evento de una falla catastrófica de una instalación de relaves claramente prioriza la salvación de vidas, provisión de ayuda humanitaria y minimización de daño medioambiental. </t>
  </si>
  <si>
    <t>C203</t>
  </si>
  <si>
    <t>Principio 14</t>
  </si>
  <si>
    <t>Prepararse para una recuperación a largo plazo en el caso de una falla catastrófica.</t>
  </si>
  <si>
    <t>Requisito 14.1</t>
  </si>
  <si>
    <t xml:space="preserve">Requisito 14.1 Basado en los escenarios de falla de flujo creíbles de la instalación de relaves y la evaluación de consecuencias potenciales, tomar los pasos razonables para comprometerse de forma significativa con agencias del sector público y otras organizaciones que fueran a participar en estrategias de respuesta sociales y medioambientales de mediano y largo plazo. </t>
  </si>
  <si>
    <t xml:space="preserve"> 14.1 - A</t>
  </si>
  <si>
    <t xml:space="preserve"> 14.1 - A El Operador ha identificado agencias del sector público y otras organizaciones que participarían en estrategias sociales y medioambientales de mediano y largo plazo posteriores a la falla. </t>
  </si>
  <si>
    <t>C204</t>
  </si>
  <si>
    <t xml:space="preserve"> 14.1 - B</t>
  </si>
  <si>
    <t xml:space="preserve"> 14.1 - B El Operador ha tomado pasos razonables para involucrarse significativamente con tales organizaciones. </t>
  </si>
  <si>
    <t>C205</t>
  </si>
  <si>
    <t>Requisito 14.2</t>
  </si>
  <si>
    <t xml:space="preserve">Requisito 14.2 En el evento de una falla catastrófica de una instalación de relaves, evaluar los impactos sociales, medioambientales y económico locales lo más pronto posible una vez las personas estén seguras y se hayan cumplido con las necesidades de supervivencia a corto plazo. </t>
  </si>
  <si>
    <t xml:space="preserve"> 14.2 - A</t>
  </si>
  <si>
    <t xml:space="preserve"> 14.2 - A El Operador ha realizado una evaluación de impacto posterior al incidente que aborda los impactos sociales, medioambientales y económicos locales. </t>
  </si>
  <si>
    <t>C206</t>
  </si>
  <si>
    <t xml:space="preserve"> 14.2 - B</t>
  </si>
  <si>
    <t xml:space="preserve"> 14.2 - B La evaluación de impacto posterior al incidente ha sido realizada tan rápido como ha sido posible una vez las personas estén seguras y se hayan cumplido con las necesidades de supervivencia a corto plazo. </t>
  </si>
  <si>
    <t>C207</t>
  </si>
  <si>
    <t>Requisito 14.3</t>
  </si>
  <si>
    <t xml:space="preserve">Requisito 14.3 En el evento de una falla catastrófica de una instalación de relaves, trabajar con las agencias del sector público y otras partes interesadas para desarrollar e implementar planes de reconstrucción, restauración y recuperación que aborden los impactos sociales, medioambientales y económicos locales a medio y largo plazo de la falla. Los planes serán divulgados de ser permitidos por las autoridades públicas. </t>
  </si>
  <si>
    <t xml:space="preserve"> 14.3 - A</t>
  </si>
  <si>
    <t xml:space="preserve"> 14.3 - A El Operador, ha desarrollado planes en conjunto con agencias del sector público y otras partes interesadas para abordar los impactos sociales, medioambientales y económicos locales a medio y largo de la falla. </t>
  </si>
  <si>
    <t>C208</t>
  </si>
  <si>
    <t xml:space="preserve"> 14.3 - B</t>
  </si>
  <si>
    <t xml:space="preserve"> 14.3 - B El Operador ha proporcionado para la divulgación de los planes de reconstrucción, restauración y recuperación de ser permitido por las autoridades públicas. </t>
  </si>
  <si>
    <t>C209</t>
  </si>
  <si>
    <t xml:space="preserve"> 14.3 - C</t>
  </si>
  <si>
    <t xml:space="preserve"> 14.3 - C El Operador ha implementado los planes en colaboración con agencias del sector público y otras partes interesadas. </t>
  </si>
  <si>
    <t>C210</t>
  </si>
  <si>
    <t>Requisito 14.4</t>
  </si>
  <si>
    <t>Requisito 14.4 En el evento de una falla catastrófica en una instalación de relaves, habilitar la participación de las personas afectadas en las obras de reconstrucción, restauración y recuperación y actividades de monitoreo continuas.</t>
  </si>
  <si>
    <t xml:space="preserve"> 14.4 - A</t>
  </si>
  <si>
    <t xml:space="preserve"> 14.4 - A El Operador ha establecido la participación de las personas afectadas en las obras de reconstrucción, restauración y recuperación y actividades de monitoreo continuas. </t>
  </si>
  <si>
    <t>C211</t>
  </si>
  <si>
    <t>Requisito 14.5</t>
  </si>
  <si>
    <t xml:space="preserve">Requisito 14.5 Facilitar el seguimiento y reportes públicos de los resultados posteriores a la falla que están en regla con los umbrales e indicadores descritos en los planes de reconstrucción, restauración y recuperación y adaptar las actividades en respuesta a los resultados y observaciones. </t>
  </si>
  <si>
    <t xml:space="preserve"> 14.5 - A</t>
  </si>
  <si>
    <t xml:space="preserve"> 14.5 - A El Operador facilita el seguimiento y los informes públicos de los resultados posteriores a la falla. </t>
  </si>
  <si>
    <t>C212</t>
  </si>
  <si>
    <t xml:space="preserve"> 14.5 - B</t>
  </si>
  <si>
    <t xml:space="preserve"> 14.5 - B El seguimiento e informes públicos de los resultados posteriores a la falla están en regla con los umbrales e indicadores descritos en los planes de reconstrucción, restauración y recuperación. </t>
  </si>
  <si>
    <t>C213</t>
  </si>
  <si>
    <t xml:space="preserve"> 14.5 - C</t>
  </si>
  <si>
    <t xml:space="preserve"> 14.5 - C Las actividades de seguimiento e informes públicos posteriores a la falla se adaptan en respuesta a los resultados y observaciones. </t>
  </si>
  <si>
    <t>C214</t>
  </si>
  <si>
    <t>VI</t>
  </si>
  <si>
    <t>DIVULGACIÓN PÚBLICA Y ACCESO A LA INFORMACIÓN</t>
  </si>
  <si>
    <t>Principio 15</t>
  </si>
  <si>
    <t>Hacer pública y permitir el acceso a la información sobre instalaciones de relaves para respaldar la rendición de cuentas al público general.</t>
  </si>
  <si>
    <t>Requisito 15.1</t>
  </si>
  <si>
    <t xml:space="preserve">Requisito 15.1 Publicar y actualizar información con regularidad sobre el compromiso del Operador con la seguridad de la gestión de la instalación de relaves, implementación de un marco de gobernanza de relaves, políticas a nivel de organización, estándares o enfoques al diseño, construcción, monitoreo y cierre de las instalaciones de relaves. a) Para nuevas instalaciones de relaves para las cuales el proceso de autorización reglamentaria ha comenzado, o son de otra manera aprobadas por el Operador, el Operador deberá publicar y actualizar, en cumplimiento con el Principio 21 del UNGP la siguiente información: 1.Un resumen en lenguaje sencillo1 de la justificación para la base del diseño y sitio seleccionado según los análisis de criterio múltiple, evaluaciones de impacto, y planes de mitigación (la información se puede obtener de la emisión de múltiples Requisitos, incluyendo, pero no limitándose a, Requisitos 3.2, 3.3, 5.1, 5.3, 6.4, 6.6, 7.1 y 10.1); y  2. La Clasificación de Consecuencias. (Requisito 4.1).    b) Para cada instalación de relaves existente en cumplimiento con el Principio 21 del UNGP, el Operador deberá publicar y actualizar por lo menos de forma anual, la siguiente información:      1. Una descripción de la instalación de relaves (se puede obtener información de la emisión de los Requisitos 5.5 y 6.4);    3. Un resumen de los hallazgos en la evaluación de riesgos relevantes a la instalación de relaves (la información se puede obtener de la emisión del Requisito 10.1);   4. Un resumen de la exposición y vulnerabilidad humana en los escenarios de falla de flujo creíble en instalaciones de relaves. (se puede obtener información de la emisión del Requisito 2.4);    5. Una descripción del diseño para todas las fases del ciclo de vida de la instalación de relaves incluyendo la actual y la del apogeo final (se puede obtener información de la emisión del Requisito 5.5);      6. Un resumen de los hallazgos materiales de las revisiones de desempeño anual y la revisión de seguridad de represas (DSR), incluyendo la implementación de medidas de mitigación para reducir los riesgos al ALARP (Se puede obtener la información de la emisión de los Requisitos 10.4 y 10.5);    7. Un resumen de hallazgos materiales del programa de monitoreo medioambiental y social incluyendo la implementación de medidas de mitigación (Requisito 7.5);    8. Una versión resumida del EPRP da la instalación de relaves para instalaciones que tienen un(os) modelo(s) de falla de flujo creíble(s) que pudieran conducir a un evento de falla de flujo que: (i) informado por escenarios de falla de flujo creíbles del análisis de brecha de la instalación de relaves; (ii) incluya medida de respuesta frente a emergencias que apliquen a las personas afectadas por el proyecto identificadas en el análisis de brecha de la instalación de relaves e involucren la cooperación de las agencias del sector público: y (iii) excluye detalles de medidas de preparación frente a emergencias que apliquen a los activos del Operador, o información confidencial (Requisitos 13.1 y 13.2);   9. Fechas de las revisiones independientes más recientes y de las siguientes (Requisito 10.5); y   10. Confirmación anual que el Operador tiene la capacidad financiera adecuada (incluyendo seguro, en la medida de lo comercialmente razonable) para cubrir los costos estimados del cierre planificado, cierre temprano, recuperación, y post-cierre de la instalación de relaves y sus estructuras correspondientes (Requisito 10.7).        Tales divulgaciones deberán hacerse directamente, a menos que estén sujetas a limitaciones impuestas por las autoridades reguladoras.    c) Proporcionar a las autoridades locales y servicios de emergencia con información suficiente derivada del análisis de brecha para permitir una planificación de gestión de desastres eficaz (la información puede ser obtenida de la emisión del Requisito 2.3). </t>
  </si>
  <si>
    <t xml:space="preserve"> 15.1 - A</t>
  </si>
  <si>
    <t xml:space="preserve"> 15.1 - A Todas las divulgaciones especificadas en 15.1 (A) y (B) son abordadas. </t>
  </si>
  <si>
    <t>C215</t>
  </si>
  <si>
    <t xml:space="preserve"> 15.1 - B</t>
  </si>
  <si>
    <t xml:space="preserve"> 15.1 - B Las divulgaciones especificadas en 15.1(C) son abordadas. </t>
  </si>
  <si>
    <t>C216</t>
  </si>
  <si>
    <t>Requisito 15.2</t>
  </si>
  <si>
    <t xml:space="preserve">Requisito 15.2 Responder de forma sistemática y oportuno a las solicitudes de las partes involucradas interesadas y afectadas para material de información adicional sobre la seguridad pública e integridad de la instalación de relaves. Cuando la solicitud de información sea denegada, proporcionar información a la parte interesada solicitante. </t>
  </si>
  <si>
    <t xml:space="preserve"> 15.2 - A</t>
  </si>
  <si>
    <t xml:space="preserve"> 15.2 - A El Operador mantiene un enfoque sistemático y oportuno a la respuesta de solicitudes de material 1 informativo de seguridad pública e integridad de la instalación de relaves por parte de personas afectadas por el proyecto. </t>
  </si>
  <si>
    <t>C217</t>
  </si>
  <si>
    <t xml:space="preserve"> 15.2 - B</t>
  </si>
  <si>
    <t xml:space="preserve"> 15.2 - B En las instancias que tales solicitudes son denegadas por el Operador, se deberá proporcionar una explicación a las personas afectadas por el proyecto dentro de un plazo razonable y se mantendrán registros de las explicaciones brindadas relevantes a las personas afectadas por el proyecto solicitantes. </t>
  </si>
  <si>
    <t>C218</t>
  </si>
  <si>
    <t>Requisito 15.3</t>
  </si>
  <si>
    <t xml:space="preserve">Requisito 15.3 Comprometerse para cooperar en iniciativas de transparencia global fiables para crear bases de datos, inventarios u otros depósitos de información sobre la seguridad e integridad de las instalaciones de relaves estandarizados, independientes, a nivel de industria y de acceso público. </t>
  </si>
  <si>
    <t xml:space="preserve"> 15.3 - A</t>
  </si>
  <si>
    <t xml:space="preserve"> 15.3 - A Contribuye con información a las iniciativas de transparencia global relacionadas a la seguridad e integridad de instalaciones de relaves. </t>
  </si>
  <si>
    <t>C219</t>
  </si>
  <si>
    <t xml:space="preserve"> 15.3 - B</t>
  </si>
  <si>
    <t xml:space="preserve"> 15.3 - B Actualizar periódicamente la información divulgada relacionada a la seguridad e integridad de instalaciones de relaves, como mínimo de acuerdo a los requisitos en 15.1 </t>
  </si>
  <si>
    <t>Codigo_Criterio</t>
  </si>
  <si>
    <t>ID_Criterio_Plataforma</t>
  </si>
  <si>
    <t>Nombre del tema</t>
  </si>
  <si>
    <t>Texto literal del criterio (ICMM, ES)</t>
  </si>
  <si>
    <t>Preguntas_clave</t>
  </si>
  <si>
    <t>Aplicabilidad</t>
  </si>
  <si>
    <t>Estado_mapeo</t>
  </si>
  <si>
    <t>N° documentos</t>
  </si>
  <si>
    <t>N° principales</t>
  </si>
  <si>
    <t>1.1.a</t>
  </si>
  <si>
    <t>Comunidades afectadas</t>
  </si>
  <si>
    <t>1.1</t>
  </si>
  <si>
    <t>El Operador tiene una política de compromiso para respetar los derechos humanos de acuerdo al UNGP.</t>
  </si>
  <si>
    <t>¿Abarca compromiso(s) para respetar los derechos humanos de acuerdo al UNGP?</t>
  </si>
  <si>
    <t>Instalación existente</t>
  </si>
  <si>
    <t>Listo</t>
  </si>
  <si>
    <t>1.1.b</t>
  </si>
  <si>
    <t>El Operador ha realizado el proceso de diligencias de derechos humanos específicas al sitio para informarlas decisiones de gestión a través del ciclo de vida de los relaves.</t>
  </si>
  <si>
    <t>¿Contiene la evaluación y riesgos de los derechos humanos?
¿La debida diligencia es específica del sitio e incluye la instalación de relaves?
¿Hay evidencia de que los hallazgos se actualizan con regularidad y han informado decisiones de gestión a lo largo del tiempo (actas, medidas implementadas)?</t>
  </si>
  <si>
    <t>1.1.c</t>
  </si>
  <si>
    <t>El Operador ha abordado los riesgos a los derechos humanos de los escenarios de falla creíbles de la instalación de relaves donde aquellos escenarios existan para tal instalación.</t>
  </si>
  <si>
    <t xml:space="preserve">¿Se ha identificado los escenarios de falla creíbles de la instalación de relaves?
¿Se ha evaluado los riesgos potenciales para los derechos humanos asociados a dichos escenarios?
</t>
  </si>
  <si>
    <t>1.2.a</t>
  </si>
  <si>
    <t>1.2</t>
  </si>
  <si>
    <t xml:space="preserve">El Operador ha identificado los grupos indígenas o tribales que puedan verse afectados por una nueva instalación de relaves, y entiende como los derechos de estas personas pueden verse impactados, incluyendo sus tierras y derechos a los recursos y su derecho a la libre determinación. </t>
  </si>
  <si>
    <t>¿Cuenta con el registro de los grupos afectados por el proyecto?
¿Se presenta acuerdos de debida diligencia demostrando cómo se han considerado a los grupos indígenas y tribales?
¿Se cuentan con perfiles de línea base de los grupos indígenas o tribales incluyendo características comunales, culturales y de uso de tierras/recursos?
¿Se cuenta con evaluaciones riesgo/impacto pertinentes a los derechos de los grupos indígenas y tribales?
¿Se cuenta con planes diseñados para apoyar el compromiso significativo de los grupos indígenas y tribales, mediante un proceso mutuamente aceptable para el compromiso significativo y negociación de buena fe?</t>
  </si>
  <si>
    <t>1.2.b</t>
  </si>
  <si>
    <t>El Operador trabaja para obtener y mantener el CLPI por parte de los grupos indígenas o tribales, en cumplimiento con la guía internacional y marco de las mejores prácticas reconocidas.</t>
  </si>
  <si>
    <r>
      <t>¿Se detalla sobre la información compartida con los grupos afectados?
¿El acuerdo es aceptado mutuamente?
¿Hay registros de participación que muestren el compromiso respecto a los puntos de decisión clave</t>
    </r>
    <r>
      <rPr>
        <sz val="10"/>
        <color rgb="FF3F3E3E"/>
        <rFont val="Arial"/>
        <family val="2"/>
      </rPr>
      <t xml:space="preserve"> del ciclo de vida de la instalación?</t>
    </r>
  </si>
  <si>
    <t>1.3.a</t>
  </si>
  <si>
    <t>1.3</t>
  </si>
  <si>
    <t>El Operador ha identificado a los grupos afectados por el proyecto.</t>
  </si>
  <si>
    <r>
      <t xml:space="preserve">¿Se identifica los grupos afectados por el proyecto?
¿El registro o mapa de actores indica ubicación </t>
    </r>
    <r>
      <rPr>
        <sz val="10"/>
        <color rgb="FF3F3E3E"/>
        <rFont val="Arial"/>
        <family val="2"/>
      </rPr>
      <t>y medio de participación de cada grupo?</t>
    </r>
  </si>
  <si>
    <t>1.3.b</t>
  </si>
  <si>
    <t>El Operador ha asumido un compromiso significativo con los grupos afectados por el proyecto a través del ciclo de vida de la instalación de relaves para: 
– Compartir información relevante y accesible sobre la instalación de relaves; 
– Construir la base de conocimientos para la instalación de relaves, incluyendo el contexto social, medioambiental y económico local; y, 
– Buscar retroalimentación en las decisiones que pueden tener relación con la seguridad pública y la integridad de la instalación de relaves.</t>
  </si>
  <si>
    <t>¿Se evidencia que la información de evaluaciones de riesgo, planes de emergencia y plan de cierre de la instalación de relaves es compartida con los grupos afectados?
¿Hay evidencia del registro de participación de los grupos afectados?</t>
  </si>
  <si>
    <t>1.4.a</t>
  </si>
  <si>
    <t>1.4</t>
  </si>
  <si>
    <t>Se desarrolló e implementó un mecanismo de reclamos accesible y eficaz a nivel operativo para personas afectadas por el proyecto.</t>
  </si>
  <si>
    <t>¿Se describe el proceso o mecanismo de las quejas y/o reclamos?
¿El mecanismo es accesible para las personas afectadas por la instalación de relaves?</t>
  </si>
  <si>
    <t>1.4.b</t>
  </si>
  <si>
    <t>El mecanismo de reclamos abarca quejas y agravios de las personas afectadas por el proyecto relacionado a la instalación de relaves.</t>
  </si>
  <si>
    <r>
      <t xml:space="preserve">¿Las quejas y/o reclamos se registran de forma sistemática?
¿Hay evidencia que las </t>
    </r>
    <r>
      <rPr>
        <sz val="10"/>
        <color rgb="FF3F3E3E"/>
        <rFont val="Arial"/>
        <family val="2"/>
      </rPr>
      <t>quejas y/o agravios están siendo abordados?</t>
    </r>
  </si>
  <si>
    <t>1.4.c</t>
  </si>
  <si>
    <t>El mecanismo de reclamos brinda soluciones de acuerdo a las UNGPs 29-31.</t>
  </si>
  <si>
    <t>¿Se indica cómo se dará respuesta a la queja y/o reclamo presentado?
¿Se demuestra la efectividad del mecanismo de reclamo según UNGP 29-31 (legitimidad, accesibilidad, previsibilidad, equidad, transparencia, aprendizaje continuo)?</t>
  </si>
  <si>
    <t>2.1.a</t>
  </si>
  <si>
    <t>Base de conocimientos integrada</t>
  </si>
  <si>
    <t>2.1</t>
  </si>
  <si>
    <t>El Operador ha documentado el contexto social, medioambiental y económico específico del sitio con respecto a su instalación de relaves.</t>
  </si>
  <si>
    <r>
      <t xml:space="preserve">¿Documenta la evaluación de impacto medioambiental </t>
    </r>
    <r>
      <rPr>
        <sz val="10"/>
        <color rgb="FF3F3E3E"/>
        <rFont val="Arial"/>
        <family val="2"/>
      </rPr>
      <t>y sociales?</t>
    </r>
  </si>
  <si>
    <t>2.1.b</t>
  </si>
  <si>
    <t>Evalúa las incertidumbres asociadas al cambio climático que pueda impactar la seguridad de la instalación de relaves (véase también requisito GISTM 3.1)</t>
  </si>
  <si>
    <t>¿Describe las evaluaciones asociadas al cambio climático?
¿Evalúa el efecto de condiciones hidrológicas variables sobre los escenarios de falla creíbles?</t>
  </si>
  <si>
    <t>2.1.c</t>
  </si>
  <si>
    <t>El Operador actualiza la información descrita arriba en un intervalo de por lo menos cinco años, y cada vez que haya un cambio material en la instalación de relaves o relacionado al contexto ambiental, social o económico.</t>
  </si>
  <si>
    <r>
      <t>¿El estudio</t>
    </r>
    <r>
      <rPr>
        <sz val="10"/>
        <color rgb="FF3F3E3E"/>
        <rFont val="Arial"/>
        <family val="2"/>
      </rPr>
      <t xml:space="preserve"> tiene 5 años o menos?</t>
    </r>
  </si>
  <si>
    <t>2.2.a</t>
  </si>
  <si>
    <t>2.2</t>
  </si>
  <si>
    <t>Existe una caracterización detallada del(los) sitio(s) de la instalación de relaves y se actualiza según se justifica a través del ciclo de vida, para reflejar los cambios materiales en las condiciones y nuevos conocimientos.</t>
  </si>
  <si>
    <t>¿Existe un estudio de caracterización del sitio?
¿La caracterización se ha actualizado ante cambios materiales o nuevo conocimiento a lo largo del ciclo de vida?</t>
  </si>
  <si>
    <t>2.2.b</t>
  </si>
  <si>
    <t>La caracterización del sitio es respaldada por datos incluyendo datos en clima, geomorfología, geología, geoquímica, hidrología, hidrogeología (flujo y calidad de aguas superficiales y subsuelo), geotécnicos y sísmicos).</t>
  </si>
  <si>
    <r>
      <t xml:space="preserve">¿Abarca datos en clima, geomorfología, geología, geoquímica, hidrología, hidrogeología </t>
    </r>
    <r>
      <rPr>
        <sz val="10"/>
        <color rgb="FF3F3E3E"/>
        <rFont val="Arial"/>
        <family val="2"/>
      </rPr>
      <t>(flujo y calidad de aguas superficiales y subsuelo), sismicidad y geotecnia?</t>
    </r>
  </si>
  <si>
    <t>2.2.c</t>
  </si>
  <si>
    <t>Existe una caracterización de relaves, considerando las propiedades físicas y geoquímicas, y se actualizan a lo largo del ciclo de vida para tomar en cuenta la variabilidad en las propiedades y el procesamiento del mineral y la deposición de relaves.</t>
  </si>
  <si>
    <t>¿Se incluye la caracterización física de relaves?
¿Se incluye la caracterización geoquímica de los relaves?
¿Se actualiza la caracterización física y geoquímica a lo largo del ciclo de vida de la instalación?</t>
  </si>
  <si>
    <t>2.3.a</t>
  </si>
  <si>
    <t>2.3</t>
  </si>
  <si>
    <r>
      <t>Donde una instalación de relaves tiene un modelo/escenario de falla creíble</t>
    </r>
    <r>
      <rPr>
        <sz val="10"/>
        <color rgb="FF3F3E3E"/>
        <rFont val="Arial"/>
        <family val="2"/>
      </rPr>
      <t>, hay un análisis de brecha documentado para la instalación de relaves, utilizando una metodología que considere los modelos de falla creíbles, condiciones del sitio y propiedades de los relaves.</t>
    </r>
  </si>
  <si>
    <t>¿Se presenta un análisis de brecha o análisis de rotura de presa?
¿El análisis de rotura de presa considera modos de falla creíbles?
¿El análisis de rotura de presa considera las condiciones de sitio y propiedades de los relaves?</t>
  </si>
  <si>
    <t>2.3.b</t>
  </si>
  <si>
    <t>El área física potencialmente afectada por una falla es estimada y definida.</t>
  </si>
  <si>
    <t>¿Se presenta mapas de las áreas afectadas por cada escenario de falla creíble?</t>
  </si>
  <si>
    <t>2.3.c</t>
  </si>
  <si>
    <t>Para las instalaciones con escenarios de falla creíbles involucrando materiales fluidos (agua y sólidos licuables) y con una clasificación de consecuencias de “Altas”, “Muy Altas” o “Extremas”, se estiman los tiempos de llegada de flujo, profundidades de flujo, velocidades de flujo y profundidad del material depositado.</t>
  </si>
  <si>
    <t>¿Para las instalaciones con escenario de falla creíble que involucran fluidos y clasificación de consecuentas alta, muy alta o extrema, se presenta los tiempos de llegada, velocidades de flujo y profundidad del material depositado?</t>
  </si>
  <si>
    <t>2.3.d</t>
  </si>
  <si>
    <t>Para las instalaciones que cumplen con las condiciones a, b y c, el análisis de brecha se completa/ actualiza si se da un cambio material en la instalación de relaves o a la base de conocimientos que resulte en un escenario de falla creíble que pueda llevar a una falla de flujo.</t>
  </si>
  <si>
    <t>¿El análisis de brecha ha sido actualizado en base a un cambio de materiales o actualización de parámetros?</t>
  </si>
  <si>
    <t>2.4.a</t>
  </si>
  <si>
    <t>2.4</t>
  </si>
  <si>
    <t>Se identifican los grupos de mayor riesgo, considerando el análisis de brechas para aquellas instalaciones con escenarios de fallas creíbles según el Requisito 2.3.</t>
  </si>
  <si>
    <t>¿Se identifican y jerarquizan los grupos de mayor riesgo dentro y cerca del área de inundación?</t>
  </si>
  <si>
    <t>Pendiente</t>
  </si>
  <si>
    <t>2.4.b</t>
  </si>
  <si>
    <t>Se documenta la exposición y vulnerabilidad humana potencial de los escenarios de fallas creíbles de la instalación de relaves.</t>
  </si>
  <si>
    <r>
      <t xml:space="preserve">¿Se documentan la </t>
    </r>
    <r>
      <rPr>
        <sz val="10"/>
        <color rgb="FF3F3E3E"/>
        <rFont val="Arial"/>
        <family val="2"/>
      </rPr>
      <t>exposición y vulnerabilidad humana potencial de los escenarios de falla creíble?</t>
    </r>
  </si>
  <si>
    <t>2.4.c</t>
  </si>
  <si>
    <t>La evaluación de la exposición y vulnerabilidad humana se actualiza si es que se da un cambio material1 a la credibilidad de la falla de flujo potencial y su correspondiente análisis de brecha o base del conocimiento.</t>
  </si>
  <si>
    <r>
      <t>¿La evaluación de exposición y vulnerabilidad está actualizada</t>
    </r>
    <r>
      <rPr>
        <sz val="10"/>
        <color rgb="FF3F3E3E"/>
        <rFont val="Arial"/>
        <family val="2"/>
      </rPr>
      <t xml:space="preserve"> tras el último cambio del material o de la base de conocimiento?</t>
    </r>
  </si>
  <si>
    <t>3.1.a</t>
  </si>
  <si>
    <t>3.1</t>
  </si>
  <si>
    <t>Para mejorar la resistencia, se actualiza con regularidad el conocimiento sobre el cambio climático y se usa para evaluar los riesgos y oportunidades para el ciclo de vida de la instalación de relaves, en cumplimiento con los principios de gestión adaptativa, con la meta de mejorar la resistencia al cambio climático.</t>
  </si>
  <si>
    <r>
      <t xml:space="preserve">¿Se actualiza el conocimiento sobre el cambio climático aplicada a la instalación?
¿Los resultados se usan en la evaluación de riesgos y oportunidades </t>
    </r>
    <r>
      <rPr>
        <sz val="10"/>
        <color rgb="FF3F3E3E"/>
        <rFont val="Arial"/>
        <family val="2"/>
      </rPr>
      <t>para el ciclo de vida de la instalación en cumplimiento con los principios de gestión adaptativa?</t>
    </r>
  </si>
  <si>
    <t>3.2.a</t>
  </si>
  <si>
    <t>3.2</t>
  </si>
  <si>
    <r>
      <t xml:space="preserve">Para las nuevas instalaciones de relaves, un </t>
    </r>
    <r>
      <rPr>
        <i/>
        <sz val="10"/>
        <color rgb="FF3F3E3E"/>
        <rFont val="Arial"/>
        <family val="2"/>
      </rPr>
      <t>Análisis de Alternativas</t>
    </r>
    <r>
      <rPr>
        <sz val="10"/>
        <color rgb="FF3F3E3E"/>
        <rFont val="Arial"/>
        <family val="2"/>
      </rPr>
      <t xml:space="preserve"> se realiza para examinar sitios, tecnologías y estrategias factibles para el tratamiento de relaves durante el ciclo de vida, que busca minimizar: 
– riesgos a las personas y medio ambiente. 
– volumen de relaves y aguas almacenados en instalaciones superficiales.</t>
    </r>
  </si>
  <si>
    <r>
      <t>¿Existe un análisis de alternativas de sitios, tecnologías y estrategias de gestión de relaves?
¿El análisis busca minimizar riesgos a personas y ambiente y el volumen de relaves y agua almacenados en superficie?</t>
    </r>
    <r>
      <rPr>
        <sz val="10"/>
        <color theme="1"/>
        <rFont val="Arial"/>
        <family val="2"/>
      </rPr>
      <t xml:space="preserve"> </t>
    </r>
  </si>
  <si>
    <t>Instalación nueva</t>
  </si>
  <si>
    <t>3.2.b</t>
  </si>
  <si>
    <t>Para instalaciones existentes que no estén en un estado de cierre seguro, hay revisiones periódicas de las tecnologías, diseños y estrategias de tratamiento de relaves, y evaluaciones del potencial para implementar mejoras que surjan de las revisiones.</t>
  </si>
  <si>
    <t>¿Se realizan revisiones periódicas de tecnologías, diseños y estrategias de gestión de relaves?
¿Se evaluó el potencial de implementar las mejoras identificadas y se documentó la decisión?</t>
  </si>
  <si>
    <t>3.2.c</t>
  </si>
  <si>
    <t>Para las nuevas instalaciones, el análisis es revisado por el ITRB o un revisor técnico superior independiente.</t>
  </si>
  <si>
    <t>¿El análisis de alternativas fue revisado por el ITRB o un revisor técnico senior independiente?</t>
  </si>
  <si>
    <t>3.3.a</t>
  </si>
  <si>
    <t>3.3</t>
  </si>
  <si>
    <t>Se realizan las evaluaciones de impacto medioambiental, social y económico locales y se informan a la base de conocimiento existente.</t>
  </si>
  <si>
    <r>
      <t xml:space="preserve">¿Existen evaluaciones de impacto </t>
    </r>
    <r>
      <rPr>
        <sz val="10"/>
        <color rgb="FF3F3E3E"/>
        <rFont val="Arial"/>
        <family val="2"/>
      </rPr>
      <t>medioambiental, social y económico local de la instalación de relaves?</t>
    </r>
  </si>
  <si>
    <t>3.3.b</t>
  </si>
  <si>
    <t>Las evaluaciones ambientales, sociales y económico locales demuestran que las incertidumbres son consideradas en la evaluación de la vida de los impactos de las instalaciones de relaves y si hay algún potencial para una falla creíble a lo largo del ciclo de vida de la instalación de relaves.</t>
  </si>
  <si>
    <r>
      <t>¿La evaluación de impactos considera explícitamente las incertidumbres (incluido cambio climático) a lo largo del ciclo de vida</t>
    </r>
    <r>
      <rPr>
        <sz val="10"/>
        <color rgb="FF3F3E3E"/>
        <rFont val="Arial"/>
        <family val="2"/>
      </rPr>
      <t xml:space="preserve"> de la instalación?
¿Se analiza el potencial de falla creíble y sus impactos?</t>
    </r>
  </si>
  <si>
    <t>3.3.c</t>
  </si>
  <si>
    <t>Medidas y planes de mitigación y gestión son desarrollados, documentados e implementados para abarcar los impactos materiales crónicos y agudos.</t>
  </si>
  <si>
    <r>
      <t xml:space="preserve">¿Existen medidas y planes de mitigación y gestión para impactos materiales crónicos y agudos?
</t>
    </r>
    <r>
      <rPr>
        <sz val="10"/>
        <color rgb="FF3F3E3E"/>
        <rFont val="Arial"/>
        <family val="2"/>
      </rPr>
      <t>¿Las evaluaciones y planes son documentados e informados de forma continua?</t>
    </r>
  </si>
  <si>
    <t>3.3.d</t>
  </si>
  <si>
    <t>Los planes de gestión se basan en los principios y prácticas de una jerarquía de mitigación y planes de gestión para la instalación de relaves y se actualizan a lo largo del ciclo de vida de la instalación de relaves.</t>
  </si>
  <si>
    <r>
      <t>¿Los planes de gestión aplican la jerarquía de mitigación (evitar, minimizar, restaurar, compensar)</t>
    </r>
    <r>
      <rPr>
        <sz val="10"/>
        <color rgb="FF3F3E3E"/>
        <rFont val="Arial"/>
        <family val="2"/>
      </rPr>
      <t>?
¿Los planes se han actualizado a lo largo del ciclo de vida?</t>
    </r>
  </si>
  <si>
    <t>3.4.a</t>
  </si>
  <si>
    <t>3.4</t>
  </si>
  <si>
    <t>El cambio material como ha sido definido por el Operador es aplicado consistentemente para generar actualizaciones en las evaluaciones medioambientales, sociales y económicas de la instalación de relaves.</t>
  </si>
  <si>
    <t>¿El Operador tiene una definición documentada de cambio material?
¿La definición está vinculada a un proceso para actualizar las evaluaciones de impacto medioambientales, sociales y económicas?</t>
  </si>
  <si>
    <t>3.4.b</t>
  </si>
  <si>
    <t>Se actualiza la gestión de la instalación de relaves de acuerdo a las mejores prácticas de gestión adaptativa si nuevos datos (incluyendo conocimientos sobre cambio climático) indican que los impactos de la instalación de relaves han cambiado materialmente.</t>
  </si>
  <si>
    <r>
      <t xml:space="preserve">¿Se aplica gestión adaptativa cuando nuevos datos (incluido cambio climático) indican cambios materiales en los impactos?
¿Hay evidencia de planes de gestión </t>
    </r>
    <r>
      <rPr>
        <sz val="10"/>
        <color theme="1"/>
        <rFont val="Arial"/>
        <family val="2"/>
      </rPr>
      <t>actualizados</t>
    </r>
    <r>
      <rPr>
        <sz val="10"/>
        <color rgb="FF3F3E3E"/>
        <rFont val="Arial"/>
        <family val="2"/>
      </rPr>
      <t>?</t>
    </r>
  </si>
  <si>
    <t>4.1.a</t>
  </si>
  <si>
    <t>Diseño, construcción, operación y monitoreo de las instalaciones de relaves</t>
  </si>
  <si>
    <t>4.1</t>
  </si>
  <si>
    <t>Se determina la clasificación de consecuencias de fallas de instalaciones de relaves al evaluar las condiciones aguas abajo documentadas en la base de conocimientos y adopta: (i) la clasificación de consecuencias para el nivel más alto en cada categoría en el Anexo 2, Tabla 1, o (ii) un enfoque más conservador mediante la adopción de criterios de diseño de carga post-cierre “Extremos” en el Anexo 2.</t>
  </si>
  <si>
    <r>
      <t xml:space="preserve">¿Se determina la clasificación de consecuencias evaluando las condiciones aguas abajo documentadas en la base de conocimiento?
</t>
    </r>
    <r>
      <rPr>
        <sz val="10"/>
        <color rgb="FF3F3E3E"/>
        <rFont val="Arial"/>
        <family val="2"/>
      </rPr>
      <t>¿Se adopta el nivel más alto de cada categoría de la Tabla 1 del Anexo 2 o, alternativamente, un enfoque más conservador considerando los criterios de carga 'Extrema' en el Anexo 2?</t>
    </r>
  </si>
  <si>
    <t>4.1.b</t>
  </si>
  <si>
    <t>Para a(i) basar la evaluación y selección de la clasificación en modelos/escenarios de fallas creíbles.</t>
  </si>
  <si>
    <t>¿La clasificación se basa en modos/escenarios de falla creíbles?</t>
  </si>
  <si>
    <t>4.1.c</t>
  </si>
  <si>
    <t>Documentar la evaluación y selección con evidencia defendible.</t>
  </si>
  <si>
    <t>¿La selección de la clasificación está documentada?</t>
  </si>
  <si>
    <t>4.2.a</t>
  </si>
  <si>
    <t>4.2</t>
  </si>
  <si>
    <t>Se preparan diseños preliminares para la instalación de relaves, con consideración de las etapas del ciclo de vida, utilizando criterios de carga de diseños externos consistentes con la clasificación de consecuencias de fallas basada en condiciones actuales y la Clasificación de Consecuencias mayor (incluyendo “Extrema”).</t>
  </si>
  <si>
    <t>¿Se prepararon diseños preliminares considerando las etapas del ciclo de vida?
¿Se usaron criterios de carga externa de la clasificación actual y de la clasificación mayor (incluida 'Extrema')?</t>
  </si>
  <si>
    <t>4.2.b</t>
  </si>
  <si>
    <t>Adoptar (i) los criterios de carga externa de la Clasificación de Consecuencias “Extrema”, o (ii) adoptar los criterios de carga de la Clasificación de Consecuencias actual o una mayor, y demostrar la factibilidad, a nivel de prueba de concepto, para mejorar el diseño para que el criterio de clasificación “Extremo” se mantenga a lo largo del ciclo de vida de la instalación de relaves.</t>
  </si>
  <si>
    <r>
      <t xml:space="preserve">¿Se adoptaron los criterios de carga 'Extrema' o, en su defecto, los de la clasificación actual o mayor?
Si no se adoptó 'Extrema', ¿se demostró a nivel de prueba de concepto la factibilidad de mejorar el diseño </t>
    </r>
    <r>
      <rPr>
        <sz val="10"/>
        <color rgb="FF3F3E3E"/>
        <rFont val="Arial"/>
        <family val="2"/>
      </rPr>
      <t>(ej. la expansión aguas abajo, diseño que permita acomodar un contrafuerte de ser necesario, fuentes de materiales de construcción, o capacidad de incremento del borde libre?</t>
    </r>
  </si>
  <si>
    <t>4.2.c</t>
  </si>
  <si>
    <t>Si la opción b(ii) anterior es implementada, la Clasificación de Consecuencias es revisada al momento de la Revisión de Seguridad de Represas (DRS) y por lo menos cada cinco años, o antes si se da algún cambio material en el contexto social, medioambiental o económico local, y completar la mejora de la instalación de relaves conforme a la nueva Clasificación de Consecuencias determinada por la DSR dentro de tres años. Esta revisión procederá hasta que la instalación de relaves haya sido cerrada de forma segura de acuerdo a este Estándar.</t>
  </si>
  <si>
    <t>¿La clasificación de consecuencias se revisa en cada DSR y al menos cada cinco años o ante cambio material?</t>
  </si>
  <si>
    <t>4.2.d</t>
  </si>
  <si>
    <t>El proceso descrito en a, b y c, deberá ser revisado por la Junta de Revisión de Relaves Independiente (ITRB) o el revisor técnico senior independiente, según sea apropiado para la Clasificación de Consecuencias de la instalación de relaves.</t>
  </si>
  <si>
    <t>¿El proceso de clasificación y selección de criterios de carga fue revisado por el ITRB o un revisor técnico senior independiente?</t>
  </si>
  <si>
    <t>4.2.e</t>
  </si>
  <si>
    <t>Sujeto al Requisito 4.7, los Requisitos 4.2 c y 4.2 d deberán aplicarse también a instalaciones de relaves existentes.</t>
  </si>
  <si>
    <t>¿La clasificación de consecuencias se revisa en cada DSR y al menos cada cinco años o ante cambio material?
¿El proceso de clasificación y selección de criterios de carga fue revisado por el ITRB o un revisor técnico senior independiente?</t>
  </si>
  <si>
    <t>4.3.a</t>
  </si>
  <si>
    <t>4.3</t>
  </si>
  <si>
    <t>Las cargas extremas ya están en su lugar.</t>
  </si>
  <si>
    <t>¿Los criterios de carga externa 'Extrema' ya están adoptados en el diseño?</t>
  </si>
  <si>
    <t>4.3.b</t>
  </si>
  <si>
    <t>Si no se adopta el criterio de carga externo de Clasificación de Consecuencias Extremas, el Ejecutivo Responsable deberá tomar la decisión de adoptar un diseño para el criterio actual de Clasificación de Consecuencias y mantener la flexibilidad para actualizar el diseño para el criterio de clasificación más alto más adelante en el ciclo de vida de la instalación de relaves.</t>
  </si>
  <si>
    <t>¿Existe una decisión documentada y aprobada por el Ejecutivo Responsable para diseñar con la clasificación actual?</t>
  </si>
  <si>
    <t>4.4.a</t>
  </si>
  <si>
    <t>4.4</t>
  </si>
  <si>
    <t>Seleccionar e identificar criterios de diseño que son adecuados para minimizar los riesgos para todos los modelos de falla creíbles durante cada fase del ciclo de vida de la instalación de relaves.</t>
  </si>
  <si>
    <t>¿Los criterios de diseño abarcan todos los modos de falla creíbles para cada fase del ciclo de vida?
¿Están documentados en el DBR para la fase actual y las siguientes?</t>
  </si>
  <si>
    <t>4.4.b</t>
  </si>
  <si>
    <t>Documentar el razonamiento detrás del criterio de diseño seleccionado para minimizar riesgos.</t>
  </si>
  <si>
    <t>¿El DBR documenta el razonamiento detrás de cada criterio de diseño seleccionado?
¿Dicho razonamiento fue revisado por el ITRB o revisor senior?</t>
  </si>
  <si>
    <t>4.5.a</t>
  </si>
  <si>
    <t>4.5</t>
  </si>
  <si>
    <t>Un desarrollo y aplicación de un criterio de diseño tales como factores de seguridad para la estabilidad de taludes y manejo de filtraciones, para cada fase del ciclo de vida que considere:
 – las propiedades operativas estimadas de los materiales y desempeño esperado de los elementos de diseño y 
– la calidad de la implementación de los sistemas de gestión de riesgos.</t>
  </si>
  <si>
    <t>¿Se definen factores de seguridad de estabilidad y criterios de filtración para cada fase del ciclo de vida?
¿Los criterios consideran propiedades operativas estimadas de los materiales y el desempeño esperado de los elementos de diseño?
¿Consideran la calidad de implementación del sistema de gestión de riesgos, como por ejemplo el borde libre o deformación admisible?</t>
  </si>
  <si>
    <t>4.5.b</t>
  </si>
  <si>
    <r>
      <rPr>
        <sz val="10"/>
        <color theme="1"/>
        <rFont val="Arial"/>
        <family val="2"/>
      </rPr>
      <t>Tener en cuenta estos problemas</t>
    </r>
    <r>
      <rPr>
        <sz val="10"/>
        <color rgb="FF3F3E3E"/>
        <rFont val="Arial"/>
        <family val="2"/>
      </rPr>
      <t xml:space="preserve"> de diseño e implementación en las evaluaciones que estén basadas en análisis de deformación.</t>
    </r>
  </si>
  <si>
    <t>¿Las evaluaciones basadas en deformaciones incluyen modelamiento esfuerzo-deformación?
¿El modelo se calibra con la instrumentación in situ de deformaciones?</t>
  </si>
  <si>
    <t>4.6.a</t>
  </si>
  <si>
    <t>4.6</t>
  </si>
  <si>
    <t>Se documenta una evaluación del potencial del modelo de falla frágil y se abordan los análisis en el Reporte de Diseño Base (DBR) 2.</t>
  </si>
  <si>
    <r>
      <t xml:space="preserve">¿Se evaluó el potencial de comportamiento frágil </t>
    </r>
    <r>
      <rPr>
        <sz val="10"/>
        <color rgb="FF3F3E3E"/>
        <rFont val="Arial"/>
        <family val="2"/>
      </rPr>
      <t xml:space="preserve">de los materiales </t>
    </r>
    <r>
      <rPr>
        <sz val="10"/>
        <color theme="1"/>
        <rFont val="Arial"/>
        <family val="2"/>
      </rPr>
      <t>dentro de la intalación de relaves o sus cimientos, o utilizados para actividades de cierre?</t>
    </r>
    <r>
      <rPr>
        <sz val="10"/>
        <color rgb="FF3F3E3E"/>
        <rFont val="Arial"/>
        <family val="2"/>
      </rPr>
      <t xml:space="preserve">
Si existen materiales frágiles con potencial de impactar uno o más modelos de falla creíble, ¿se adoptaron criterios de diseño conservadores independientes del mecanismo de activación y están en el DBR?</t>
    </r>
  </si>
  <si>
    <t>4.7.a</t>
  </si>
  <si>
    <t>4.7</t>
  </si>
  <si>
    <t>Que las instalaciones de relaves existentes deberán cumplir con los requisitos bajo el Principio 4, a excepción de aquellos aspectos donde el Ingeniero de Registro (EOR), con revisión de la ITRB o de un revisor técnico senior independiente, como sea adecuado, determine que una mejora de una instalación de relaves existente no es requerida, viable o no se puede aplicar de forma retroactiva.</t>
  </si>
  <si>
    <t>¿El EOR documentó los aspectos del Principio 4 en que la mejora no es requerida, viable o aplicable retroactivamente?
¿Esa determinación está respaldada por análisis y evaluación de riesgos y fue revisada por el ITRB o revisor senior?</t>
  </si>
  <si>
    <t>4.7.b</t>
  </si>
  <si>
    <t>Que si la condición (a). de arriba aplica, el Ejecutivo Responsable deberá aprobar y documentar la implementación de medidas para reducir tanto la probabilidad de, como las consecuencias de una falla de una instalación de relaves para reducir el riesgo a un nivel tan bajo como sea razonablemente factible (ALARP).</t>
  </si>
  <si>
    <t>¿El Ejecutivo Responsable aprobó y documentó medidas para reducir probabilidad y consecuencias de falla?
¿La evaluación de riesgos demuestra que el riesgo resultante es ALARP?</t>
  </si>
  <si>
    <t>4.7.c</t>
  </si>
  <si>
    <t>La base y tiempo para abordar la mejora de las instalaciones de relaves existentes deberá estar informado sobre los riesgos y debe llevarse a cabo tan pronto como sea razonablemente factible.</t>
  </si>
  <si>
    <t>¿Existe un plan de mejora con base y plazos informados por el riesgo (diseño, permisos y construcción)?
¿Hay evidencia de avance de la implementación tan pronto como sea razonablemente factible?</t>
  </si>
  <si>
    <t>4.8.a</t>
  </si>
  <si>
    <t>4.8</t>
  </si>
  <si>
    <t>Que el EOR preparará un Reporte de Base de Diseño (DBR) que detalle las hipótesis y criterios de diseño, incluyendo las restricciones de operación, y que proporcione la base para el diseño de todas las fases del ciclo de vida de la instalación de relaves.</t>
  </si>
  <si>
    <r>
      <t>¿Existe un DBR preparado por el EOR con hipótesis y criterios de diseño, incluidas las restricciones operativas?
¿El DBR cubre todas las fases del ciclo de vida</t>
    </r>
    <r>
      <rPr>
        <sz val="10"/>
        <color rgb="FF3F3E3E"/>
        <rFont val="Arial"/>
        <family val="2"/>
      </rPr>
      <t>?
¿El DBR referencia los informes de soporte?</t>
    </r>
  </si>
  <si>
    <t>4.8.b</t>
  </si>
  <si>
    <t>Que el DBR será revisado por la ITRB o el revisor técnico senior independiente.</t>
  </si>
  <si>
    <t>¿El DBR fue revisado por el ITRB o revisor técnico senior independiente?
¿Está documentada la revisión y la respuesta a sus observaciones?</t>
  </si>
  <si>
    <t>4.8.c</t>
  </si>
  <si>
    <t>Que el EOR actualizará el DBR cada vez que haya un cambio material en las hipótesis del diseño, criterios del diseño, diseño o base de conocimiento y confirmar la consistencia interna entre estos elementos.</t>
  </si>
  <si>
    <t>¿El DBR se actualizó tras cada cambio material en hipótesis, criterios, diseño o base de conocimiento?
¿La actualización confirma la consistencia interna entre sus elementos y registra el historial de revisiones?</t>
  </si>
  <si>
    <t>5.1.a</t>
  </si>
  <si>
    <t>5.1</t>
  </si>
  <si>
    <t>Que, para las nuevas instalaciones de relaves, el diseño incorpora los resultados del análisis de alternativas (según el Requisito 3.2).</t>
  </si>
  <si>
    <t>¿El diseño adoptado incorpora los resultados del análisis de alternativas?
¿Existe trazabilidad entre la alternativa seleccionada y el DBR/diseño?</t>
  </si>
  <si>
    <t>5.1.b</t>
  </si>
  <si>
    <t>Que, para las expansiones de instalaciones existentes, se evalúan los resultados de las revisiones periódicas de refinamientos potenciales de tecnologías de relaves y enfoques de diseño (según Requisito 3.2).</t>
  </si>
  <si>
    <r>
      <t>¿En las expansiones se evaluaron los resultados de las revisiones periódicas de tecnologías y enfoques de diseño?
¿La evaluación fue revisada por el ITRB u otro</t>
    </r>
    <r>
      <rPr>
        <b/>
        <sz val="10"/>
        <color rgb="FF3F3E3E"/>
        <rFont val="Arial"/>
        <family val="2"/>
      </rPr>
      <t xml:space="preserve"> personal superior de revisiones</t>
    </r>
    <r>
      <rPr>
        <sz val="10"/>
        <color rgb="FF3F3E3E"/>
        <rFont val="Arial"/>
        <family val="2"/>
      </rPr>
      <t>?</t>
    </r>
  </si>
  <si>
    <t>5.1.c</t>
  </si>
  <si>
    <t>Donde el diseño difiere del análisis de alternativas, hay una justificación que incorpora el objetivo de minimizar los riesgos a las personas y medioambiente a lo largo del ciclo de vida de la instalación de relaves.</t>
  </si>
  <si>
    <r>
      <t xml:space="preserve">Si el diseño difiere del análisis de alternativas, ¿existe una justificación documentada?
¿La justificación incorpora el objetivo de minimizar riesgos a personas y </t>
    </r>
    <r>
      <rPr>
        <b/>
        <sz val="10"/>
        <color rgb="FF3F3E3E"/>
        <rFont val="Arial"/>
        <family val="2"/>
      </rPr>
      <t>medio</t>
    </r>
    <r>
      <rPr>
        <sz val="10"/>
        <color rgb="FF3F3E3E"/>
        <rFont val="Arial"/>
        <family val="2"/>
      </rPr>
      <t>ambiente durante el ciclo de vida</t>
    </r>
    <r>
      <rPr>
        <b/>
        <sz val="10"/>
        <color rgb="FF3F3E3E"/>
        <rFont val="Arial"/>
        <family val="2"/>
      </rPr>
      <t xml:space="preserve"> de la instalación de relaves</t>
    </r>
    <r>
      <rPr>
        <sz val="10"/>
        <color rgb="FF3F3E3E"/>
        <rFont val="Arial"/>
        <family val="2"/>
      </rPr>
      <t xml:space="preserve">?
</t>
    </r>
    <r>
      <rPr>
        <b/>
        <sz val="10"/>
        <color rgb="FF3F3E3E"/>
        <rFont val="Arial"/>
        <family val="2"/>
      </rPr>
      <t>¿La justificación fue revisada por el ITRB o por personal superior de revisiones?</t>
    </r>
  </si>
  <si>
    <t>5.2.a</t>
  </si>
  <si>
    <t>5.2</t>
  </si>
  <si>
    <r>
      <t>Que un diseño</t>
    </r>
    <r>
      <rPr>
        <i/>
        <sz val="10"/>
        <color rgb="FF3F3E3E"/>
        <rFont val="Arial"/>
        <family val="2"/>
      </rPr>
      <t xml:space="preserve"> robusto</t>
    </r>
    <r>
      <rPr>
        <sz val="10"/>
        <color rgb="FF3F3E3E"/>
        <rFont val="Arial"/>
        <family val="2"/>
      </rPr>
      <t xml:space="preserve"> considera: 
– El contexto técnico, social, medioambiental, y económico local de la instalación de relaves. 
– La Clasificación de Consecuencias, condiciones del sitio, gestión de aguas, operaciones de planta minera, y problemas operacionales y de construcción de relaves. 
– El diseño muestra la factibilidad del cierre seguro de la instalación de relaves.</t>
    </r>
  </si>
  <si>
    <r>
      <t xml:space="preserve">¿El diseño considera el contexto técnico, social, </t>
    </r>
    <r>
      <rPr>
        <b/>
        <sz val="10"/>
        <color rgb="FF3F3E3E"/>
        <rFont val="Arial"/>
        <family val="2"/>
      </rPr>
      <t>medio</t>
    </r>
    <r>
      <rPr>
        <sz val="10"/>
        <color rgb="FF3F3E3E"/>
        <rFont val="Arial"/>
        <family val="2"/>
      </rPr>
      <t>ambiental y económico local?
¿Considera la clasificación de consecuencias, condiciones del sitio, gestión de aguas, operación de planta y problemas de construcción y operación?
¿Demuestra la factibilidad de un cierre seguro?</t>
    </r>
  </si>
  <si>
    <t>5.2.b</t>
  </si>
  <si>
    <t>El diseño es revisado y actualizado a la vez que el desempeño y los datos desempeño de sitio lleguen a estar disponibles a través del ciclo de vida de la instalación de relaves y/o en respuesta a los cambios materiales.</t>
  </si>
  <si>
    <r>
      <t>¿El diseño se revisa y actualiza con datos de desempeño (instrumentación, investigaciones, inspecciones) durante todo el ciclo de vida de la instalación?</t>
    </r>
    <r>
      <rPr>
        <sz val="10"/>
        <color rgb="FF3F3E3E"/>
        <rFont val="Arial"/>
        <family val="2"/>
      </rPr>
      <t xml:space="preserve">
¿Los cambios materiales se registran en la gestión del cambio y se reflejan en el DBR?</t>
    </r>
  </si>
  <si>
    <t>5.3.a</t>
  </si>
  <si>
    <t>5.3</t>
  </si>
  <si>
    <t>Un plan de tratamiento de aguas que tome en consideración la base del conocimiento, el plan minero para el estado actual del ciclo de vida de la instalación de relaves, cuencas hidrológicas e hidrogeológicas aguas arriba y aguas abajo, y el potencial para el cambio climático.</t>
  </si>
  <si>
    <t>¿Existe un plan de gestión de aguas que considere la base de conocimiento y el plan minero actual?
¿Los elementos clave del plan de gestión de aguas está documentado en el DBR y en los reportes que lo respaldan? 
¿Considera cuencas hidrológicas e hidrogeológicas aguas arriba y aguas abajo, así como el potencial para el cambio climático?</t>
  </si>
  <si>
    <t>5.3.b</t>
  </si>
  <si>
    <t>Un modelo de balance de aguas que considere el plan general de tratamiento de aguas.</t>
  </si>
  <si>
    <t>¿Existe un modelo de balance de aguas con todos los ingresos y salidas de la instalación?
¿El modelo es consistente con el plan de gestión de aguas?</t>
  </si>
  <si>
    <t>5.3.c</t>
  </si>
  <si>
    <t>El plan de tratamiento de aguas y el balance de aguas abarcan la seguridad de la instalación de relaves y la prevención de descargas involuntarias.</t>
  </si>
  <si>
    <t>¿El plan y el balance de aguas abordan la seguridad de la instalación? 
¿Prevén el almacenamiento y descarga de aliviaderos para evitar descargas no intencionales, con requisitos documentados en el DBR?</t>
  </si>
  <si>
    <t>5.4.a</t>
  </si>
  <si>
    <t>5.4</t>
  </si>
  <si>
    <t>Modelos de falla potencial a la estructura, su fundación, estribos, reservorio (depósitos de relaves y poza de agua recuperada)), Borde del embalse, y estructuras de apertura son identificadas y categorizadas por las evaluaciones de riesgos, y abarcadas a través de medidas preventivas incorporadas en el diseño y/o a través de controles operativos.</t>
  </si>
  <si>
    <t>¿Se identifican y categorizan los modos de falla potenciales de estructura, cimentación, estribos, vaso, borde del embalse y obras de descarga?
¿Cada modo de falla tiene medidas preventivas de diseño y/o controles operativos asignados?</t>
  </si>
  <si>
    <t>5.4.b</t>
  </si>
  <si>
    <t>Evaluaciones de riesgos son utilizadas para informar el diseño para minimizar el riesgo al ALARP. Evaluaciones de riesgo deben utilizarse para determinar si los modelos/escenarios de falla creíbles son fiables.</t>
  </si>
  <si>
    <t>¿La evaluación de riesgos informó el diseño para reducir el riesgo a ALARP?
¿La evaluación de riesgos determina qué modos/escenarios de falla son creíbles y justifica los descartados?</t>
  </si>
  <si>
    <t>5.5.a</t>
  </si>
  <si>
    <t>5.5</t>
  </si>
  <si>
    <t>Se realizan diseños para cada etapa de construcción de la instalación de relaves, incluyendo, pero no limitándose al inicio, levantamiento parcial y configuraciones internas, levantamiento final, y todas las etapas de cierre previas a la construcción. El nivel de detalle del diseño debe ser acorde a la fase del ciclo de vida de la instalación de relaves2.</t>
  </si>
  <si>
    <r>
      <t xml:space="preserve">¿Existen diseños para cada etapa de construcción </t>
    </r>
    <r>
      <rPr>
        <sz val="10"/>
        <color rgb="FF3F3E3E"/>
        <rFont val="Arial"/>
        <family val="2"/>
      </rPr>
      <t>de la instalación?
¿El nivel de detalle es acorde a la fase del ciclo de vida de la instalación?
¿Está documentado en el DBR  y en los reportes de diseño?</t>
    </r>
  </si>
  <si>
    <t>5.6.a</t>
  </si>
  <si>
    <t>5.6</t>
  </si>
  <si>
    <t>El diseño de cierre cumple con todos los Requisitos del Estándar con suficiente detalle para demostrar la factibilidad del escenario de cierre.</t>
  </si>
  <si>
    <r>
      <t xml:space="preserve">¿Existe un diseño de cierre con detalle suficiente para demostrar la factibilidad del escenario de cierre?
¿El diseño de cierre cumple los requisitos del Estándar </t>
    </r>
    <r>
      <rPr>
        <sz val="10"/>
        <color rgb="FF3F3E3E"/>
        <rFont val="Arial"/>
        <family val="2"/>
      </rPr>
      <t>(requisito 5.2, 5.5 y 5.6) ?</t>
    </r>
  </si>
  <si>
    <t>5.6.b</t>
  </si>
  <si>
    <t>El diseño de cierre permite la implementación del diseño de cierre durante la construcción y operación según sea adecuado.</t>
  </si>
  <si>
    <r>
      <t>¿El diseño de cierre permite implementar elementos de cierre durante la construcción y operación? (p. ej., taludes en ángulo final</t>
    </r>
    <r>
      <rPr>
        <strike/>
        <sz val="10"/>
        <color rgb="FFFF0000"/>
        <rFont val="Arial"/>
        <family val="2"/>
      </rPr>
      <t xml:space="preserve"> </t>
    </r>
    <r>
      <rPr>
        <sz val="10"/>
        <color theme="1"/>
        <rFont val="Arial"/>
        <family val="2"/>
      </rPr>
      <t>del diseño del cierre)?</t>
    </r>
  </si>
  <si>
    <t>5.6.c</t>
  </si>
  <si>
    <t>El diseño incluye el cierre progresivo y la recuperación durante operaciones.</t>
  </si>
  <si>
    <r>
      <t xml:space="preserve">¿El diseño incluye cierre progresivo y </t>
    </r>
    <r>
      <rPr>
        <sz val="10"/>
        <color rgb="FF3F3E3E"/>
        <rFont val="Arial"/>
        <family val="2"/>
      </rPr>
      <t>recuperación durante la operación?</t>
    </r>
  </si>
  <si>
    <t>5.7.a</t>
  </si>
  <si>
    <t>5.7</t>
  </si>
  <si>
    <t>Confirmar que el diseño cumpla con ALARP.</t>
  </si>
  <si>
    <t>¿El Ejecutivo Responsable confirmó por escrito que el diseño cumple ALARP?
¿La confirmación considera recomendaciones del EOR, ITRB o RTFE?</t>
  </si>
  <si>
    <t>5.7.b</t>
  </si>
  <si>
    <t>Aprobar pasos adicionales razonables que se puedan tomar aguas abajo, para reducir aún más las consecuencias potenciales hacia las personas y medioambiente.</t>
  </si>
  <si>
    <t>¿El Ejecutivo Responsable aprobó pasos adicionales razonables aguas abajo para reducir consecuencias potenciales hacia las personas y medioambiente?</t>
  </si>
  <si>
    <t>5.7.c</t>
  </si>
  <si>
    <t xml:space="preserve">Explicar y documentar las decisiones con respecto al ALARP y medidas de reducción de consecuencias adicionales. </t>
  </si>
  <si>
    <t>¿Están explicadas y documentadas las decisiones sobre ALARP y medidas de reducción de consecuencias adicionales?
¿La documentación registra las alternativas descartadas y el motivo?</t>
  </si>
  <si>
    <t>5.7.d</t>
  </si>
  <si>
    <t>¿En cada DSR o al menos cada cinco años el Ejecutivo Responsable confirmó que el diseño cumple ALARP?
¿La confirmación considera recomendaciones del EOR, ITRB o RTFE?</t>
  </si>
  <si>
    <t>5.7.e</t>
  </si>
  <si>
    <t>Buscar la identificación e implementación de pasos razonables adicionales que se puedan tomar para reducir aún más las consecuencias potenciales hacia las personas y medioambiente.</t>
  </si>
  <si>
    <t>¿Se identificaron e implementaron pasos adicionales razonables para reducir las consecuencias?
¿Hay evidencia de su implementación?</t>
  </si>
  <si>
    <t>5.7.f</t>
  </si>
  <si>
    <t>Explicar y documentar las decisiones con respecto al ALARP y medidas de reducción de consecuencias adicionales, consultando con grupos externos de ser adecuado.</t>
  </si>
  <si>
    <t>¿Están explicadas y documentadas las decisiones ALARP y de reducción de consecuencias?
¿Se consultó a grupos externos cuando fue adecuado?</t>
  </si>
  <si>
    <t>5.8.a</t>
  </si>
  <si>
    <t>5.8</t>
  </si>
  <si>
    <t>Los Operadores que poseen una instalación con un modelo de falla creíble, conforme al análisis de brecha, han agotado las medidas para reducir las consecuencias y no pueden evitar un reasentamiento preventivo.</t>
  </si>
  <si>
    <t>¿Se demuestra que se agotaron las medidas de reducción de consecuencias antes de recurrir al reasentamiento preventivo?
¿El riesgo residual para las comunidades aguas abajo sigue siendo inaceptable tras todas las mitigaciones?</t>
  </si>
  <si>
    <t>5.8.b</t>
  </si>
  <si>
    <t>El Operador ha cumplido con los estándares internacionales para el reasentamiento involuntario.</t>
  </si>
  <si>
    <r>
      <t>¿Existe un Plan de Acción de Reasentamiento y/o de restauración de medios de vida conforme a estándares internacionales?</t>
    </r>
    <r>
      <rPr>
        <sz val="10"/>
        <color rgb="FF3F3E3E"/>
        <rFont val="Arial"/>
        <family val="2"/>
      </rPr>
      <t xml:space="preserve">
¿Hay registros de implementación (compensaciones, acuerdos, avance, monitoreo) y de gestión de quejas?</t>
    </r>
  </si>
  <si>
    <t>6.1.a</t>
  </si>
  <si>
    <t>6.1</t>
  </si>
  <si>
    <t>La intención del diseño, establecida en el DBR, es comprendida e implementada para la construcción, operación y cierre de cada fase del ciclo de vida de la instalación de relaves.</t>
  </si>
  <si>
    <r>
      <t>¿El DBR vigente establece la intención de diseño y los criterios para la construcción, operación y cierre de cada fase del ciclo de vida de la instalación de relaves?</t>
    </r>
    <r>
      <rPr>
        <sz val="10"/>
        <color rgb="FF3F3E3E"/>
        <rFont val="Arial"/>
        <family val="2"/>
      </rPr>
      <t xml:space="preserve">
¿Los planos, especificaciones técnicas y planes de recrecimiento en ejecución están aprobados por el EOR y son consistentes con el DBR?
¿El CDIV o el informe anual del EOR confirma el cumplimiento de la intención de diseño y con el DBR?</t>
    </r>
  </si>
  <si>
    <t>6.1.b</t>
  </si>
  <si>
    <t>El personal de construcción y operación asignado a las tareas relacionadas a los relaves están calificados en base a las cualidades definidas en el Sistema de Tratamiento de Relaves (TMS).</t>
  </si>
  <si>
    <t>¿Se definen calificaciones mínimas por cargo (formación, experiencia)?
¿Existe evidencia (certificados, capacitación, educación) del cumplimiento de la calificación minima del personal?</t>
  </si>
  <si>
    <t>6.1.c</t>
  </si>
  <si>
    <t>A lo largo de las etapas del ciclo de vida de la instalación de relaves se utiliza la metodología, equipo y procedimientos adecuados, métodos de adquisición de datos son utilizados e incorporados dentro del TMS y en el Sistema de Gestión Medioambiental y Social (ESMS) para la mina e infraestructura asociada.</t>
  </si>
  <si>
    <r>
      <t xml:space="preserve">¿Existen procedimientos documentados de construcción, deposición, manejo de agua y monitoreo desarrollados con el EOR?
¿Hay un sistema definido para adquirir, almacenar y documentar los datos de construcción, operación y monitoreo </t>
    </r>
    <r>
      <rPr>
        <sz val="10"/>
        <color rgb="FF3F3E3E"/>
        <rFont val="Arial"/>
        <family val="2"/>
      </rPr>
      <t>a lo largo del ciclo de vida de la instalación?
¿Estos procedimientos y el sistema de datos están referenciados en el TMS y en el ESMS?</t>
    </r>
  </si>
  <si>
    <t>6.1.d</t>
  </si>
  <si>
    <t>El TMS y el ESMS son implementados durante la construcción, operación y cierre.</t>
  </si>
  <si>
    <r>
      <t>¿El TMS y el ESMS identifican qué componentes aplican a la fase actual de la instalación y a sus riesgos?
¿Existen registros</t>
    </r>
    <r>
      <rPr>
        <sz val="10"/>
        <color rgb="FF3F3E3E"/>
        <rFont val="Arial"/>
        <family val="2"/>
      </rPr>
      <t xml:space="preserve"> que evidencien la implementación de esos componentes en la fase actual?
¿Los hallazgos de implementación del TMS/ESMS son implementados durante la construcción, operación y cierre?</t>
    </r>
  </si>
  <si>
    <t>6.2.a</t>
  </si>
  <si>
    <t>6.2</t>
  </si>
  <si>
    <t>Programas de Control de Calidad (QC) y Aseguramiento de Calidad (QA) sean establecidos para supervisar la calidad y adecuación de los procesos de construcción y operación.</t>
  </si>
  <si>
    <t>¿Hay un programa QA/QC para los procesos de construcción y operación?</t>
  </si>
  <si>
    <t>6.2.b</t>
  </si>
  <si>
    <t>Se cumple con un programa CDIV que confirme que se cumpla con la intención de diseño si las condiciones varían a las hipótesis de diseño.</t>
  </si>
  <si>
    <t>¿Existe un programa CDIV que compare las condiciones reales encontradas con las hipótesis de diseño?
¿El CDIV documenta los cambios materiales y confirma que se mantiene la intención de diseño?
¿El CDIV está revisado y validado por el EOR?</t>
  </si>
  <si>
    <t>6.3.a</t>
  </si>
  <si>
    <t>6.3</t>
  </si>
  <si>
    <t>Los Reportes de Registros de Construcción (CRR) están actualizados y listos para cuando haya un cambio material en la instalación de relaves, su infraestructura, o sistema de monitoreo.</t>
  </si>
  <si>
    <r>
      <t xml:space="preserve">¿Existe un CRR para cada etapa de construcción o recrecimiento, incluidas las etapas históricas?
¿El CRR incluye secciones as-built, condiciones geotécnicas de cimentación, rellenos y relaves, </t>
    </r>
    <r>
      <rPr>
        <sz val="10"/>
        <color rgb="FF3F3E3E"/>
        <rFont val="Arial"/>
        <family val="2"/>
      </rPr>
      <t>geometría de las zonas, descripción y ubicación de instrumentación y resultados QA/QC?
¿El CRR se actualizó después del último cambio material a la instalación, su infraestructura o su sistema de monitoreo?
¿Para las etapas sin CRR se documentó la condición as-built estimada a partir de la base de conocimiento?</t>
    </r>
  </si>
  <si>
    <t>6.3.b</t>
  </si>
  <si>
    <t>Los CRRs han sido firmados por el RTFE y el EOR.</t>
  </si>
  <si>
    <t>¿Cada CRR vigente tiene la firma del EOR?
¿Cada CRR vigente tiene la firma del RTFE?</t>
  </si>
  <si>
    <t>6.4.a</t>
  </si>
  <si>
    <t>6.4</t>
  </si>
  <si>
    <t>Se implementa un Manual de Operación, Mantenimiento y Supervisión (OMS), cubre todas las instalaciones de relaves e incluye los requisitos para las actividades del manual de OMS necesarias para la gestión eficaz de riesgos basadas en las mejores prácticas.</t>
  </si>
  <si>
    <t>¿El manual es específico de la instalación?
¿Cita y sigue una guía reconocida (MAC OMS Guide, CDA, ICMM) o la recomendada por el EOR/ITRB?</t>
  </si>
  <si>
    <t>6.4.b</t>
  </si>
  <si>
    <t>El manual de OMS se revisa anualmente o más frecuentemente si hay alguna actualización debido a un cambio material según lo defina el Operador.</t>
  </si>
  <si>
    <t>¿La frecuencia de revisión que gobierna el manual completo es anual o mayor?</t>
  </si>
  <si>
    <t>6.4.c</t>
  </si>
  <si>
    <t>El manual de OMS proporciona un contexto claro e incluye la inspección, mantenimiento y monitoreo de los requisitos identificados incluyendo los controles fundamentales para la operación segura y es revisado para su eficacia.</t>
  </si>
  <si>
    <t>¿El manual abarca la operación, mantenimiento, inspección y monitoreo?
¿Se identifican los controles fundamentales para cumplir los objetivos de desempeño de la instalación?</t>
  </si>
  <si>
    <t>6.4.d</t>
  </si>
  <si>
    <t>El RTFE asegura que el personal involucrado en el TMS tiene acceso al Manual de OMS,</t>
  </si>
  <si>
    <t>¿Existe una lista de distribución con copias controladas?
¿El RFTE es responsable de asegurar el acceso al Manual OMS?</t>
  </si>
  <si>
    <t>6.4.e</t>
  </si>
  <si>
    <t>El RTFE debe proporcionar acceso a la capacitación del personal en todos los niveles involucrados en el TMS.</t>
  </si>
  <si>
    <t>¿Qué capacitación se prevé, para quién y con qué frecuencia?
¿El RFTE es el responsable de proporcionar acceso a la capacitación?</t>
  </si>
  <si>
    <t>6.5.a</t>
  </si>
  <si>
    <t>6.5</t>
  </si>
  <si>
    <t>Se establece un Sistema de Gestión de Cambios.</t>
  </si>
  <si>
    <r>
      <t xml:space="preserve">¿Existe un procedimiento de gestión del cambio aplicable a las instalaciones de relaves, aprobado y vigente?
¿El procedimiento está integrado </t>
    </r>
    <r>
      <rPr>
        <sz val="10"/>
        <color rgb="FF3F3E3E"/>
        <rFont val="Arial"/>
        <family val="2"/>
      </rPr>
      <t>al OMS?</t>
    </r>
  </si>
  <si>
    <t>6.5.b</t>
  </si>
  <si>
    <t>El Sistema de Gestión de Cambios incluye procesos para la identificación de cambios y procesos para la evaluación, revisión, aprobación y documentación de cambios a lo largo del ciclo de vida de la instalación.</t>
  </si>
  <si>
    <r>
      <t>¿El Sistema de Gestión de cambios incluye procedimientos para la identificación de los cambios?</t>
    </r>
    <r>
      <rPr>
        <sz val="10"/>
        <color rgb="FF3F3E3E"/>
        <rFont val="Arial"/>
        <family val="2"/>
      </rPr>
      <t xml:space="preserve">
¿El Sistema de Gestión de cambios define procesos para la evaluación revisión, aprobación y documentación a lo largo del ciclo de vida de la instalación?</t>
    </r>
  </si>
  <si>
    <t>6.5.c</t>
  </si>
  <si>
    <t>El Sistema de Gestión de Cambios abarca y documenta cambios materiales al diseño, construcción, operaciones o monitoreo.</t>
  </si>
  <si>
    <r>
      <t xml:space="preserve">¿El Sistema de Gestión de cambios </t>
    </r>
    <r>
      <rPr>
        <sz val="10"/>
        <color rgb="FF3F3E3E"/>
        <rFont val="Arial"/>
        <family val="2"/>
      </rPr>
      <t>identifica los cambios materiales al diseño, construcción, operación o monitoreo?
¿Cada cambio material está reflejado en el CRR, en el DBR y en una revisión del OMS según corresponda?</t>
    </r>
  </si>
  <si>
    <t>6.5.d</t>
  </si>
  <si>
    <t>Un DAR es preparado y actualizado periódicamente por el EOR, el cual abarcar el impacto acumulativo de los cambios materiales a la instalación construida.</t>
  </si>
  <si>
    <r>
      <t>¿Existe un DAR emitido por el EOR?
¿El DAR evalúa el impacto acumulado de los cambios materiales sobre el riesgo</t>
    </r>
    <r>
      <rPr>
        <sz val="10"/>
        <color rgb="FF3F3E3E"/>
        <rFont val="Arial"/>
        <family val="2"/>
      </rPr>
      <t xml:space="preserve"> de la instalación construida?
¿El DAR se actualiza periódicamente (p. ej., junto con el informe anual del EOR)?</t>
    </r>
  </si>
  <si>
    <t>6.5.e</t>
  </si>
  <si>
    <t>Se han implementado recomendaciones del DAR a través de actualizaciones para la construcción, diseño, DBR, Manual de OMS y al programa de monitoreo.</t>
  </si>
  <si>
    <r>
      <t>¿Las recomendaciones del DAR se implementaron a través de actualizaciones para la construcción, diseño, DBR, Manual OMS, y programa de monitoreo?</t>
    </r>
    <r>
      <rPr>
        <sz val="10"/>
        <color rgb="FF3F3E3E"/>
        <rFont val="Arial"/>
        <family val="2"/>
      </rPr>
      <t xml:space="preserve">
¿El DBR, el OMS y el programa de monitoreo reflejan el DAR más reciente?</t>
    </r>
  </si>
  <si>
    <t>6.5.f</t>
  </si>
  <si>
    <t>El Ejecutivo Responsable ha aprobado el DAR.</t>
  </si>
  <si>
    <t>¿El DAR vigente tiene aprobación documentada (firma o acta) del Ejecutivo Responsable?
¿La aprobación corresponde a la última versión emitida del DAR?</t>
  </si>
  <si>
    <t>6.6.a</t>
  </si>
  <si>
    <t>6.6</t>
  </si>
  <si>
    <t>Revisiones de nuevas tecnologías y enfoques para el tratamiento de relaves se llevan a cabo considerando el ciclo de vida de la instalación de relaves.</t>
  </si>
  <si>
    <r>
      <t xml:space="preserve">¿Existe una revisión documentada de tecnologías y enfoques nuevos o emergentes (espesado, filtrado, codisposición, etc.) aplicable a la instalación?
¿La revisión considera todo el ciclo de vida de la instalación?
</t>
    </r>
    <r>
      <rPr>
        <sz val="10"/>
        <color rgb="FF3F3E3E"/>
        <rFont val="Arial"/>
        <family val="2"/>
      </rPr>
      <t>¿La evaluación de tecnologías y enfoques nuevos o emergentes está documentada en estudios que lo respalden o como parte de un Análisis de Alternativas?</t>
    </r>
  </si>
  <si>
    <t>6.6.b</t>
  </si>
  <si>
    <t>Los resultados materiales de las revisiones han sido incorporados en las mejoras del diseño, construcción y operación de la instalación.</t>
  </si>
  <si>
    <t>¿Los resultados materiales de la revisión se tradujeron en decisiones documentadas?
¿Las mejoras adoptadas están reflejadas en el DBR, el OMS u otros documentos de diseño y operación?</t>
  </si>
  <si>
    <t>7.1.a</t>
  </si>
  <si>
    <t>7.1</t>
  </si>
  <si>
    <t>Se ha desarrollado un programa de monitoreo de desempeño integrado completo para la instalación de relaves y sus estructuras correspondientes y forma parte del TMS, e incluye actividades para la inspección, revisión, y requisitos de monitoreo en regla con la instalación del manual de OMS.</t>
  </si>
  <si>
    <r>
      <t xml:space="preserve">¿Existe un programa de monitoreo de desempeño </t>
    </r>
    <r>
      <rPr>
        <sz val="10"/>
        <color rgb="FF3F3E3E"/>
        <rFont val="Arial"/>
        <family val="2"/>
      </rPr>
      <t>integrado completo documentado para la instalación de relaves y sus estructuras que forme parte del TMS?
¿Cubre condiciones freáticas, deformaciones, y otras condiciones físicas de la instalación, aspectos ambientales y componentes de los sistemas de calidad o gestión?
¿Incluye inspecciones, revisiones y requisitos de monitoreo consistentes con el OMS?</t>
    </r>
  </si>
  <si>
    <t>7.1.b</t>
  </si>
  <si>
    <t>Los aspectos del ESMS que están vinculados al monitoreo del desempeño de la instalación de relaves son identificados e incluidos en el programa de monitoreo de desempeño.</t>
  </si>
  <si>
    <t>¿El programa de monitoreo identifica los aspectos del ESMS vinculados al desempeño de la instalación?</t>
  </si>
  <si>
    <t>7.1.c</t>
  </si>
  <si>
    <t>El programa de monitoreo de desempeño es integrado y refleja otros programas tales como el manual de OMS y se actualiza manteniendo los principios de la Gestión Adaptativa.</t>
  </si>
  <si>
    <r>
      <t xml:space="preserve">¿El programa de monitoreo es coherente con el OMS, el EPRP/TARP (mismos parámetros, umbrales y responsables)?
¿El programa se actualizó cuando cambió el </t>
    </r>
    <r>
      <rPr>
        <sz val="10"/>
        <color rgb="FF3F3E3E"/>
        <rFont val="Arial"/>
        <family val="2"/>
      </rPr>
      <t>sistema de tratamiento de relaves?
¿Está documentado?
¿Se actualiza manteniendo los principios de la gestión adaptativa?</t>
    </r>
  </si>
  <si>
    <t>7.2.a</t>
  </si>
  <si>
    <t>7.2</t>
  </si>
  <si>
    <t>Un sistema de monitoreo de ingeniería completo e integrado ha sido diseñado y utilizado para verificar variables en el diseño y para monitorear modelos de falla potenciales.</t>
  </si>
  <si>
    <r>
      <t>¿El sistema de</t>
    </r>
    <r>
      <rPr>
        <sz val="10"/>
        <color rgb="FF3F3E3E"/>
        <rFont val="Arial"/>
        <family val="2"/>
      </rPr>
      <t xml:space="preserve"> monitoreo está diseñado para verificar las variables de diseño?
¿El sistema de monitoreo permite monitorear los modelos de falla potenciales?
¿La instrumentación está instalada y operativa, con lecturas recientes?</t>
    </r>
  </si>
  <si>
    <t>7.2.b</t>
  </si>
  <si>
    <t>Los procedimientos de monitoreo para modelos de falla no frágiles son desarrollados e implementados para respaldar el Método de Observación.</t>
  </si>
  <si>
    <t>¿Se identificaron los modos de falla no frágiles de la instalación?
¿Para cada uno hay un procedimiento de monitoreo con parámetros, umbrales y acciones que sustente el Método Observacional?</t>
  </si>
  <si>
    <t>7.2.c</t>
  </si>
  <si>
    <t>Los modelos de falla frágiles son abordados con un criterio de diseño conservador.</t>
  </si>
  <si>
    <t>¿Se identificaron los modos de falla frágiles?
¿El diseño adopta criterios conservadores para ellos (factores de seguridad mayores, cargas superiores, parámetros de resistencia menores)?
¿Está documentada la evaluación de fragilidad?</t>
  </si>
  <si>
    <t>7.3.a</t>
  </si>
  <si>
    <t>7.3</t>
  </si>
  <si>
    <r>
      <t>Objetivos, indicadores y criterios de desempeño se establecen que miden el desempeño de la instalación de relaves. Estos son específicos y</t>
    </r>
    <r>
      <rPr>
        <sz val="10"/>
        <color theme="1"/>
        <rFont val="Arial"/>
        <family val="2"/>
      </rPr>
      <t xml:space="preserve"> cuantificables</t>
    </r>
    <r>
      <rPr>
        <sz val="10"/>
        <color rgb="FF3F3E3E"/>
        <rFont val="Arial"/>
        <family val="2"/>
      </rPr>
      <t xml:space="preserve"> y se incluyen en los programas de monitoreo.</t>
    </r>
  </si>
  <si>
    <t>¿Existen objetivos, indicadores y criterios de desempeño específicos y cuantificables que miden el desempeño de la instalación?
¿Son incluídos en los programas de monitoreo?
¿Fueron establecidos o validados por el EOR?
¿Los umbrales son consistentes con las condiciones operativas o de ingeniería?</t>
  </si>
  <si>
    <t>7.3.b</t>
  </si>
  <si>
    <t>Se realizan inspecciones, monitoreos, pruebas, registros, evaluaciones y reportes de rutina y regulares de los datos de los programas de monitoreo de acuerdo con la frecuencia adecuada establecida.</t>
  </si>
  <si>
    <t>¿Están definidas las frecuencias de inspección, lectura, evaluación y reporte?
¿Los registros de inspección y las lecturas cumplen esas frecuencias establecida sin vacíos injustificados?
¿Los datos se evalúan y reportan, además de recolectarse?</t>
  </si>
  <si>
    <t>7.3.c</t>
  </si>
  <si>
    <t>El programa de monitoreo es actualizado a lo largo del ciclo de vida de la instalación de relaves en base a la evaluación de los datos para confirmar que los objetivos, indicadores y criterios de desempeño se mantienen efectivos para gestionar riesgos.</t>
  </si>
  <si>
    <t>¿El programa de monitoreo tiene historial de revisiones a lo largo del ciclo de vida de la instalación?
¿Las actualizaciones se basan en la evaluación de los datos para confirmar que los objetivos, indicadores y criterios de desempeño se mantienen efectivos para gestionar riesgos?</t>
  </si>
  <si>
    <t>7.4.a</t>
  </si>
  <si>
    <t>7.4</t>
  </si>
  <si>
    <t>El desempeño de la instalación de relaves se evalúa al analizar los datos técnicos de monitoreo con la frecuencia establecida por el EOR.</t>
  </si>
  <si>
    <t>¿El EOR fijó la frecuencia de análisis de los datos de monitoreo?
¿Existen informes de análisis que cumplen esa frecuencia?
¿Los datos de monitoreo integran instrumentación, inspecciones visuales, filtraciones y datos operativos (p ej. tasas de producción, densidad de relaves)?</t>
  </si>
  <si>
    <t>7.4.b</t>
  </si>
  <si>
    <t>El análisis de los datos técnicos de monitoreo de la instalación de relaves identifica claramente y presentan evidencia de las desviaciones de los objetivos de desempeño esperados y el deterioro del desempeño de la instalación de relaves con el paso del tiempo.</t>
  </si>
  <si>
    <t>¿Los informes presentan tendencias temporales y comparan los datos contra los objetivos de desempeño?
¿Identifican explícitamente las desviaciones y el deterioro del desempeño?
¿Las desviaciones relevantes se trasladan al DAR?</t>
  </si>
  <si>
    <t>7.4.c</t>
  </si>
  <si>
    <t>Los resultados del análisis del monitoreo de desempeño de la instalación de relaves son reportados con prontitud al EOR.</t>
  </si>
  <si>
    <t>¿Existe un protocolo de envío de resultados al EOR con plazos definidos?
¿Hay evidencia (transmittals, correos, accesos) de envíos oportunos al EOR?</t>
  </si>
  <si>
    <t>7.4.d</t>
  </si>
  <si>
    <t>El EOR revisa con prontitud los resultados del análisis del monitoreo de desempeño de la instalación de relaves y si es requerido, indicará que se actualice la evaluación de riesgos y el diseño.</t>
  </si>
  <si>
    <t>¿Existen informes o comunicaciones del EOR que revisen los resultados de monitoreo con la frecuencia del OMS?
¿Cuando correspondía, el EOR indicó actualizar la evaluación de riesgos o el diseño?
¿Las indicaciones del EOR se registraron y atendieron?</t>
  </si>
  <si>
    <t>7.4.e</t>
  </si>
  <si>
    <t>Las expectativas de desempeño se incorporaron a los Planes de Acción de Respuesta Desencadenante o a los criterios fundamentales para indicar cuando una acción es o no necesaria.</t>
  </si>
  <si>
    <t>¿Existe un TARP con niveles de alerta, umbrales cuantitativos y acciones predefinidas?
¿Los umbrales coinciden con los criterios de diseño sin vacíos ni solapes entre niveles?</t>
  </si>
  <si>
    <t>7.5.a</t>
  </si>
  <si>
    <t>7.5</t>
  </si>
  <si>
    <t>Los resultados de los programas de monitoreo se reportan con una frecuencia que cumpla las expectativas de la compañía y los requisitos reglamentarios y como mínimo que se complete anualmente.</t>
  </si>
  <si>
    <r>
      <t>¿Está definida la frecuencia de reporte interno y regulatorio de los resultados de monitoreo?
¿Existe al menos un reporte anual con interpretación de resultados frente a los criterios establecidos?</t>
    </r>
    <r>
      <rPr>
        <strike/>
        <sz val="10"/>
        <color theme="1"/>
        <rFont val="Arial"/>
        <family val="2"/>
      </rPr>
      <t xml:space="preserve">
</t>
    </r>
    <r>
      <rPr>
        <sz val="10"/>
        <color theme="1"/>
        <rFont val="Arial"/>
        <family val="2"/>
      </rPr>
      <t>¿Se cumplieron los reportes regulatorios del último periodo?</t>
    </r>
  </si>
  <si>
    <t>7.5.b</t>
  </si>
  <si>
    <t>Los reportes de monitoreo técnicos son revisados y aprobados por el RTFE y el EOR.</t>
  </si>
  <si>
    <t>¿Los reportes técnicos de monitoreo tienen firma o constancia de revisión del RTFE?
¿Tienen firma o constancia de revisión del EOR?</t>
  </si>
  <si>
    <t>8.1.a</t>
  </si>
  <si>
    <t>Gestión y gobernanza</t>
  </si>
  <si>
    <t>8.1</t>
  </si>
  <si>
    <t>Una política corporativa de gestión de relaves documentada que comprometa al Operador al tratamiento seguro de relaves, desarrollo de planes de respuesta frente a emergencias, y mecanismos de recuperación después de fallas. Esto puede darse en forma de una política única o estar integrado en un documento que la Junta Directiva adopte.</t>
  </si>
  <si>
    <t>¿Existe una política corporativa de gestión de relaves, o compromisos equivalentes dentro de una política mayor?
¿Compromete explícitamente la gestión segura de relaves, la preparación y respuesta ante emergencias y la recuperación tras una falla?
¿Fue adoptada por la Junta Directiva?</t>
  </si>
  <si>
    <t>8.1.b</t>
  </si>
  <si>
    <t>La política y su aprobación por parte de la Junta Directiva se encuentra por escrito y está disponible al público.</t>
  </si>
  <si>
    <t>¿La política y su aprobación por la Junta Directiva constan por escrito?
¿La política está publicada o disponible para el público?</t>
  </si>
  <si>
    <t>8.2.a</t>
  </si>
  <si>
    <t>8.2</t>
  </si>
  <si>
    <t>Un TMS en base al desempeño, sigue procesos Planificar-Hacer- Revisar-Actuar establecidos y es adecuado para la organización y sus instalaciones de relaves.</t>
  </si>
  <si>
    <t>¿Existe un TMS documentado, basado en desempeño y con ciclo Planificar-Hacer-Revisar-Actuar?
¿El TMS es adecuado para la organización y sus instalaciones (incluye perfiles de trabajo, requisitos de capacitación y competencias)?</t>
  </si>
  <si>
    <t>8.2.b</t>
  </si>
  <si>
    <t>Las responsabilidades y competencias asociadas para la implementación de ese marco que están definidas respaldan la identificación y gestión adecuada de los riesgos de la instalación de relaves.</t>
  </si>
  <si>
    <t>¿El TMS asigna roles, responsabilidades y competencias para su implementación?
¿Define cómo se escalan los problemas a través de la estructura de gobernanza?</t>
  </si>
  <si>
    <t>8.2.c</t>
  </si>
  <si>
    <t>El marco de gobernanza respalda el TMS, sus sistemas fundamentales relevantes y otros ESMS relacionados.</t>
  </si>
  <si>
    <t>¿Existe un marco de gobernanza documentado que respalde el TMS y el ESMS?
¿Hay evidencia de que ese marco funciona (reuniones y decisiones registradas)?</t>
  </si>
  <si>
    <t>8.2.d</t>
  </si>
  <si>
    <t>Los vínculos entre los TMS y otros sistemas como los ESMS son claros para asegurar una gestión integral eficaz de la instalación de relaves.</t>
  </si>
  <si>
    <t>¿El TMS identifica explícitamente sus vínculos con el ESMS?</t>
  </si>
  <si>
    <t>8.3.a</t>
  </si>
  <si>
    <t>8.3</t>
  </si>
  <si>
    <t>Para las personas con responsabilidades sobre las instalaciones de relaves, sus revisiones de desempeño y o los pagos de incentivos estás basados en parte, en la seguridad pública y la integridad de las instalaciones de relaves.</t>
  </si>
  <si>
    <t>¿Las revisiones de desempeño y o los pagos de incentivos  de las personas con roles con responsabilidad sobre la instalación relaves estan basados en objetivos de seguridad pública e integridad de la instalación?
¿Hay evidencia de su aplicación en el último ciclo de evaluación?</t>
  </si>
  <si>
    <t>8.3.b</t>
  </si>
  <si>
    <t>En donde se utilicen pagos de incentivos, estos se basan en el grado en el que la seguridad pública y la integridad de la instalación de relaves son un componente de ese rol.</t>
  </si>
  <si>
    <t>¿El peso del componente de seguridad de relaves en el incentivo es proporcional a la relevancia del rol (p ej. AE, RTFE, gerente general)?
¿Está documentado el porcentaje o criterio aplicado por rol?</t>
  </si>
  <si>
    <t>8.3.c</t>
  </si>
  <si>
    <t>Los incentivos a largo plazo, como parte de una compensación administrativa, toman en cuenta la gestión de relaves, desempeño de la instalación y la seguridad pública.</t>
  </si>
  <si>
    <t>¿Los incentivos de largo plazo de la gerencia consideran la gestión de relaves, el desempeño de la instalación y la seguridad pública?
¿Está documentado en la política de compensación?</t>
  </si>
  <si>
    <t>8.4.a</t>
  </si>
  <si>
    <t>8.4</t>
  </si>
  <si>
    <t>El(los) Ejecutivos Responsable(s) que es(son) directamente responsables al CEO han identificado y asignado los aspectos de seguridad de la instalación de relaves para prevenir o minimizar las consecuencias medioambientales o sociales de una falla de una instalación de relaves.</t>
  </si>
  <si>
    <t>¿Existe designación formal del/los Ejecutivo(s) Responsable(s) que reporta(n) directamente al CEO?
¿Están documentadas sus responsabilidades sobre la seguridad de las instalaciones de relaves?</t>
  </si>
  <si>
    <t>8.4.b</t>
  </si>
  <si>
    <t>La responsabilidad referida en (a) incluye desarrollar e implementar un programa de capacitación de tratamiento de relaves, y para preparación y respuesta frente a emergencias.</t>
  </si>
  <si>
    <t>¿La responsabilidad del AE incluye desarrollar e implementar el programa de capacitación en gestión de relaves?
¿Incluye la preparación y respuesta ante emergencias?
¿Hay evidencia de que ambos programas están implementados?</t>
  </si>
  <si>
    <t>8.4.c</t>
  </si>
  <si>
    <t>El(los) Ejecutivo(s) Responsable(s) tienen comunicaciones regulares programadas con el EOR y Junta Directiva que puede ser iniciada ya sea por el Ejecutivo Responsable o la Junta.</t>
  </si>
  <si>
    <t>¿Existe un calendario de comunicaciones del AE con el EOR y con la Junta Directiva?
¿Hay actas o registros de esas comunicaciones?
¿La frecuencia es acorde al riesgo y aumenta ante problemas de seguridad?</t>
  </si>
  <si>
    <t>8.4.d</t>
  </si>
  <si>
    <t>El proceso por el cual el(los) Ejecutivos Responsables rinden cuentas a la Junta Directiva.</t>
  </si>
  <si>
    <t>¿Está documentado el proceso por el cual el AE rinde cuentas a la Junta Directiva?
¿Hay registros de reportes a la Junta sobre riesgos, recursos y revisiones independientes?</t>
  </si>
  <si>
    <t>8.5.a</t>
  </si>
  <si>
    <t>8.5</t>
  </si>
  <si>
    <t>Un Ingeniero Responsable de la Instalación de Relaves (RTFE) es asignado al rol.</t>
  </si>
  <si>
    <t>¿Existe designación formal y vigente del RTFE para la instalación?
¿Las calificaciones del RTFE son acordes a la complejidad de la instalación?
¿El organigrama muestra su posición y sus líneas de reporte y decisión?</t>
  </si>
  <si>
    <t>8.5.b</t>
  </si>
  <si>
    <t>Los roles y responsabilidades son claramente definidos y documentados para la posición del RTFE incluyendo la responsabilidad con respecto a la integridad de la integridad de relaves.</t>
  </si>
  <si>
    <t>¿La descripción de puesto del RTFE define sus roles y responsabilidades?
¿Incluye explícitamente la responsabilidad por la integridad de la instalación de relaves?</t>
  </si>
  <si>
    <t>8.5.c</t>
  </si>
  <si>
    <t>El RTFE se relaciona con el EOR y equipos internos.</t>
  </si>
  <si>
    <t>¿Existen registros de interacción periódica del RTFE con el EOR (reuniones, visitas, informes, actas)?
¿Existen registros de coordinación del RTFE con los equipos internos (operaciones, planta, medio ambiente)?</t>
  </si>
  <si>
    <t>8.5.d</t>
  </si>
  <si>
    <t>El RTFE debe estar familiarizado con el DBR, reportes de diseño relevantes, y la construcción y operaciones/desempeño de la instalación de relaves.</t>
  </si>
  <si>
    <t>¿El RTFE revisó o firmó el DBR, los informes de diseño y los CRR vigentes?
¿El RTFE firma o revisa los reportes de operación y desempeño?</t>
  </si>
  <si>
    <t>8.5.e</t>
  </si>
  <si>
    <t>Existe comunicación entre el RTFE y el Ejecutivo Responsable o su designado.</t>
  </si>
  <si>
    <t>¿Hay registros de comunicación entre el RTFE y el AE o su designado?</t>
  </si>
  <si>
    <t>8.6.a</t>
  </si>
  <si>
    <t>8.6</t>
  </si>
  <si>
    <t>Los requisitos de calificación y experiencia para todo el personal con roles fundamentales en la seguridad están claramente definidos y son apropiados al nivel de responsabilidad de la posición. Esto incluye, pero no se limita a roles fundamentales tales como el RTFE, EOR, y Ejecutivos Responsables.</t>
  </si>
  <si>
    <t>¿Están definidos por escrito los requisitos de calificación y experiencia de los roles críticos para la seguridad (AE, RTFE, EOR y otros)?
¿Son proporcionales al nivel de responsabilidad y referencian estándares profesionales?
¿Los titulares actuales cumplen esos requisitos?</t>
  </si>
  <si>
    <t>8.6.b</t>
  </si>
  <si>
    <t>Se desarrollan planes de sucesión para los roles fundamentales en la seguridad.</t>
  </si>
  <si>
    <t>¿Existe un plan de sucesión para los roles críticos (AE, RTFE, EOR)?
¿Incluye la transferencia de documentación histórica y conocimiento?
¿Define sucesores o calificaciones equivalentes para cada rol?</t>
  </si>
  <si>
    <t>8.7.a</t>
  </si>
  <si>
    <t>8.7</t>
  </si>
  <si>
    <t>Para las instalaciones de relaves con clasificación de consecuencias de falla “Muy Altas” a “Extremas”, el Operador ha nombrado una Junta Independiente de Revisión de Relaves (ITRB).</t>
  </si>
  <si>
    <t>¿Existe una carta de designación de la ITRB?
¿Existen ToR aprobados por el AE conforme al propósito de la ITRB en el GISTM?
¿Los miembros cubren las especialidades requeridas por la instalación?</t>
  </si>
  <si>
    <t>8.7.b</t>
  </si>
  <si>
    <t>Para una instalación de relaves con una clasificación de consecuencias de falla de “Altas” o menor, en la ausencia de una ITRB, el Operador ha nombrado a un revisor técnico senior independiente.</t>
  </si>
  <si>
    <t>¿Existe designación formal de un revisor técnico senior independiente?
¿Tiene ToR y calificaciones documentadas?</t>
  </si>
  <si>
    <t>8.7.c</t>
  </si>
  <si>
    <t>La ITRB o revisor técnico senior independiente informa al Ejecutivo Responsable o delegado de la instalación de relaves.</t>
  </si>
  <si>
    <t>¿Se ha documentado que la ITRB o el revisor técnico senior independiente reporta al AE o a su delegado?
¿Los informes del ITRB o del revisor técnico senior independiente están dirigidos al AE y hay constancia de su recepción?</t>
  </si>
  <si>
    <t>8.7.d</t>
  </si>
  <si>
    <t>La ITRB o revisor técnico senior independiente es nombrado durante las fases iniciales de la investigación del sitio y ingeniería de diseño de la instalación de relaves. (prefactibilidad sugerida)</t>
  </si>
  <si>
    <t>¿La ITRB o el revisor fue designado durante la investigación del sitio y la ingeniería de diseño (idealmente en prefactibilidad)?
¿Hay registros de su participación en esas fases?</t>
  </si>
  <si>
    <t>8.7.e</t>
  </si>
  <si>
    <t>Los miembros de la ITRB y un revisor técnico senior independiente han certificado por escrito la ausencia de un conflicto de intereses con la instalación de relaves como se define en las mejores prácticas.</t>
  </si>
  <si>
    <t>¿Cada miembro de la ITRB o el revisor técnico senior independiente certificó por escrito una declaración de ausencia de conflicto de intereses?
¿Las declaraciones están vigentes y archivadas por el Operador?</t>
  </si>
  <si>
    <t>9.1.a</t>
  </si>
  <si>
    <t>9.1</t>
  </si>
  <si>
    <t>Para todas las instalaciones de relaves operativas, y para las instalaciones cerradas con categorías de consecuencias “Altas”, “Muy Altas” o “Extremas” una empresa de ingeniería que tienen los conocimientos de diseño y construcción para instalaciones de relaves de complejidad comparable ha sido contratada.</t>
  </si>
  <si>
    <t>¿Hay una empresa de ingeniería contratada como EOR?
¿Existe una declaración de calificaciones de la empresa con experiencia en diseño y construcción de instalaciones de complejidad comparable?</t>
  </si>
  <si>
    <t>9.1.b</t>
  </si>
  <si>
    <t>El Ingeniero de Registro (EOR) nombrado tiene la experiencia y conocimientos acordes a la complejidad de la instalación de relaves y la clase de consecuencias y el nombramiento ha sido aprobado por el Operador.</t>
  </si>
  <si>
    <t>¿El EOR designado tiene un CV con experiencia acorde a la complejidad y clasificación de la instalación?
¿El nombramiento fue aprobado formalmente por el Operador?</t>
  </si>
  <si>
    <t>9.1.c</t>
  </si>
  <si>
    <t>Un DOR, de ser apropiado debido a la selección de un EOR interno u otras circunstancias, es nombrado que cumpla con las calificaciones y requisitos esenciales del EOR.</t>
  </si>
  <si>
    <t>¿Se designó un DOR?
¿Su CV acredita calificaciones y requisitos equivalentes a los del EOR?</t>
  </si>
  <si>
    <t>9.2.a</t>
  </si>
  <si>
    <t>9.2</t>
  </si>
  <si>
    <t>Se designa y establece un EOR a lo largo del ciclo de vida de la instalación de relaves. El EOR nombrado puede cambiar durante el ciclo de vida de la instalación de relaves.</t>
  </si>
  <si>
    <t>¿Hay un EOR designado y vigente a la fecha de evaluación?
¿Existe un historial documentado de designaciones del EOR a lo largo del ciclo de vida?</t>
  </si>
  <si>
    <t>9.2.b</t>
  </si>
  <si>
    <t>El EOR es nombrado a través de un acuerdo escrito que indica claramente su autoridad, rol y responsabilidades a lo largo del ciclo de vida de la instalación de relaves, y durante el cambio de titularidad de las propiedades mineras.</t>
  </si>
  <si>
    <t>¿Existe un acuerdo escrito que defina la autoridad, el rol y las responsabilidades del EOR a lo largo del ciclo de vida de la instalación?
¿El acuerdo cubre el ciclo de vida e incluye el escenario de cambio de titularidad?</t>
  </si>
  <si>
    <t>9.2.c</t>
  </si>
  <si>
    <t>El acuerdo escrito describe claramente las obligaciones del Operador con el EOR, para respaldar el desempeño1 eficaz del EOR durante el ciclo de vida de la instalación de relaves.</t>
  </si>
  <si>
    <t>¿El acuerdo describe las obligaciones del Operador con el EOR?
¿Hay evidencia de que el Operador cumple esas obligaciones?</t>
  </si>
  <si>
    <t>9.3.a</t>
  </si>
  <si>
    <t>9.3</t>
  </si>
  <si>
    <t>Se establece un programa para gestionar la calidad de todo trabajo de ingeniería e interacciones entre el EOR, el RTFE y el Ejecutivo Responsable.</t>
  </si>
  <si>
    <t>¿Existe un programa documentado para gestionar la calidad del trabajo de ingeniería?
¿Define las interacciones entre el EOR, el RTFE y el AE?</t>
  </si>
  <si>
    <t>9.3.b</t>
  </si>
  <si>
    <t>El programa establecido es implementado para gestionar la calidad de todo el trabajo de ingeniería e interacciones entre el EOR, el RTFE y el Ejecutivo Responsable.</t>
  </si>
  <si>
    <t>¿Existen registros de implementación del programa para gestionar la calidad del trabajo de ingeniería?
¿Las interacciones EOR–RTFE–AE ocurren como está previsto?</t>
  </si>
  <si>
    <t>9.3.c</t>
  </si>
  <si>
    <t>El Programa, desarrollado por el Operador, abarca el compromiso del EOR, del RTFE y del Ejecutivo Responsable en el ciclo de vida de la instalación de relaves conforme sea necesario para confirmar que se cumpla tanto con la implementación del diseño y con la intención del diseño.</t>
  </si>
  <si>
    <t>¿El programa define la participación del EOR, el RTFE y el AE en cada fase para confirmar la implementación y la intención de diseño?
¿Hay agendas, actas de reuniones planificadas, revisiones anuales e independientes con los tres roles?</t>
  </si>
  <si>
    <t>9.4.a</t>
  </si>
  <si>
    <t>9.4</t>
  </si>
  <si>
    <t>Los riesgos asociados a los impactos potenciales de la instalación de relaves son considerados por el Ejecutivo Responsable al seleccionar al EOR.</t>
  </si>
  <si>
    <t>¿El AE consideró los riesgos asociados a los impactos potenciales de la instalación para seleccionar al EOR?</t>
  </si>
  <si>
    <t>9.4.b</t>
  </si>
  <si>
    <t>La selección de EOR deberá ser decidida por el Ejecutivo Responsable e informada, pero no decidida, por el personal de adquisiciones.</t>
  </si>
  <si>
    <t>¿Los registros muestran que la decisión final de selección fue del AE?
¿Adquisiciones actuó solo como apoyo (criterios, recomendaciones) sin decidir?</t>
  </si>
  <si>
    <t>9.4.c</t>
  </si>
  <si>
    <t>La selección del EOR es consistente con el Requisito 9.1</t>
  </si>
  <si>
    <t>¿Los criterios de selección incluyen los requisitos del 9.1 (experiencia en complejidad comparable, calificaciones)?
¿El EOR seleccionado cumple esos requisitos?</t>
  </si>
  <si>
    <t>9.5.a</t>
  </si>
  <si>
    <t>9.5</t>
  </si>
  <si>
    <t>Se tiene un plan de sucesión cuando sea necesario cambiar el EOR (ya sea una empresa, dentro de una empresa, o un empleado interno)</t>
  </si>
  <si>
    <t>¿Existe un plan de sucesión del EOR (entre empresas, dentro de la empresa o interno)?
¿Su nivel de detalle es acorde a la cercanía del cambio y a la complejidad de la instalación?</t>
  </si>
  <si>
    <t>9.5.b</t>
  </si>
  <si>
    <t>El plan de sucesión incluye la transferencia integral de datos, información, conocimiento y experiencia con los procedimientos de construcción y materiales.</t>
  </si>
  <si>
    <t>¿El plan incluye la transferencia integral de datos, información y conocimiento (base de datos, informes, CRR)?
¿Incluye la transferencia de experiencia sobre procedimientos constructivos y materiales?
¿Si hubo cambio de EOR, existe registro de la transferencia (actas, inventario de información entregada)?</t>
  </si>
  <si>
    <t>10.1.a</t>
  </si>
  <si>
    <t>10.1</t>
  </si>
  <si>
    <t>Existe un proceso de evaluación de riesgos para la instalación de relaves y está basado en una base de conocimiento actualizada para la instalación de relaves.</t>
  </si>
  <si>
    <t>¿Existe un procedimiento de evaluación de riesgos para la instalación, vigente y aprobado?
¿La evaluación se basa en una base de conocimiento actualizada (caracterización, DBR, monitoreo, CRR)?
¿Los resultados se reportan a los niveles más altos de la gerencia?</t>
  </si>
  <si>
    <t>10.1.b</t>
  </si>
  <si>
    <t>La evaluación de riesgos es actualizada por lo menos cada tres años y más frecuentemente cada vez que haya un cambio material ya sea a la instalación de relaves o al contexto social, medioambiente y económico local.</t>
  </si>
  <si>
    <t>¿La última evaluación de riesgos tiene 3 años o menos?
¿Se actualizó tras el último cambio material a la instalación o a su contexto social, medioambiental y económico?</t>
  </si>
  <si>
    <t>10.1.c</t>
  </si>
  <si>
    <t>El alcance de la evaluación de riesgos incluye el área de influencia potencial completa de la instalación de relaves, e incorporar activamente la experiencia de la industria en la evaluación de riesgos.</t>
  </si>
  <si>
    <t>¿El alcance de la evaluación de riesgos cubre el área de influencia potencial completa?
¿Incorpora activamente la experiencia y lecciones de fallas de la industria?</t>
  </si>
  <si>
    <t>10.1.d</t>
  </si>
  <si>
    <t>Las fuentes de riesgo son identificadas, evaluadas y gestionadas con regularidad a lo largo del ciclo de vida de la instalación de relaves, incluyendo impactos de cambio climático proyectados bajo un rango de escenarios climáticos futuros creíbles.</t>
  </si>
  <si>
    <t>¿Se identifican y evalúan las fuentes de riesgo a lo largo del ciclo de vida de la instalación?
¿Se incluyen impactos del cambio climático bajo un rango de escenarios futuros creíbles?
¿Los riesgos se gestionan regularmente con controles y seguimiento a lo largo del ciclo de vida?</t>
  </si>
  <si>
    <t>10.1.e</t>
  </si>
  <si>
    <t>Un equipo multidisciplinario es calificado para realizar una evaluación de riesgos específica a la fase del ciclo de vida de la instalación de relaves (por ejemplo, construcción, operación, suspensión, expansión, cierre) y tiene la habilidad de aplicar la metodología de las mejores prácticas de una forma multifuncional.</t>
  </si>
  <si>
    <t>¿Está documentado el equipo multidisciplionario de evaluación, con especialidades y calificaciones acordes a la fase del ciclo de vida?
¿Existen ToR de la evaluación de riesgos?
¿La metodología referencia buenas prácticas?</t>
  </si>
  <si>
    <t>10.1.f</t>
  </si>
  <si>
    <t>Siguiendo la revisión por parte de la ITRB o del revisor técnico senior independiente, se preparan, implementan y reportan cuando las evaluaciones de riesgos identifican riesgos inaceptables para la instalación de relaves.</t>
  </si>
  <si>
    <t>¿La evaluación de riesgos fue revisada por la ITRB o el revisor técnico senior independiente?
¿Se reportan los riesgos inaceptables para la instalación?
¿Se reporta el avance de implementación de ese plan?</t>
  </si>
  <si>
    <t>10.2.a</t>
  </si>
  <si>
    <t>10.2</t>
  </si>
  <si>
    <t>El TMS y componentes del ESMS son revisados con suficiente frecuencia para asegurar que el sistema de gestión de la instalación de relaves sea efectivo y aplicable para los riesgos a lo largo del ciclo de vida completo de la instalación.</t>
  </si>
  <si>
    <t>¿Existe un proceso con frecuencia definida para revisar la eficacia del TMS y del ESMS?
¿Hay un informe de la última revisión que evalúe su eficacia y aplicabilidad a los riesgos actuales?</t>
  </si>
  <si>
    <t>10.2.b</t>
  </si>
  <si>
    <t>Los resultados de las revisiones del TMS y ESMS son documentados y reportados al Ejecutivo Responsable, Junta Directiva y personas afectadas por el proyecto.</t>
  </si>
  <si>
    <t>¿Los resultados de la revisión están documentados?
¿Se reportaron al AE y a la Junta Directiva?
¿Se comunicaron a las personas afectadas y sus preocupaciones se registraron y rastrearon?</t>
  </si>
  <si>
    <t>10.2.c</t>
  </si>
  <si>
    <t>La revisión será realizada por revisores técnicos superiores con las calificaciones, experiencias y recursos adecuados.</t>
  </si>
  <si>
    <t>¿La revisión fue realizada por revisores técnicos superiores con calificaciones, experiencia y recursos adecuados?
¿Se documenta su independencia u objetividad?</t>
  </si>
  <si>
    <t>10.2.d</t>
  </si>
  <si>
    <t>Para las instalaciones de relaves con Clasificación de Consecuencia “Alta”, “Muy Alta” o “Extrema”, la revisión se realizará por lo menos cada tres años.</t>
  </si>
  <si>
    <t>¿La revisión más reciente del TMS/ESMS tiene menos de 3 años?
¿El historial de revisiones muestra ciclos no mayores a 3 años?</t>
  </si>
  <si>
    <t>10.3.a</t>
  </si>
  <si>
    <t>10.3</t>
  </si>
  <si>
    <t>Las auditorías internas se completan a una frecuencia que garantiza la implementación coherente de los requisitos establecidos relacionados con los procedimientos, guías de la compañía y requisitos de gobernanza corporativa que son consistentes con el TMS y aspectos del ESMS relacionados a los riesgos de la instalación de relaves.</t>
  </si>
  <si>
    <t>¿Existe un programa de auditoría interna con alcance en el TMS y los aspectos del ESMS de relaves, y frecuencia basada en riesgo?
¿Hay informes de auditoría recientes con hallazgos documentados?</t>
  </si>
  <si>
    <t>10.4.a</t>
  </si>
  <si>
    <t>10.4</t>
  </si>
  <si>
    <t>Se realiza una revisión anual de la instalación de relaves a lo largo de los períodos de construcción y de operación para evaluar la condición y el desempeño. Las revisiones son realizadas por el EOR o el revisor técnico senior independiente, el que sea asignado a la instalación de relaves y que la revisión sea documentada. Las revisiones pueden ser realizadas con más frecuencia si es requerido debido a problemas identificados o a la implementación de medidas correctivas necesarias.
Las revisiones pueden ser realizadas con más frecuencia si es requerido debido a problemas identificados o a la implementación de medidas correctivas necesarias.</t>
  </si>
  <si>
    <t>¿Existe una revisión anual de la instalación realizada por el EOR o el revisor técnico senior independiente, con fecha no mayor a 12 meses?
¿Evalúa la condición y el desempeño de la construcción (p ej. QA/QC, CRR, CDIV) y operación (p ej.instrumentación, inspecciones, DAR, balance hídrico)?
¿Se aumentó la frecuencia cuando hubo problemas identificados o construcción mayor?</t>
  </si>
  <si>
    <t>10.5.a</t>
  </si>
  <si>
    <t>10.5</t>
  </si>
  <si>
    <t>Se realizan y documentan las DSRs: 
– cada cinco años para instalaciones de relaves con Clasificaciones de Consecuencias “Muy Altas” o “Extremas” 
– cada diez años para todas las otras instalaciones, o, 
– más seguido de ser recomendado por la ITRB.</t>
  </si>
  <si>
    <t>¿Existe un DSR documentado?
¿Su antigüedad es ≤ 5 años (Muy Alta/Extrema) o ≤ 10 años (demás clasificaciones), o la frecuencia recomendada por la ITRB?
¿Se hicieron DSR más frecuentes ante cambios materiales al diseño, estabilidad, condiciones complejas o parámetros de desmpeño?</t>
  </si>
  <si>
    <t>10.5.b</t>
  </si>
  <si>
    <t>Las DSRs incluyen aspectos técnicos, operativos y de gobernanza de la instalación de relaves y deberán ser completados de acuerdo a las mejores prácticas.</t>
  </si>
  <si>
    <t>¿El DSR cubre aspectos técnicos, operativos y de gobernanza?
¿Sigue una guía de buenas prácticas?</t>
  </si>
  <si>
    <t>10.5.c</t>
  </si>
  <si>
    <t>Los individuos de DSR no pueden realizar DSRs consecutivas en la misma instalación de relaves.</t>
  </si>
  <si>
    <t>¿Los individuos del DSR actual son distintos de los del DSR anterior?
¿Existe un registro de los equipos de DSR históricos?</t>
  </si>
  <si>
    <t>10.5.d</t>
  </si>
  <si>
    <t>Los individuos de DSR certifican por escrito que siguen las mejores prácticas para ingenieros en la prevención de conflictos de interés.</t>
  </si>
  <si>
    <t>¿Cada integrante del equipo DSR certificó por escrito que sigue las buenas prácticas para prevenir conflictos de interés?
¿Las declaraciones se firmaron antes del inicio del DSR y están archivadas por el Operador?</t>
  </si>
  <si>
    <t>10.6.a</t>
  </si>
  <si>
    <t>10.6</t>
  </si>
  <si>
    <t>Para instalaciones de relaves con Clasificaciones de Consecuencias “Muy Altas” o “Extremas”, la ITRB, reportando al Ejecutivo Responsable proporciona una revisión técnica senior independiente de la planificación, emplazamiento, diseño, construcción, operación, balance de aguas y masa, mantenimiento, monitoreo, gestión de desempeño y riesgo a los intervalos adecuados a lo largo de todas las fases del ciclo de vida de la instalación de relaves.</t>
  </si>
  <si>
    <t>¿La ITRB emite informes de revisión técnica dirigidos al AE?
¿Los informes cubren planificación, emplazamiento, diseño, construcción, operación, balance de agua y masa, mantenimiento, monitoreo, gestión del desempeño y riesgo?
¿Hay seguimiento de sus recomendaciones?</t>
  </si>
  <si>
    <t>10.6.b</t>
  </si>
  <si>
    <t>Para las instalaciones de relaves con otras Clasificaciones de Consecuencias, esta revisión puede ser realizada alternativamente por un revisor técnico senior independiente.</t>
  </si>
  <si>
    <t>¿Un revisor técnico senior independiente realiza la revisión técnica y emite informes al AE?
¿Su alcance es equivalente al exigido a la ITRB?</t>
  </si>
  <si>
    <t>10.6.c</t>
  </si>
  <si>
    <t>Las revisiones continuas son realizadas a los intervalos adecuados a lo largo de todas las fases del ciclo de vida de la instalación de relaves.</t>
  </si>
  <si>
    <t>¿La frecuencia de las revisiones de la ITRB o del revisor está definida y justificada?
¿Los informes muestran que esa frecuencia se cumple a lo largo de las fases del ciclo de vida?</t>
  </si>
  <si>
    <t>10.7.a</t>
  </si>
  <si>
    <t>10.7</t>
  </si>
  <si>
    <t>Un proceso y mecanismos de gobernanza han sido establecidos para la planificación y estimación de costos del cierre.</t>
  </si>
  <si>
    <t>¿Existe un proceso con mecanismos de gobernanza para la planificación del cierre y la estimación de costos?
¿Se alinea con las guías del ICMM de cierre integrado y conceptos financieros?</t>
  </si>
  <si>
    <t>10.7.b</t>
  </si>
  <si>
    <t>Un plan de cierre para la instalación de relaves ha sido establecido y se han preparado estimaciones de costos asociados al cierre.</t>
  </si>
  <si>
    <t>¿Existe un plan de cierre específico para la instalación de relaves?
¿Existe una estimación de costos de cierre asociada?
¿Ambos reflejan la condición actual de la instalación?</t>
  </si>
  <si>
    <t>10.7.c</t>
  </si>
  <si>
    <t>Los estimados de costos asociados al cierre son revisados periódicamente y se realiza declaración pública anualmente para confirmar que la capacidad económica (incluyendo el seguro, en la medida que sea comercialmente razonable) esté disponible para cumplir con los requisitos de cierre y plazo esperado para la instalación de relaves en su estado actual.</t>
  </si>
  <si>
    <t>¿Los costos de cierre se revisan periódicamente?
¿Existe una declaración pública anual que confirme la capacidad financiera (incluido seguro) para el cierre?
¿Está respaldada por estados financieros auditados o garantías regulatorias?</t>
  </si>
  <si>
    <t>10.7.d</t>
  </si>
  <si>
    <t>Si uno de los activos del Operador que involucra una instalación de relaves sufre un cambio de Titularidad desde la última revisión, el Operador debe proporcionar documentación de que evaluaron y tomaron en consideración la capacidad de un adquiriente para mantener este Estándar (sujetos a las provisiones de las regulaciones locales/nacionales)</t>
  </si>
  <si>
    <t>¿Se documentó la evaluación de la capacidad técnica y financiera del adquiriente para mantener el estándar?
¿La evaluación consideró el plan y los costos de cierre y la regulación local?</t>
  </si>
  <si>
    <t>11.1.a</t>
  </si>
  <si>
    <t>11.1</t>
  </si>
  <si>
    <t>El Operador ha desarrollado un programa educativo que incluye procedimientos y responsabilidades para prevención de fallas.</t>
  </si>
  <si>
    <t>¿Existe un programa de capacitación/educación específico para la prevención de fallas de la instalación de relaves?
¿El programa se basa en un análisis de necesidades de capacitación por rol?
¿El programa define procedimientos, responsables de su ejecución y frecuencia de las capacitaciones?</t>
  </si>
  <si>
    <t>11.1.b</t>
  </si>
  <si>
    <t>Aquellos con roles de prevención de fallas en cualquier fase del ciclo de vida de la instalación de relaves son incluidos en el programa de educación.</t>
  </si>
  <si>
    <t>¿Todos los roles con funciones de prevención de fallas están incluidos en la matriz de capacitación?
¿Hay registros de asistencia/evaluación que demuestren que esos roles recibieron la capacitación en el periodo evaluado?
¿Se incluye capacitación técnica especializada para los roles que la requieren?</t>
  </si>
  <si>
    <t>11.2.a</t>
  </si>
  <si>
    <t>11.2</t>
  </si>
  <si>
    <t>Se han establecido mecanismos que incorporan el conocimiento basado en la experiencia del trabajador en la planificación, diseño y operación de todas las fases del ciclo de vida de la instalación de relaves.</t>
  </si>
  <si>
    <t>¿Existe un mecanismo documentado para incorporar el conocimiento de trabajadores con experiencia en la planificación, diseño y operación de la instalación?
¿Hay evidencia de que trabajadores con experiencia participaron en la elaboración o revisión del OMS, sistemas de gestión de relaves, diseños de relaves, manual de OMS, y planificación de cierre (actas, listas de revisores)?
¿Los trabajadores experimentados participan en la capacitación del personal nuevo o en el reporte de desviaciones?</t>
  </si>
  <si>
    <t>11.3.a</t>
  </si>
  <si>
    <t>11.3</t>
  </si>
  <si>
    <t>El Operador ha establecido mecanismos que promueven la colaboración multifuncional para respaldar la seguridad pública y la integridad de la instalación de relaves a través de: 
– intercambio eficaz de datos y conocimiento. 
– comunicación eficaz, e 
– implementación de medidas de gestión.</t>
  </si>
  <si>
    <t>¿Existe un mecanismo formal de colaboración multifuncional (p. ej., comité o grupo de gestión de relaves) con participantes de equipos de operación y mantenimiento en el área de relaves, procesos, seguridad, etc?
¿Se define la frecuencia de reunión y el intercambio de datos y conocimiento?
¿Hay actas o registros de reuniones que muestren acuerdos y seguimiento de medidas de gestión?</t>
  </si>
  <si>
    <t>11.4.a</t>
  </si>
  <si>
    <t>11.4</t>
  </si>
  <si>
    <t>El Operador ha identificado e implementado lecciones de investigaciones de incidentes internos.</t>
  </si>
  <si>
    <t>¿Existe un proceso documentado para investigar incidentes internos (incluidos cuasiaccidentes) relacionados con la instalación de relaves e identificar sus causas raíz?
¿Hay informes de investigación con acciones de aprendizaje/prevención definidas?
¿Hay evidencia de que las lecciones se implementaron e incorporaron al sistema de gestión (p. ej., cambios en OMS, TARP o capacitación)?</t>
  </si>
  <si>
    <t>11.4.b</t>
  </si>
  <si>
    <t>El Operador ha identificado e implementado lecciones de reportes de incidentes externos relevantes.</t>
  </si>
  <si>
    <t>¿Existe un proceso documentado para revisar incidentes externos relevantes (otras operaciones, industria, reguladores, mecanismos de quejas)?
¿Hay evidencia de la revisión de incidentes externos concretos y de su aplicabilidad a la instalación?
¿Se implementaron acciones derivadas de esas lecciones?</t>
  </si>
  <si>
    <t>11.4.c</t>
  </si>
  <si>
    <t>Las lecciones de incidentes internos y externos aprendidas prestan especial atención a los factores humanos y organizativos.</t>
  </si>
  <si>
    <t>¿Las investigaciones y lecciones aprendidas analizan explícitamente factores humanos y organizativos, además de las causas técnicas?
¿Las acciones derivadas consideran capacidades y limitaciones humanas?</t>
  </si>
  <si>
    <t>11.5.a</t>
  </si>
  <si>
    <t>11.5</t>
  </si>
  <si>
    <t>El Operador ha establecido un mecanismo documentado que reconoce, recompensa y protege a los empleados y contratistas que reportan problemas o identifican oportunidades para la mejora de la gestión de la instalación de relaves.</t>
  </si>
  <si>
    <t>¿Existe un mecanismo documentado para que empleados y contratistas reporten problemas u oportunidades de mejora de la instalación de relaves?
¿El mecanismo define canales, confidencialidad, protección contra represalias, plazos de respuesta y medidas de escalamiento?
¿Incluye disposiciones de reconocimiento/recompensa y hay evidencia de su difusión (inducciones, material en sitio)?</t>
  </si>
  <si>
    <t>11.5.b</t>
  </si>
  <si>
    <t>El Operador ha respondido de manera oportuna, y comunicado a los empleados y contratistas las acciones tomadas en respuesta a las preocupaciones y oportunidades presentadas.</t>
  </si>
  <si>
    <t>¿Existe un registro que rastree los problemas y oportunidades reportados, con fecha, estado y respuesta?
¿Las respuestas se dieron dentro de los plazos definidos en el procedimiento?
¿Hay evidencia de que se comunicaron a empleados y contratistas las acciones tomadas?</t>
  </si>
  <si>
    <t>12.1.a</t>
  </si>
  <si>
    <t>12.1</t>
  </si>
  <si>
    <t>El Ejecutivo Responsable ha establecido un proceso formal, confidencial y por escrito para recibir, investigar y abordar con prontitud las inquietudes de empleados y contratistas relacionadas a la instalación de relaves, incluyendo posibles violaciones de permisos u otros asuntos relaciones al cumplimiento reglamentario, seguridad pública, integridad de la instalación de relaves o al medio ambiente.</t>
  </si>
  <si>
    <t>¿Existe un proceso formal, escrito y confidencial para recibir, investigar y atender inquietudes de empleados y contratistas sobre la instalación de relaves (permisos, cumplimiento, seguridad pública, integridad, ambiente)?
¿Define plazos, escalamiento de inquietudes urgentes o no resueltas y los medios y frecuencia del reporte interno?
¿Está aprobado o supervisado activamente por el Ejecutivo Responsable?
¿Es ampliamente comunicado y accesible a nivel de la instalación?</t>
  </si>
  <si>
    <t>12.2.a</t>
  </si>
  <si>
    <t>12.2</t>
  </si>
  <si>
    <t>El Operador mantiene prácticas de protección al denunciante que no descargan, discriminan o toman represalias contra un denunciante quien, en buena fe, reporta posibles violaciones relacionadas al cumplimiento reglamentario, seguridad pública, integridad de la instalación de relaves o el medio ambiente.</t>
  </si>
  <si>
    <t>¿El procedimiento incluye disposiciones explícitas de no despido, no discriminación y no represalia contra denunciantes de buena fe?
¿Garantiza confidencialidad/anonimato, un canal independiente (línea directa) y la separación del personal implicado?
¿Hay registros que muestren que el sistema funciona en la práctica (número de reportes recibidos y atendidos)?</t>
  </si>
  <si>
    <t>13.1.a</t>
  </si>
  <si>
    <t>Respuesta ante emergencias y recuperación a largo plazo</t>
  </si>
  <si>
    <t>13.1</t>
  </si>
  <si>
    <t>El Sistema de Gestión de Relaves (TMS) incluye un Plan de Preparación y Respuesta frente a Emergencias (EPRP) específico al sitio de la instalación de relaves. El EPRP incluye acciones específicas tanto para preparar, como para manejar un evento creciente, y para responder después que un evento ha ocurrido.</t>
  </si>
  <si>
    <t>¿Existe un EPRP específico de la instalación de relaves, aprobado e incorporado al TMS (o integrado al MERP)?
¿El EPRP incluye acciones para la preparación, para manejar un evento creciente y para la respuesta posterior al evento?
¿Los controles del EPRP se derivan de la evaluación de riesgos?</t>
  </si>
  <si>
    <t>13.1.b</t>
  </si>
  <si>
    <t>El EPRP de la instalación de relaves es responsivo a los escenarios de falla de flujo creíbles y a la evaluación de las consecuencias potenciales, e identifica claramente las áreas potencialmente afectadas y el grado potencial de las consecuencias esperadas.</t>
  </si>
  <si>
    <t>¿El EPRP se basa en los escenarios de falla de flujo creíbles del análisis de rotura (DBA) vigente?
¿Identifica claramente las áreas potencialmente afectadas (mapas de inundación) y el grado potencial de las consecuencias (tiempos de llegada, profundidades, velocidades)?
¿Identifica a la población, la infraestructura y los grupos vulnerables expuestos?</t>
  </si>
  <si>
    <t>13.1.c</t>
  </si>
  <si>
    <t>El EPRP fue desarrollado con aportes de experiencia apropiada en respuesta frente a emergencias, operaciones de sitio y de personas afectadas por el proyecto utilizando las mejores prácticas.</t>
  </si>
  <si>
    <t>¿El EPRP documenta quiénes contribuyeron a su elaboración?
¿Participaron especialistas en respuesta a emergencias, personal de operaciones del sitio y personas afectadas por el proyecto?</t>
  </si>
  <si>
    <t>13.1.d</t>
  </si>
  <si>
    <t>El EPRP de la instalación de relaves para las instalaciones operativas son evaluados y revisados sobre el proceso y frecuencia especificados en el plan, cada 3 años, o más frecuentemente si es activado por un cambio material a la instalación de relaves o al contexto social, medioambiental o económico. Referencia R 13.2 y R. 13.3.</t>
  </si>
  <si>
    <t>¿El EPRP define el proceso y la frecuencia de su evaluación y revisión (no mayor a 3 años), o más frecuentemente si es por cambio un cambio material de la instalación?
¿Hay registros de que el EPRP fue efectivamente evaluado y revisado en la frecuencia definida (historial de versiones, actas de revisión)?
¿Las revisiones incorporan los resultados de simulacros y de la interacción con respondedores (13.2 y 13.3)?</t>
  </si>
  <si>
    <t>13.1.e</t>
  </si>
  <si>
    <t>El desarrollo y actualizaciones del EPRP involucran compromisos importantes de empleados, contratistas, proveedores de respuesta frente a emergencia comunitarios, y las personas afectadas por el proyecto son involucradas para codesarrollar preparación frente a emergencias enfocadas en la comunidad y comunicación de plan a las personas afectadas por el proyecto.</t>
  </si>
  <si>
    <t>¿Hay evidencia de participación significativa de empleados, contratistas, proveedores de respuesta frente a emergencias comunitartias y personas afectadas por el proyecto?
¿Se comunicó el plan a las personas afectadas en formatos adecuados a su diversidad (idioma, movilidad, sustento, dependencias)?
¿Los aportes recibidos se reflejan en las actualizaciones del EPRP?</t>
  </si>
  <si>
    <t>13.2.a</t>
  </si>
  <si>
    <t>13.2</t>
  </si>
  <si>
    <t>El Operador a identificado agencias del sector público, entidades de primera línea, autoridades locales e instituciones que participarían en cualquier respuesta de emergencia a una falla de una instalación de relaves.</t>
  </si>
  <si>
    <t>¿El EPRP identifica las agencias del sector público, entidades de primera línea, autoridades locales e instituciones que participarían en la respuesta a una falla?
¿Se asignan roles y responsabilidades anticipados a cada organización (p. ej., gobierno local, bomberos, salud, transporte, comunicaciones)?</t>
  </si>
  <si>
    <t>13.2.b</t>
  </si>
  <si>
    <t>El Operador se ha involucrado con las organizaciones identificadas.</t>
  </si>
  <si>
    <t>¿Hay registros de reuniones con las organizaciones identificadas (actas, listas de participantes, resúmenes)?
¿Se les divulgó información relevante del EPRP (riesgos identificados, escenarios de respuesta)?
¿Se acordó con ellas un plan y protocolos de comunicación?</t>
  </si>
  <si>
    <t>13.2.c</t>
  </si>
  <si>
    <t>El Operador ha tomado pasos razonables para evaluar la habilidad de las organizaciones identificadas para abordar los riesgos identificados en el EPRP de la instalación de relaves, para identificar las carencias en la capacidad, y para utilizar esta información para respaldar el desarrollo de un plan colaborativo para mejorar la preparación si se identifican carencias.</t>
  </si>
  <si>
    <t>¿Se evaluó la capacidad de las organizaciones identificadas frente a los roles de respuesta esperados asociados a los riesgos identificados en el EPRP?
¿Se identificaron brechas de capacidad de forma explícita?
¿Existe un plan colaborativo para cerrar las brechas y evidencia de su seguimiento?</t>
  </si>
  <si>
    <t>13.3.a</t>
  </si>
  <si>
    <t>13.3</t>
  </si>
  <si>
    <t>El Operador incorpora el conocimiento de las medidas enfocadas a la comunidad y la capacidad del sector público al establecer un estado de preparación en el EPRP.</t>
  </si>
  <si>
    <t>¿El estado de preparación del EPRP incorpora medidas enfocadas en la comunidad?
¿Considera la capacidad real del sector público al definir los recursos de respuesta y los ejercicios de capacitación?</t>
  </si>
  <si>
    <t>13.3.b</t>
  </si>
  <si>
    <t>El Operador ha tomado todos los pasos razonables para mantener un estado de preparación compartido al involucrarse con las agencias del sector público, entidades de primera línea, autoridades locales, instituciones, que responderían frente una emergencia (como se identificó en 13.2).</t>
  </si>
  <si>
    <t>¿El EPRP documenta los recursos disponibles, su ubicación y los responsables de implementación?
¿Hay evidencia de involucramiento continuo con las organizaciones para mantener un estado de preparación compartido?
¿Auditorías o inspecciones confirman que los recursos están listos y disponibles?</t>
  </si>
  <si>
    <t>13.3.c</t>
  </si>
  <si>
    <t>El Operador aseguró y mantiene recursos en un estado de preparación para responder a escenarios de falla de flujo creíble de una instalación de relaves si aplica a su instalación.</t>
  </si>
  <si>
    <t>¿Existe una lista de recursos (equipos, personal, sistemas de alerta, rutas y zonas seguras) para responder a los escenarios de falla de flujo creíbles?
¿Indica ubicación, cantidad y responsable de cada recurso?
¿Hay registros de inspección/mantenimiento que acrediten que los recursos se mantienen operativos?</t>
  </si>
  <si>
    <t>13.3.d</t>
  </si>
  <si>
    <t>Se realizan capacitaciones internas y enfocadas en la comunidad y ejercicios sobre el EPRP.</t>
  </si>
  <si>
    <t>¿Se realizaron capacitaciones internas sobre el EPRP en el periodo evaluado?
¿Se realizaron capacitaciones o ejercicios enfocados en la comunidad (charlas, ejercicios de mesa, pruebas de conocimiento)?
¿Hay registros de asistencia y contenidos?</t>
  </si>
  <si>
    <t>13.3.e</t>
  </si>
  <si>
    <t>El Operador tiene un programa para realizar simulaciones de respuesta a emergencias con proveedores de servicios de emergencias, y personas afectadas por el proyecto a una frecuencia definida por el EPRP.</t>
  </si>
  <si>
    <t>¿El EPRP define un programa y una frecuencia de simulacros con servicios de emergencia y personas afectadas?
¿Se ejecutaron los simulacros en la frecuencia definida, con participación de servicios de emergencia y personas afectadas?
¿Los resultados se documentaron y se usaron para actualizar el estado de preparación y las necesidades de capacitación?</t>
  </si>
  <si>
    <t>13.3.f</t>
  </si>
  <si>
    <t>Para las instalaciones con escenarios de falla de flujo creíble el Operador llevó a cabo una respuesta de emergencia, las simulaciones se llevan a cabo por lo menos cada 3 años para aquellas instalaciones de relaves con escenarios de falla de flujo creíble, que pueden resultar en muertes. Las simulaciones pueden variar desde ejercicios de mesa hasta ejercicios de campo de una emergencia y pueden incluir la evaluación de múltiples escenarios de falla de flujo creíbles.</t>
  </si>
  <si>
    <t>¿Se realizó al menos un simulacro de respuesta a emergencia (de mesa o de campo) en los últimos 3 años?
¿El simulacro evaluó uno o más escenarios de falla de flujo creíbles que pueden resultar en muertes?
¿Hay informe del simulacro con resultados y acciones?</t>
  </si>
  <si>
    <t>13.4.a</t>
  </si>
  <si>
    <t>13.4</t>
  </si>
  <si>
    <t>El EPRP incluye acciones específicas para responder inmediatamente si ha ocurrido una falla catastrófica de una instalación de relaves (refiérase a los Requisitos en 13.1).</t>
  </si>
  <si>
    <t>¿El EPRP incluye acciones específicas de respuesta inmediata ante una falla catastrófica?
¿Hay evidencia de la capacidad y disponibilidad de los servicios de emergencia internos y externos para movilizarse en los plazos especificados?</t>
  </si>
  <si>
    <t>13.4.b</t>
  </si>
  <si>
    <t>La respuesta inmediata en el evento de una falla catastrófica de una instalación de relaves claramente prioriza la salvación de vidas, provisión de ayuda humanitaria y minimización de daño medioambiental.</t>
  </si>
  <si>
    <t>¿El EPRP y sus políticas establecen explícitamente como prioridades salvar vidas, proveer ayuda humanitaria y minimizar el daño medioambiental?
¿Los roles clave del EPRP conocen estas prioridades?</t>
  </si>
  <si>
    <t>14.1.a</t>
  </si>
  <si>
    <t>14.1</t>
  </si>
  <si>
    <t>El Operador ha identificado agencias del sector público y otras organizaciones que participarían en estrategias sociales y medioambientales de mediano y largo plazo posteriores a la falla.</t>
  </si>
  <si>
    <t>¿Existe un listado de agencias del sector público y otras organizaciones que participarían en estrategias sociales y medioambientales de mediano y largo plazo después de una falla?
¿Se asignan roles y responsabilidades anticipados a cada una?</t>
  </si>
  <si>
    <t>14.1.b</t>
  </si>
  <si>
    <t>El Operador ha tomado pasos razonables para involucrarse significativamente con tales organizaciones.</t>
  </si>
  <si>
    <t>¿Hay evidencia de involucramiento con las organizaciones identificadas (correspondencia, materiales de comunicación, actas)?
¿El involucramiento fue significativo (intercambio de información, acuerdos, seguimiento) y no solo una notificación?</t>
  </si>
  <si>
    <t>14.2.a</t>
  </si>
  <si>
    <t>14.2</t>
  </si>
  <si>
    <t>El Operador ha realizado una evaluación de impacto posterior al incidente que aborda los impactos sociales, medioambientales y económicos locales.</t>
  </si>
  <si>
    <t>¿Se realizó una evaluación de impacto posterior al incidente?
¿Su alcance cubre los impactos sociales, medioambientales y económicos locales con detalle suficiente para evaluar impactos de mediano y largo plazo?</t>
  </si>
  <si>
    <t>14.2.b</t>
  </si>
  <si>
    <t>La evaluación de impacto posterior al incidente ha sido realizada tan rápido como ha sido posible una vez las personas estén seguras y se hayan cumplido con las necesidades de supervivencia a corto plazo.</t>
  </si>
  <si>
    <t>¿La evaluación se inició tan pronto como las personas estuvieron seguras y se cubrieron las necesidades de supervivencia a corto plazo?
¿Hay registro de fechas (falla, fin de la emergencia, inicio de la evaluación) que lo demuestre?</t>
  </si>
  <si>
    <t>14.3.a</t>
  </si>
  <si>
    <t>14.3</t>
  </si>
  <si>
    <t>El Operador, ha desarrollado planes en conjunto con agencias del sector público y otras partes interesadas para abordar los impactos sociales, medioambientales y económicos locales a medio y largo de la falla.</t>
  </si>
  <si>
    <t>¿Existen planes de reconstrucción, restauración y recuperación para los impactos sociales, medioambientales y económicos de mediano y largo plazo?
¿Los planes se desarrollaron conjuntamente con agencias del sector público y otras partes interesadas (evidencia de participación)?</t>
  </si>
  <si>
    <t>14.3.b</t>
  </si>
  <si>
    <t>El Operador ha proporcionado para la divulgación de los planes de reconstrucción, restauración y recuperación de ser permitido por las autoridades públicas.</t>
  </si>
  <si>
    <t>¿Se divulgaron los planes a las agencias y partes interesadas involucradas, si las autoridades lo permitieron?
¿Hay registro de la divulgación o de la restricción impuesta por la autoridad?</t>
  </si>
  <si>
    <t>14.3.c</t>
  </si>
  <si>
    <t>El Operador ha implementado los planes en colaboración con agencias del sector público y otras partes interesadas.</t>
  </si>
  <si>
    <t>¿Hay registros de implementación de los planes (informes de avance, de monitoreo y de evaluación)?
¿La implementación se realizó en colaboración con agencias del sector público y partes interesadas?</t>
  </si>
  <si>
    <t>14.4.a</t>
  </si>
  <si>
    <t>14.4</t>
  </si>
  <si>
    <t>El Operador ha establecido la participación de las personas afectadas en las obras de reconstrucción, restauración y recuperación y actividades de monitoreo continuas.</t>
  </si>
  <si>
    <t>¿Hay registros de participación de las personas afectadas en las obras de reconstrucción, restauración y recuperación?
¿Participan en las actividades de monitoreo continuo (actas, asistencia, informes)?</t>
  </si>
  <si>
    <t>14.5.a</t>
  </si>
  <si>
    <t>14.5</t>
  </si>
  <si>
    <t>El Operador facilita el seguimiento y los informes públicos de los resultados posteriores a la falla.</t>
  </si>
  <si>
    <t>¿Se publican informes de seguimiento de los resultados posteriores a la falla?
¿Se usan mecanismos de reporte público accesibles (web, medios, informes a gobierno, grupos comunitarios)?</t>
  </si>
  <si>
    <t>14.5.b</t>
  </si>
  <si>
    <t>El seguimiento e informes públicos de los resultados posteriores a la falla están en regla con los umbrales e indicadores descritos en los planes de reconstrucción, restauración y recuperación.</t>
  </si>
  <si>
    <t>¿Los planes de  reconstrucción, restauración y recuperación describen umbrales e indicadores de seguimiento y reporte público?
¿Los informes son públicos y reportan resultados posteriores a la falla con umbrales e indicadores en regla?</t>
  </si>
  <si>
    <t>14.5.c</t>
  </si>
  <si>
    <t>Las actividades de seguimiento e informes públicos posteriores a la falla se adaptan en respuesta a los resultados y observaciones.</t>
  </si>
  <si>
    <t>¿Hay evidencia de que el programa de seguimiento y reporte se adaptó en respuesta a resultados y observaciones?
¿Se registra la retroalimentación recibida y los cambios realizados?</t>
  </si>
  <si>
    <t>15.1.a</t>
  </si>
  <si>
    <t>Divulgación pública y acceso a la información</t>
  </si>
  <si>
    <t>15.1</t>
  </si>
  <si>
    <t>Todas las divulgaciones especificadas en 15.1 (A) y (B) son abordadas.</t>
  </si>
  <si>
    <t>¿Se publicó la información exigida en 15.1(A) para instalaciones nuevas (resumen en lenguaje sencillo de la selección de sitio y bases de diseño; clasificación de consecuencias)?
¿Se publicó y actualizó al menos anualmente la información exigida en 15.1(B) para instalaciones existentes (los 10 elementos: descripción de la instalación, clasificación de consecuencias, resumen de la evaluación de riesgos, resumen de la exposición y vulnerabilidad humana, descripción del diseño para todas las etapas, desempeño/DSR, monitoreo medioambiental y social, EPRP resumido, fechas de revisiones independientes, capacidad financiera)?
¿Toda información excluida está justificada, documentada y aprobada por el Ejecutivo Responsable?
¿Se presenta el enlace y una captura/PDF fechado de la publicación?</t>
  </si>
  <si>
    <t>Instalación nueva y existente</t>
  </si>
  <si>
    <t>15.1.b</t>
  </si>
  <si>
    <t>Las divulgaciones especificadas en 15.1(C) son abordadas.</t>
  </si>
  <si>
    <t>¿Se entregó a las autoridades locales y servicios de emergencia información derivada del análisis brecha suficiente para una planificación eficaz de gestión de desastres?
¿Hay registros de la entrega (cargos, actas, correos) y de su contenido?
¿Hay evidencia de coordinación (p. ej., simulacro con la autoridad) para verificar la eficacia de esa planificación?</t>
  </si>
  <si>
    <t>15.2.a</t>
  </si>
  <si>
    <t>15.2</t>
  </si>
  <si>
    <t>El Operador mantiene un enfoque sistemático y oportuno a la respuesta de solicitudes de material informativo de seguridad pública e integridad de la instalación de relaves por parte de personas afectadas por el proyecto.</t>
  </si>
  <si>
    <t>¿Existe un procedimiento sistemático para recibir y responder solicitudes de información de personas afectadas sobre seguridad e integridad de la instalación, con plazos públicos?
¿Existe un registro de solicitudes con fecha, solicitante, naturaleza, respuesta y seguimiento hasta el cierre?
¿Hay personal designado y capacitado para responderlas?</t>
  </si>
  <si>
    <t>15.2.b</t>
  </si>
  <si>
    <t>En las instancias que tales solicitudes son denegadas por el Operador, se deberá proporcionar una explicación a las personas afectadas por el proyecto dentro de un plazo razonable y se mantendrán registros de las explicaciones brindadas relevantes a las personas afectadas por el proyecto solicitantes.</t>
  </si>
  <si>
    <t>¿En cada solicitud denegada se dio una explicación escrita al solicitante?
¿La explicación se dio dentro de un plazo razonable y queda registrada (correo, carta, acta)?</t>
  </si>
  <si>
    <t>15.3.a</t>
  </si>
  <si>
    <t>15.3</t>
  </si>
  <si>
    <t>Contribuye con información a las iniciativas de transparencia global relacionadas a la seguridad e integridad de instalaciones de relaves.</t>
  </si>
  <si>
    <t>¿La información de las instalaciones se reporta a iniciativas de transparencia global? (p. ej., Global Tailings Portal)?
¿Hay evidencia (enlace + captura/PDF fechado) de la contribución?</t>
  </si>
  <si>
    <t>15.3.b</t>
  </si>
  <si>
    <t>Actualizar periódicamente la información divulgada relacionada a la seguridad e integridad de instalaciones de relaves, como mínimo de acuerdo a los requisitos en 15.1</t>
  </si>
  <si>
    <t>¿La información divulgada se actualiza periódicamente, al menos anualmente según el requisito 15.1?
¿Hay evidencia de fechas de actualización sucesivas (versiones o capturas fechadas)?</t>
  </si>
  <si>
    <t>ID_Documento</t>
  </si>
  <si>
    <t>Documento</t>
  </si>
  <si>
    <t>Tipo Documento</t>
  </si>
  <si>
    <t>Código</t>
  </si>
  <si>
    <t>Estado</t>
  </si>
  <si>
    <t>% Avance Individual</t>
  </si>
  <si>
    <t>Consultor</t>
  </si>
  <si>
    <t>Área Responsable</t>
  </si>
  <si>
    <t>Fecha Iniciado</t>
  </si>
  <si>
    <t>Fecha RevA</t>
  </si>
  <si>
    <t>Fecha RevB</t>
  </si>
  <si>
    <t>Fecha Rev0</t>
  </si>
  <si>
    <t>Frecuencia (meses)</t>
  </si>
  <si>
    <t>Caducidad</t>
  </si>
  <si>
    <t>URL</t>
  </si>
  <si>
    <t>Compañía</t>
  </si>
  <si>
    <t>Depósito</t>
  </si>
  <si>
    <t>D001</t>
  </si>
  <si>
    <t>Política corporativa de derechos humanos</t>
  </si>
  <si>
    <t>Política</t>
  </si>
  <si>
    <t>GA-DOC-01-2024</t>
  </si>
  <si>
    <t>Consultor 1</t>
  </si>
  <si>
    <t>Sustentabilidad</t>
  </si>
  <si>
    <t>https://drive.google.com/drive/folders/1IaEo6qPMz_Vb8OOQY3e1RIre4Fj4qXZL?usp=drive_link</t>
  </si>
  <si>
    <t>Mining Company</t>
  </si>
  <si>
    <t>Embalse N°1</t>
  </si>
  <si>
    <t>D002</t>
  </si>
  <si>
    <t xml:space="preserve">Debida deligencia de los derechos humanos </t>
  </si>
  <si>
    <t>Informe</t>
  </si>
  <si>
    <t>-</t>
  </si>
  <si>
    <t>D003</t>
  </si>
  <si>
    <t>Caracterización detallada del sitio y relaves.</t>
  </si>
  <si>
    <t>Nota Técnica</t>
  </si>
  <si>
    <t>D004</t>
  </si>
  <si>
    <t>Análisis de rotura de presas (DBA).</t>
  </si>
  <si>
    <t>Consultor 3</t>
  </si>
  <si>
    <t>D005</t>
  </si>
  <si>
    <t>Análisis de alternativas de criterio múltiple.</t>
  </si>
  <si>
    <t>Procedimiento</t>
  </si>
  <si>
    <t>D006</t>
  </si>
  <si>
    <t>Estudio de impacto social, medioambiental y económico.</t>
  </si>
  <si>
    <t>Medio Ambiente</t>
  </si>
  <si>
    <t>D007</t>
  </si>
  <si>
    <t>Guía de gestión de cambios</t>
  </si>
  <si>
    <t>D008</t>
  </si>
  <si>
    <t>Clasificación por Consecuencia</t>
  </si>
  <si>
    <t>D009</t>
  </si>
  <si>
    <t>Reporte de diseño base (DBR)</t>
  </si>
  <si>
    <t>D010</t>
  </si>
  <si>
    <t>Reportes de desempeño anual</t>
  </si>
  <si>
    <t>D011</t>
  </si>
  <si>
    <t>Balance hídrico y planes de gestión de agua</t>
  </si>
  <si>
    <t>D012</t>
  </si>
  <si>
    <t>Evaluación de riesgos</t>
  </si>
  <si>
    <t>D013</t>
  </si>
  <si>
    <t>Plan de cierre</t>
  </si>
  <si>
    <t>D014</t>
  </si>
  <si>
    <t>Reportes de registro de construcción / incluye QA y QC (CRR)</t>
  </si>
  <si>
    <t>D015</t>
  </si>
  <si>
    <t>Reporte ALARP</t>
  </si>
  <si>
    <t>Consultor 2</t>
  </si>
  <si>
    <t>Operaciones</t>
  </si>
  <si>
    <t>D016</t>
  </si>
  <si>
    <t>Construcción vs verificación de la intención de diseño (CDIV)</t>
  </si>
  <si>
    <t>D017</t>
  </si>
  <si>
    <t>Manual de Operación, Mantenimiento y Vigilancia (OMS)</t>
  </si>
  <si>
    <t>D018</t>
  </si>
  <si>
    <t>Guía de gestión de calidad</t>
  </si>
  <si>
    <t>D019</t>
  </si>
  <si>
    <t>Programa de capacitación del SGR</t>
  </si>
  <si>
    <t>D020</t>
  </si>
  <si>
    <t>Reporte de responsabilidad por desviación (DAR)</t>
  </si>
  <si>
    <t>D021</t>
  </si>
  <si>
    <t>Informes de monitoreo del TSF</t>
  </si>
  <si>
    <t>D022</t>
  </si>
  <si>
    <t>Política de gestión segura de la instalación de relaves</t>
  </si>
  <si>
    <t>D023</t>
  </si>
  <si>
    <t>Organigrama, funciones y responsabilidades.</t>
  </si>
  <si>
    <t>D024</t>
  </si>
  <si>
    <t>Plan de sucesión</t>
  </si>
  <si>
    <t>D025</t>
  </si>
  <si>
    <t>Carta de Designación (ITRB)</t>
  </si>
  <si>
    <t>D026</t>
  </si>
  <si>
    <t>Carta de Designación (EOR)</t>
  </si>
  <si>
    <t>D027</t>
  </si>
  <si>
    <t>Talleres de riesgo</t>
  </si>
  <si>
    <t>Manual</t>
  </si>
  <si>
    <t>D028</t>
  </si>
  <si>
    <t>Informe de gestión de riesgos</t>
  </si>
  <si>
    <t>D029</t>
  </si>
  <si>
    <t>Informe de revisión interna del SGR</t>
  </si>
  <si>
    <t>D030</t>
  </si>
  <si>
    <t>Auditorías internas (GAP Análisis)</t>
  </si>
  <si>
    <t>D031</t>
  </si>
  <si>
    <t>Revisión de seguridad de presas (DSR)</t>
  </si>
  <si>
    <t>D032</t>
  </si>
  <si>
    <t>Informe de ITRB</t>
  </si>
  <si>
    <t>D033</t>
  </si>
  <si>
    <t>Procedimiento de quejas y reclamos.</t>
  </si>
  <si>
    <t>D034</t>
  </si>
  <si>
    <t>Plan de preparación y respuesta frente a Emergencias (EPRP)</t>
  </si>
  <si>
    <t>D035</t>
  </si>
  <si>
    <t>Registro de divulgación pública</t>
  </si>
  <si>
    <t>D036</t>
  </si>
  <si>
    <t>Carta de consentimiento público</t>
  </si>
  <si>
    <t>Registro</t>
  </si>
  <si>
    <t>Consultor 5</t>
  </si>
  <si>
    <t>D037</t>
  </si>
  <si>
    <t>Evaluación del cambio climático</t>
  </si>
  <si>
    <t>D038</t>
  </si>
  <si>
    <t>Informe de ingeniería</t>
  </si>
  <si>
    <t>D039</t>
  </si>
  <si>
    <t>Análisis de estabilidad y deformaciones</t>
  </si>
  <si>
    <t>D040</t>
  </si>
  <si>
    <t>Plan de disposición de relaves (LOM)</t>
  </si>
  <si>
    <t>D041</t>
  </si>
  <si>
    <t>Carta de Designación (AEO)</t>
  </si>
  <si>
    <t>D042</t>
  </si>
  <si>
    <t>Carta de Designación (RTFE)</t>
  </si>
  <si>
    <t>D043</t>
  </si>
  <si>
    <t>Permisos legales y permisos</t>
  </si>
  <si>
    <t>D044</t>
  </si>
  <si>
    <t>Guía de gestión de riesgos</t>
  </si>
  <si>
    <t>D045</t>
  </si>
  <si>
    <t>Sistema de gestión de relaves (TMS)</t>
  </si>
  <si>
    <t>D046</t>
  </si>
  <si>
    <t>Registro de simulacros y capacitaciones internas</t>
  </si>
  <si>
    <t>D047</t>
  </si>
  <si>
    <t xml:space="preserve"> Inventario de TSF’s para repositorios de acceso público</t>
  </si>
  <si>
    <t>D048</t>
  </si>
  <si>
    <t>Reportes de identificación y lecciones de incidencias</t>
  </si>
  <si>
    <t>D049</t>
  </si>
  <si>
    <t>Planes de reconstrucción, restauración y recuperación</t>
  </si>
  <si>
    <t>D050</t>
  </si>
  <si>
    <t>Informes periódicos del EoR</t>
  </si>
  <si>
    <t>Consultor 4</t>
  </si>
  <si>
    <t>Texto del criterio (ref.)</t>
  </si>
  <si>
    <t>Rol</t>
  </si>
  <si>
    <t>Documento secundario</t>
  </si>
  <si>
    <t>Ponderación Criterio</t>
  </si>
  <si>
    <t>% Avance Documento</t>
  </si>
  <si>
    <t>Avance Ponderado Efectivo</t>
  </si>
  <si>
    <t>Rango de páginas</t>
  </si>
  <si>
    <t>Fragmentos</t>
  </si>
  <si>
    <t>Cumplimiento de requisito</t>
  </si>
  <si>
    <t>Principal</t>
  </si>
  <si>
    <t>Complementario</t>
  </si>
  <si>
    <t>D038
D009</t>
  </si>
  <si>
    <t>D018
D014</t>
  </si>
  <si>
    <t>D041
D017</t>
  </si>
  <si>
    <t>D044
D027
D032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</si>
</sst>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font>
      <sz val="11"/>
      <color theme="1"/>
      <name val="Calibri"/>
      <family val="2"/>
      <scheme val="minor"/>
    </font>
    <font>
      <sz val="10"/>
      <color rgb="FF3F3E3E"/>
      <name val="Arial"/>
      <family val="2"/>
    </font>
    <font>
      <b/>
      <sz val="10"/>
      <color rgb="FF3F3E3E"/>
      <name val="Arial"/>
      <family val="2"/>
    </font>
    <font>
      <b/>
      <sz val="11"/>
      <color rgb="FFFFFFFF"/>
      <name val="Arial"/>
      <family val="2"/>
    </font>
    <font>
      <sz val="10"/>
      <color theme="1"/>
      <name val="Arial"/>
      <family val="2"/>
    </font>
    <font>
      <strike/>
      <sz val="10"/>
      <color rgb="FFFF0000"/>
      <name val="Arial"/>
      <family val="2"/>
    </font>
    <font>
      <strike/>
      <sz val="10"/>
      <color theme="1"/>
      <name val="Arial"/>
      <family val="2"/>
    </font>
    <font>
      <i/>
      <sz val="10"/>
      <color rgb="FF3F3E3E"/>
      <name val="Arial"/>
      <family val="2"/>
    </font>
    <font>
      <sz val="8"/>
      <name val="Calibri"/>
      <family val="2"/>
      <scheme val="minor"/>
    </font>
    <font>
      <b/>
      <sz val="11"/>
      <color theme="1"/>
      <name val="Calibri"/>
      <family val="2"/>
      <scheme val="minor"/>
    </font>
    <font>
      <sz val="11"/>
      <color theme="1"/>
      <name val="Calibri"/>
      <family val="2"/>
      <charset val="1"/>
    </font>
    <font>
      <b/>
      <sz val="10"/>
      <color rgb="FFFFFFFF"/>
      <name val="Arial"/>
      <charset val="1"/>
    </font>
    <font>
      <sz val="10"/>
      <color rgb="FF0000FF"/>
      <name val="Arial"/>
      <charset val="1"/>
    </font>
    <font>
      <sz val="10"/>
      <name val="Arial"/>
      <family val="2"/>
    </font>
    <font>
      <sz val="10"/>
      <color rgb="FF0000FF"/>
      <name val="Arial"/>
      <family val="2"/>
    </font>
    <font>
      <b/>
      <sz val="10"/>
      <color rgb="FFFFFFFF"/>
      <name val="Arial"/>
      <family val="2"/>
    </font>
    <font>
      <sz val="10"/>
      <color rgb="FF0069AA"/>
      <name val="Arial"/>
      <family val="2"/>
    </font>
  </fonts>
  <fills count="14">
    <fill>
      <patternFill patternType="none"/>
    </fill>
    <fill>
      <patternFill patternType="gray125"/>
    </fill>
    <fill>
      <patternFill patternType="solid">
        <fgColor rgb="FFFCEFBF"/>
      </patternFill>
    </fill>
    <fill>
      <patternFill patternType="solid">
        <fgColor rgb="FF00539B"/>
      </patternFill>
    </fill>
    <fill>
      <patternFill patternType="solid">
        <fgColor rgb="FFDFE3E4"/>
      </patternFill>
    </fill>
    <fill>
      <patternFill patternType="solid">
        <fgColor rgb="FFDCF0F7"/>
      </patternFill>
    </fill>
    <fill>
      <patternFill patternType="solid">
        <fgColor rgb="FFFFFF00"/>
        <bgColor indexed="64"/>
      </patternFill>
    </fill>
    <fill>
      <patternFill patternType="solid">
        <fgColor rgb="FFDFE3E4"/>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2"/>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rgb="FF0069AA"/>
        <bgColor rgb="FF003366"/>
      </patternFill>
    </fill>
  </fills>
  <borders count="1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indexed="64"/>
      </bottom>
      <diagonal/>
    </border>
    <border>
      <left/>
      <right/>
      <top/>
      <bottom style="thin">
        <color indexed="64"/>
      </bottom>
      <diagonal/>
    </border>
    <border>
      <left style="thin">
        <color rgb="FFB7B7B7"/>
      </left>
      <right style="thin">
        <color rgb="FFB7B7B7"/>
      </right>
      <top style="thin">
        <color indexed="64"/>
      </top>
      <bottom style="thin">
        <color rgb="FFB7B7B7"/>
      </bottom>
      <diagonal/>
    </border>
    <border>
      <left/>
      <right/>
      <top style="thin">
        <color indexed="64"/>
      </top>
      <bottom/>
      <diagonal/>
    </border>
    <border>
      <left style="thin">
        <color rgb="FFB7B7B7"/>
      </left>
      <right style="thin">
        <color rgb="FFB7B7B7"/>
      </right>
      <top style="thin">
        <color indexed="64"/>
      </top>
      <bottom style="thin">
        <color indexed="64"/>
      </bottom>
      <diagonal/>
    </border>
    <border>
      <left/>
      <right/>
      <top style="thin">
        <color indexed="64"/>
      </top>
      <bottom style="thin">
        <color indexed="64"/>
      </bottom>
      <diagonal/>
    </border>
    <border>
      <left style="thin">
        <color rgb="FFBFBFBF"/>
      </left>
      <right/>
      <top style="thin">
        <color rgb="FFBFBFBF"/>
      </top>
      <bottom style="thin">
        <color rgb="FFBFBFBF"/>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2">
    <xf numFmtId="0" fontId="0" fillId="0" borderId="0"/>
    <xf numFmtId="0" fontId="10" fillId="0" borderId="0"/>
  </cellStyleXfs>
  <cellXfs count="72">
    <xf numFmtId="0" fontId="0" fillId="0" borderId="0" xfId="0"/>
    <xf numFmtId="0" fontId="3" fillId="3" borderId="1" xfId="0" applyFont="1" applyFill="1" applyBorder="1" applyAlignment="1">
      <alignment vertical="center" wrapText="1"/>
    </xf>
    <xf numFmtId="0" fontId="1" fillId="4" borderId="1" xfId="0" applyFont="1" applyFill="1" applyBorder="1" applyAlignment="1">
      <alignment vertical="top" wrapText="1"/>
    </xf>
    <xf numFmtId="0" fontId="1" fillId="2" borderId="1" xfId="0" applyFont="1" applyFill="1" applyBorder="1" applyAlignment="1">
      <alignment vertical="top" wrapText="1"/>
    </xf>
    <xf numFmtId="0" fontId="1" fillId="5" borderId="1" xfId="0" applyFont="1" applyFill="1" applyBorder="1" applyAlignment="1">
      <alignment vertical="top" wrapText="1"/>
    </xf>
    <xf numFmtId="0" fontId="3" fillId="3" borderId="1" xfId="0" applyFont="1" applyFill="1" applyBorder="1" applyAlignment="1">
      <alignment horizontal="center" vertical="center" wrapText="1"/>
    </xf>
    <xf numFmtId="0" fontId="0" fillId="0" borderId="0" xfId="0" applyAlignment="1">
      <alignment horizontal="center"/>
    </xf>
    <xf numFmtId="0" fontId="1" fillId="7" borderId="1" xfId="0" applyFont="1" applyFill="1" applyBorder="1" applyAlignment="1">
      <alignment vertical="top" wrapText="1"/>
    </xf>
    <xf numFmtId="49" fontId="1" fillId="7" borderId="1" xfId="0" applyNumberFormat="1" applyFont="1" applyFill="1" applyBorder="1" applyAlignment="1">
      <alignment vertical="top" wrapText="1"/>
    </xf>
    <xf numFmtId="0" fontId="0" fillId="0" borderId="0" xfId="0" applyAlignment="1">
      <alignment horizontal="left" vertical="top"/>
    </xf>
    <xf numFmtId="0" fontId="0" fillId="0" borderId="0" xfId="0" applyAlignment="1">
      <alignment vertical="center"/>
    </xf>
    <xf numFmtId="0" fontId="0" fillId="0" borderId="0" xfId="0" applyAlignment="1">
      <alignment horizontal="center" vertical="center"/>
    </xf>
    <xf numFmtId="0" fontId="1" fillId="4" borderId="1" xfId="0" applyFont="1" applyFill="1" applyBorder="1" applyAlignment="1">
      <alignment horizontal="center" vertical="center" wrapText="1"/>
    </xf>
    <xf numFmtId="49" fontId="1" fillId="4" borderId="1" xfId="0" applyNumberFormat="1"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4" borderId="1" xfId="0" applyFont="1" applyFill="1" applyBorder="1" applyAlignment="1">
      <alignment vertical="center" wrapText="1"/>
    </xf>
    <xf numFmtId="0" fontId="1" fillId="7" borderId="1" xfId="0" applyFont="1" applyFill="1" applyBorder="1" applyAlignment="1">
      <alignment vertical="center" wrapText="1"/>
    </xf>
    <xf numFmtId="0" fontId="3" fillId="3" borderId="2" xfId="0" applyFont="1" applyFill="1" applyBorder="1" applyAlignment="1">
      <alignment horizontal="center" vertical="center" wrapText="1"/>
    </xf>
    <xf numFmtId="0" fontId="1" fillId="9" borderId="1" xfId="0" applyFont="1" applyFill="1" applyBorder="1" applyAlignment="1">
      <alignment horizontal="left" vertical="top" wrapText="1"/>
    </xf>
    <xf numFmtId="0" fontId="4" fillId="9"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7" borderId="1" xfId="0" applyFont="1" applyFill="1" applyBorder="1" applyAlignment="1">
      <alignment horizontal="center" vertical="center" wrapText="1"/>
    </xf>
    <xf numFmtId="49" fontId="1" fillId="7" borderId="1" xfId="0" applyNumberFormat="1" applyFont="1" applyFill="1" applyBorder="1" applyAlignment="1">
      <alignment horizontal="center" vertical="center" wrapText="1"/>
    </xf>
    <xf numFmtId="49" fontId="1" fillId="0" borderId="1" xfId="0" applyNumberFormat="1" applyFont="1" applyBorder="1" applyAlignment="1">
      <alignment vertical="center"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top" wrapText="1"/>
    </xf>
    <xf numFmtId="0" fontId="1" fillId="6" borderId="1" xfId="0" applyFont="1" applyFill="1" applyBorder="1" applyAlignment="1">
      <alignment horizontal="center" vertical="center" wrapText="1"/>
    </xf>
    <xf numFmtId="49" fontId="1" fillId="0" borderId="1" xfId="0" applyNumberFormat="1" applyFont="1" applyBorder="1" applyAlignment="1">
      <alignment vertical="top" wrapText="1"/>
    </xf>
    <xf numFmtId="49" fontId="1" fillId="0" borderId="1" xfId="0" applyNumberFormat="1" applyFont="1" applyBorder="1" applyAlignment="1">
      <alignment horizontal="center" vertical="center" wrapText="1"/>
    </xf>
    <xf numFmtId="0" fontId="1" fillId="10" borderId="1" xfId="0" applyFont="1" applyFill="1" applyBorder="1" applyAlignment="1">
      <alignment horizontal="center" vertical="center" wrapText="1"/>
    </xf>
    <xf numFmtId="49" fontId="1" fillId="10" borderId="1" xfId="0" applyNumberFormat="1" applyFont="1" applyFill="1" applyBorder="1" applyAlignment="1">
      <alignment horizontal="center" vertical="center" wrapText="1"/>
    </xf>
    <xf numFmtId="0" fontId="1" fillId="11" borderId="1" xfId="0" applyFont="1" applyFill="1" applyBorder="1" applyAlignment="1">
      <alignment horizontal="center" vertical="center" wrapText="1"/>
    </xf>
    <xf numFmtId="0" fontId="1" fillId="12" borderId="1" xfId="0" applyFont="1" applyFill="1" applyBorder="1" applyAlignment="1">
      <alignment horizontal="center" vertical="center" wrapText="1"/>
    </xf>
    <xf numFmtId="49" fontId="1" fillId="10" borderId="3" xfId="0" applyNumberFormat="1" applyFont="1" applyFill="1" applyBorder="1" applyAlignment="1">
      <alignment horizontal="center" vertical="center" wrapText="1"/>
    </xf>
    <xf numFmtId="49" fontId="4" fillId="10" borderId="1" xfId="0" applyNumberFormat="1" applyFont="1" applyFill="1" applyBorder="1" applyAlignment="1">
      <alignment horizontal="center" vertical="center" wrapText="1"/>
    </xf>
    <xf numFmtId="0" fontId="4" fillId="10" borderId="1" xfId="0" applyFont="1" applyFill="1" applyBorder="1" applyAlignment="1">
      <alignment vertical="center" wrapText="1"/>
    </xf>
    <xf numFmtId="0" fontId="4" fillId="10" borderId="4" xfId="0" applyFont="1" applyFill="1" applyBorder="1" applyAlignment="1">
      <alignment vertical="center" wrapText="1"/>
    </xf>
    <xf numFmtId="0" fontId="11" fillId="13" borderId="5" xfId="1" applyFont="1" applyFill="1" applyBorder="1" applyAlignment="1">
      <alignment horizontal="center" vertical="center" wrapText="1"/>
    </xf>
    <xf numFmtId="2" fontId="11" fillId="13" borderId="5" xfId="1" applyNumberFormat="1" applyFont="1" applyFill="1" applyBorder="1" applyAlignment="1">
      <alignment horizontal="center" vertical="center" wrapText="1"/>
    </xf>
    <xf numFmtId="0" fontId="10" fillId="0" borderId="0" xfId="1"/>
    <xf numFmtId="0" fontId="12" fillId="0" borderId="5" xfId="1" applyFont="1" applyBorder="1"/>
    <xf numFmtId="0" fontId="13" fillId="0" borderId="5" xfId="1" applyFont="1" applyBorder="1"/>
    <xf numFmtId="2" fontId="13" fillId="0" borderId="5" xfId="1" applyNumberFormat="1" applyFont="1" applyBorder="1" applyAlignment="1">
      <alignment horizontal="center"/>
    </xf>
    <xf numFmtId="0" fontId="12" fillId="0" borderId="6" xfId="1" applyFont="1" applyBorder="1"/>
    <xf numFmtId="0" fontId="13" fillId="0" borderId="6" xfId="1" applyFont="1" applyBorder="1"/>
    <xf numFmtId="2" fontId="13" fillId="0" borderId="6" xfId="1" applyNumberFormat="1" applyFont="1" applyBorder="1" applyAlignment="1">
      <alignment horizontal="center"/>
    </xf>
    <xf numFmtId="0" fontId="10" fillId="0" borderId="7" xfId="1" applyBorder="1"/>
    <xf numFmtId="0" fontId="12" fillId="0" borderId="8" xfId="1" applyFont="1" applyBorder="1"/>
    <xf numFmtId="0" fontId="13" fillId="0" borderId="8" xfId="1" applyFont="1" applyBorder="1"/>
    <xf numFmtId="2" fontId="13" fillId="0" borderId="8" xfId="1" applyNumberFormat="1" applyFont="1" applyBorder="1" applyAlignment="1">
      <alignment horizontal="center"/>
    </xf>
    <xf numFmtId="0" fontId="10" fillId="0" borderId="9" xfId="1" applyBorder="1"/>
    <xf numFmtId="0" fontId="12" fillId="0" borderId="10" xfId="1" applyFont="1" applyBorder="1"/>
    <xf numFmtId="0" fontId="13" fillId="0" borderId="10" xfId="1" applyFont="1" applyBorder="1"/>
    <xf numFmtId="2" fontId="13" fillId="0" borderId="10" xfId="1" applyNumberFormat="1" applyFont="1" applyBorder="1" applyAlignment="1">
      <alignment horizontal="center"/>
    </xf>
    <xf numFmtId="0" fontId="10" fillId="0" borderId="11" xfId="1" applyBorder="1"/>
    <xf numFmtId="2" fontId="10" fillId="0" borderId="0" xfId="1" applyNumberFormat="1" applyAlignment="1">
      <alignment horizontal="center"/>
    </xf>
    <xf numFmtId="0" fontId="14" fillId="0" borderId="8" xfId="1" applyFont="1" applyBorder="1"/>
    <xf numFmtId="0" fontId="15" fillId="13" borderId="5" xfId="0" applyFont="1" applyFill="1" applyBorder="1" applyAlignment="1">
      <alignment horizontal="center" vertical="center" wrapText="1"/>
    </xf>
    <xf numFmtId="0" fontId="13" fillId="0" borderId="5" xfId="0" applyFont="1" applyBorder="1"/>
    <xf numFmtId="0" fontId="16" fillId="0" borderId="5" xfId="0" applyFont="1" applyBorder="1"/>
    <xf numFmtId="9" fontId="16" fillId="0" borderId="5" xfId="0" applyNumberFormat="1" applyFont="1" applyBorder="1"/>
    <xf numFmtId="164" fontId="13" fillId="0" borderId="5" xfId="0" applyNumberFormat="1" applyFont="1" applyBorder="1"/>
    <xf numFmtId="0" fontId="13" fillId="0" borderId="5" xfId="0" applyFont="1" applyBorder="1" applyAlignment="1">
      <alignment horizontal="center" vertical="center"/>
    </xf>
    <xf numFmtId="9" fontId="0" fillId="0" borderId="0" xfId="0" applyNumberFormat="1" applyAlignment="1">
      <alignment horizontal="center" vertical="center"/>
    </xf>
    <xf numFmtId="0" fontId="1" fillId="10" borderId="12" xfId="0" applyFont="1" applyFill="1" applyBorder="1" applyAlignment="1">
      <alignment horizontal="center" vertical="center" wrapText="1"/>
    </xf>
    <xf numFmtId="2" fontId="0" fillId="10" borderId="13" xfId="0" applyNumberFormat="1" applyFill="1" applyBorder="1" applyAlignment="1">
      <alignment horizontal="center" vertical="center"/>
    </xf>
    <xf numFmtId="9" fontId="0" fillId="10" borderId="13" xfId="0" applyNumberFormat="1" applyFill="1" applyBorder="1" applyAlignment="1">
      <alignment horizontal="center" vertical="center"/>
    </xf>
    <xf numFmtId="0" fontId="0" fillId="10" borderId="13" xfId="0" applyFill="1" applyBorder="1"/>
    <xf numFmtId="9" fontId="9" fillId="10" borderId="13" xfId="0" applyNumberFormat="1" applyFont="1" applyFill="1" applyBorder="1" applyAlignment="1">
      <alignment horizontal="center" vertical="center"/>
    </xf>
    <xf numFmtId="9" fontId="9" fillId="10" borderId="13" xfId="0" applyNumberFormat="1" applyFont="1" applyFill="1" applyBorder="1" applyAlignment="1">
      <alignment horizontal="center" vertical="center"/>
    </xf>
    <xf numFmtId="0" fontId="9" fillId="10" borderId="13" xfId="0" applyFont="1" applyFill="1" applyBorder="1" applyAlignment="1">
      <alignment horizontal="center" vertical="center"/>
    </xf>
  </cellXfs>
  <cellStyles count="2">
    <cellStyle name="Normal" xfId="0" builtinId="0"/>
    <cellStyle name="Normal 2" xfId="1" xr:uid="{843502DF-D8A7-4A24-85FC-A9503195E466}"/>
  </cellStyles>
  <dxfs count="16">
    <dxf>
      <numFmt numFmtId="13" formatCode="0%"/>
      <alignment horizontal="center" vertical="center" textRotation="0" wrapText="0" indent="0" justifyLastLine="0" shrinkToFit="0" readingOrder="0"/>
    </dxf>
    <dxf>
      <alignment horizontal="center" vertical="center" textRotation="0" indent="0" justifyLastLine="0" shrinkToFit="0" readingOrder="0"/>
    </dxf>
    <dxf>
      <fill>
        <patternFill patternType="solid">
          <fgColor indexed="64"/>
          <bgColor rgb="FFDFE3E4"/>
        </patternFill>
      </fill>
      <alignment horizontal="center" vertical="center" textRotation="0" indent="0" justifyLastLine="0" shrinkToFit="0" readingOrder="0"/>
    </dxf>
    <dxf>
      <alignment horizontal="center" vertical="center" textRotation="0" indent="0" justifyLastLine="0" shrinkToFit="0" readingOrder="0"/>
      <border outline="0">
        <right style="thin">
          <color rgb="FFBFBFBF"/>
        </right>
      </border>
    </dxf>
    <dxf>
      <font>
        <b val="0"/>
        <i val="0"/>
        <strike val="0"/>
        <condense val="0"/>
        <extend val="0"/>
        <outline val="0"/>
        <shadow val="0"/>
        <u val="none"/>
        <vertAlign val="baseline"/>
        <sz val="10"/>
        <color rgb="FF3F3E3E"/>
        <name val="Arial"/>
        <scheme val="none"/>
      </font>
      <numFmt numFmtId="0" formatCode="General"/>
      <fill>
        <patternFill patternType="solid">
          <fgColor indexed="64"/>
          <bgColor rgb="FFDFE3E4"/>
        </patternFill>
      </fill>
      <alignment horizontal="center" vertical="top"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color rgb="FF006100"/>
      </font>
      <fill>
        <patternFill>
          <bgColor rgb="FFC6EFCE"/>
        </patternFill>
      </fill>
    </dxf>
    <dxf>
      <font>
        <color rgb="FF9C5700"/>
      </font>
      <fill>
        <patternFill>
          <bgColor rgb="FFFFEB9C"/>
        </patternFill>
      </fill>
    </dxf>
    <dxf>
      <font>
        <strike val="0"/>
        <outline val="0"/>
        <shadow val="0"/>
        <u val="none"/>
        <vertAlign val="baseline"/>
        <sz val="10"/>
        <color auto="1"/>
        <name val="Arial"/>
        <charset val="1"/>
        <scheme val="none"/>
      </font>
      <numFmt numFmtId="2" formatCode="0.00"/>
      <alignment horizontal="center" textRotation="0" indent="0" justifyLastLine="0" shrinkToFit="0" readingOrder="0"/>
      <border outline="0">
        <left style="thin">
          <color rgb="FFB7B7B7"/>
        </left>
      </border>
    </dxf>
    <dxf>
      <font>
        <strike val="0"/>
        <outline val="0"/>
        <shadow val="0"/>
        <u val="none"/>
        <vertAlign val="baseline"/>
        <sz val="10"/>
        <color auto="1"/>
        <name val="Arial"/>
        <charset val="1"/>
        <scheme val="none"/>
      </font>
      <border outline="0">
        <left style="thin">
          <color rgb="FFB7B7B7"/>
        </left>
        <right/>
      </border>
    </dxf>
    <dxf>
      <font>
        <strike val="0"/>
        <outline val="0"/>
        <shadow val="0"/>
        <u val="none"/>
        <vertAlign val="baseline"/>
        <sz val="10"/>
        <color auto="1"/>
        <name val="Arial"/>
        <charset val="1"/>
        <scheme val="none"/>
      </font>
      <border outline="0">
        <left style="thin">
          <color rgb="FFB7B7B7"/>
        </left>
        <right style="thin">
          <color rgb="FFB7B7B7"/>
        </right>
      </border>
    </dxf>
    <dxf>
      <font>
        <strike val="0"/>
        <outline val="0"/>
        <shadow val="0"/>
        <u val="none"/>
        <vertAlign val="baseline"/>
        <sz val="10"/>
        <color auto="1"/>
        <name val="Arial"/>
        <charset val="1"/>
        <scheme val="none"/>
      </font>
      <border outline="0">
        <left style="thin">
          <color rgb="FFB7B7B7"/>
        </left>
        <right style="thin">
          <color rgb="FFB7B7B7"/>
        </right>
      </border>
    </dxf>
    <dxf>
      <font>
        <strike val="0"/>
        <outline val="0"/>
        <shadow val="0"/>
        <u val="none"/>
        <vertAlign val="baseline"/>
        <sz val="10"/>
        <color auto="1"/>
        <name val="Arial"/>
        <charset val="1"/>
        <scheme val="none"/>
      </font>
      <border outline="0">
        <left style="thin">
          <color rgb="FFB7B7B7"/>
        </left>
        <right style="thin">
          <color rgb="FFB7B7B7"/>
        </right>
      </border>
    </dxf>
    <dxf>
      <font>
        <strike val="0"/>
        <outline val="0"/>
        <shadow val="0"/>
        <u val="none"/>
        <vertAlign val="baseline"/>
        <sz val="10"/>
        <color auto="1"/>
        <name val="Arial"/>
        <charset val="1"/>
        <scheme val="none"/>
      </font>
      <border outline="0">
        <left style="thin">
          <color rgb="FFB7B7B7"/>
        </left>
        <right style="thin">
          <color rgb="FFB7B7B7"/>
        </right>
      </border>
    </dxf>
    <dxf>
      <font>
        <strike val="0"/>
        <outline val="0"/>
        <shadow val="0"/>
        <u val="none"/>
        <vertAlign val="baseline"/>
        <sz val="10"/>
        <color auto="1"/>
        <name val="Arial"/>
        <charset val="1"/>
        <scheme val="none"/>
      </font>
      <border outline="0">
        <right style="thin">
          <color rgb="FFB7B7B7"/>
        </right>
      </border>
    </dxf>
    <dxf>
      <border outline="0">
        <right style="thin">
          <color rgb="FFB7B7B7"/>
        </right>
      </border>
    </dxf>
    <dxf>
      <fill>
        <patternFill patternType="solid">
          <fgColor rgb="FF003366"/>
          <bgColor rgb="FF0069AA"/>
        </patternFill>
      </fill>
    </dxf>
  </dxfs>
  <tableStyles count="0" defaultTableStyle="TableStyleMedium9" defaultPivotStyle="PivotStyleLight16"/>
  <colors>
    <mruColors>
      <color rgb="FFDFE3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Raul Malacas" id="{6E97E7FC-74B9-4FD3-9770-9982697EDB94}" userId="S::raul.malacas@anddes.com::f7143d4f-e05f-40cd-9c64-ee3d974debe5" providerId="AD"/>
  <person displayName="Erika Pariona" id="{D0ED48B8-C8A2-4453-B1E0-AE22172E620F}" userId="S::erika.pariona@anddes.com::d795911a-ea95-478d-8a21-1da4f905fd5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5EC22B-534D-4F56-BAA6-A357FDC9076C}" name="TblCriterios" displayName="TblCriterios" ref="A1:J220" totalsRowShown="0" headerRowDxfId="15">
  <autoFilter ref="A1:J220" xr:uid="{00000000-0009-0000-0100-000003000000}"/>
  <tableColumns count="10">
    <tableColumn id="1" xr3:uid="{46D87D44-4F30-43DC-B24B-0D01660BD704}" name="ID_Criterio"/>
    <tableColumn id="2" xr3:uid="{C25A2233-C808-4A25-BFCE-430ED00E3C3E}" name="Tema"/>
    <tableColumn id="3" xr3:uid="{4039F2CC-A16C-4D2E-84DC-0A61CA832D8F}" name="Nombre Tema" dataDxfId="14"/>
    <tableColumn id="4" xr3:uid="{F3522161-5FE0-4D57-9476-22410325CD0C}" name="Principio" dataDxfId="13"/>
    <tableColumn id="5" xr3:uid="{6442A473-7C50-4F59-8152-FA0338CD5C9C}" name="Descripción Principio" dataDxfId="12"/>
    <tableColumn id="6" xr3:uid="{55218136-D34F-4C88-B1DE-B77F551264A6}" name="Requisito" dataDxfId="11"/>
    <tableColumn id="7" xr3:uid="{038A4A58-67B1-4265-9F29-413B057495AC}" name="Descripción Requisito" dataDxfId="10"/>
    <tableColumn id="8" xr3:uid="{E3868761-961E-4CF2-B714-15F162EF80B1}" name="Criterio" dataDxfId="9"/>
    <tableColumn id="9" xr3:uid="{A3706210-8D1A-4305-B23C-1943B3785921}" name="Descripción Criterio" dataDxfId="8"/>
    <tableColumn id="10" xr3:uid="{9CDB2957-07AA-4D98-941D-2F54AAB990B6}" name="Ponderación" dataDxfId="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lacion" displayName="Relacion" ref="A1:K889">
  <tableColumns count="11">
    <tableColumn id="1" xr3:uid="{00000000-0010-0000-0000-000001000000}" name="Codigo_Criterio"/>
    <tableColumn id="2" xr3:uid="{00000000-0010-0000-0000-000002000000}" name="Texto del criterio (ref.)"/>
    <tableColumn id="12" xr3:uid="{D225211B-6224-4B90-BA5F-0702F5B5BD5A}" name="Rol" dataDxfId="4">
      <calculatedColumnFormula>IF(D2="","",IFERROR(VLOOKUP(D2,Catalogo_Documentos!$A:$B,3,FALSE),"—"))</calculatedColumnFormula>
    </tableColumn>
    <tableColumn id="3" xr3:uid="{00000000-0010-0000-0000-000003000000}" name="ID_Documento" dataDxfId="3"/>
    <tableColumn id="4" xr3:uid="{00000000-0010-0000-0000-000004000000}" name="Documento" dataDxfId="2"/>
    <tableColumn id="9" xr3:uid="{00000000-0010-0000-0000-000009000000}" name="Documento secundario" dataDxfId="1"/>
    <tableColumn id="5" xr3:uid="{E51E1113-B817-49AB-8B76-ADE24F4FD899}" name="Ponderación Criterio"/>
    <tableColumn id="6" xr3:uid="{80420985-5E50-4CA0-AF05-E8AE4AA87ED0}" name="% Avance Documento"/>
    <tableColumn id="7" xr3:uid="{7BABA0B2-5635-44CC-9EA0-8F7F5B5B3D2A}" name="Avance Ponderado Efectivo" dataDxfId="0">
      <calculatedColumnFormula>Relacion[[#This Row],[Ponderación Criterio]]*Relacion[[#This Row],[% Avance Documento]]</calculatedColumnFormula>
    </tableColumn>
    <tableColumn id="8" xr3:uid="{A108DD0F-E996-4983-99CA-4F5549A4F658}" name="Rango de páginas"/>
    <tableColumn id="10" xr3:uid="{B1C34B72-54F5-4A37-923F-4DFD50F15F29}" name="Fragmentos"/>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1" dT="2026-10-22T17:42:22.58" personId="{6E97E7FC-74B9-4FD3-9770-9982697EDB94}" id="{1CFDCA5F-7E1A-4DBC-AC55-9B3BD2278DF0}">
    <text>Valor de referencia. Debe ser editable, depende de cada UM</text>
  </threadedComment>
</ThreadedComments>
</file>

<file path=xl/threadedComments/threadedComment2.xml><?xml version="1.0" encoding="utf-8"?>
<ThreadedComments xmlns="http://schemas.microsoft.com/office/spreadsheetml/2018/threadedcomments" xmlns:x="http://schemas.openxmlformats.org/spreadsheetml/2006/main">
  <threadedComment ref="H50" dT="2026-10-12T01:13:23.47" personId="{D0ED48B8-C8A2-4453-B1E0-AE22172E620F}" id="{DB56B6BA-3BE4-4B63-8FF7-392375812CC8}">
    <text>Involucra el principio 4</text>
  </threadedComment>
</ThreadedComments>
</file>

<file path=xl/threadedComments/threadedComment3.xml><?xml version="1.0" encoding="utf-8"?>
<ThreadedComments xmlns="http://schemas.microsoft.com/office/spreadsheetml/2018/threadedcomments" xmlns:x="http://schemas.openxmlformats.org/spreadsheetml/2006/main">
  <threadedComment ref="B1" dT="2026-10-22T17:46:48.98" personId="{6E97E7FC-74B9-4FD3-9770-9982697EDB94}" id="{5CD2A6F8-DD7D-459B-9CA8-999E02B24D6B}">
    <text>La cantidad de documentos es variable. Pueden aumentar de acuerdo a la información del cliente.</text>
  </threadedComment>
</ThreadedComments>
</file>

<file path=xl/threadedComments/threadedComment4.xml><?xml version="1.0" encoding="utf-8"?>
<ThreadedComments xmlns="http://schemas.microsoft.com/office/spreadsheetml/2018/threadedcomments" xmlns:x="http://schemas.openxmlformats.org/spreadsheetml/2006/main">
  <threadedComment ref="F1" dT="2026-10-22T17:58:15.93" personId="{6E97E7FC-74B9-4FD3-9770-9982697EDB94}" id="{B249BEE3-850C-4E56-99AC-243DDDEA911D}">
    <text>Para ROL COMPLEMENTARIO: Se inicia la búsqueda en los documentos indicados en la columna E, en caso no se encuentre la información, se realizara la búsqueda en los documentos de esta columna, y por último los otros documentos no descritos.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2.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A324C-D49B-4E2B-AC7D-EAB89FEC01F6}">
  <sheetPr>
    <tabColor rgb="FFFFFF00"/>
  </sheetPr>
  <dimension ref="A1:J220"/>
  <sheetViews>
    <sheetView topLeftCell="F1" zoomScaleNormal="100" workbookViewId="0">
      <pane ySplit="1" topLeftCell="A184" activePane="bottomLeft" state="frozen"/>
      <selection pane="bottomLeft" activeCell="J2" sqref="J2:J220"/>
    </sheetView>
  </sheetViews>
  <sheetFormatPr defaultColWidth="8.7109375" defaultRowHeight="14.45"/>
  <cols>
    <col min="1" max="1" width="11" style="40" customWidth="1"/>
    <col min="2" max="2" width="10" style="40" customWidth="1"/>
    <col min="3" max="3" width="34.140625" style="40" customWidth="1"/>
    <col min="4" max="4" width="11" style="40" customWidth="1"/>
    <col min="5" max="5" width="50" style="40" customWidth="1"/>
    <col min="6" max="6" width="13.7109375" style="40" bestFit="1" customWidth="1"/>
    <col min="7" max="7" width="58.140625" style="40" customWidth="1"/>
    <col min="8" max="8" width="11.7109375" style="40" customWidth="1"/>
    <col min="9" max="9" width="116.85546875" style="40" customWidth="1"/>
    <col min="10" max="10" width="16.28515625" style="56" customWidth="1"/>
    <col min="11" max="16384" width="8.7109375" style="40"/>
  </cols>
  <sheetData>
    <row r="1" spans="1:10">
      <c r="A1" s="38" t="s">
        <v>0</v>
      </c>
      <c r="B1" s="38" t="s">
        <v>1</v>
      </c>
      <c r="C1" s="38" t="s">
        <v>2</v>
      </c>
      <c r="D1" s="38" t="s">
        <v>3</v>
      </c>
      <c r="E1" s="38" t="s">
        <v>4</v>
      </c>
      <c r="F1" s="38" t="s">
        <v>5</v>
      </c>
      <c r="G1" s="38" t="s">
        <v>6</v>
      </c>
      <c r="H1" s="38" t="s">
        <v>7</v>
      </c>
      <c r="I1" s="38" t="s">
        <v>8</v>
      </c>
      <c r="J1" s="39" t="s">
        <v>9</v>
      </c>
    </row>
    <row r="2" spans="1:10">
      <c r="A2" s="41" t="s">
        <v>10</v>
      </c>
      <c r="B2" s="41" t="s">
        <v>11</v>
      </c>
      <c r="C2" s="41" t="s">
        <v>12</v>
      </c>
      <c r="D2" s="42" t="s">
        <v>13</v>
      </c>
      <c r="E2" s="42" t="s">
        <v>14</v>
      </c>
      <c r="F2" s="42" t="s">
        <v>15</v>
      </c>
      <c r="G2" s="42" t="s">
        <v>16</v>
      </c>
      <c r="H2" s="42" t="s">
        <v>17</v>
      </c>
      <c r="I2" s="42" t="s">
        <v>18</v>
      </c>
      <c r="J2" s="43">
        <f>1/3</f>
        <v>0.33333333333333331</v>
      </c>
    </row>
    <row r="3" spans="1:10">
      <c r="A3" s="41" t="s">
        <v>19</v>
      </c>
      <c r="B3" s="41" t="s">
        <v>11</v>
      </c>
      <c r="C3" s="41" t="s">
        <v>12</v>
      </c>
      <c r="D3" s="42" t="s">
        <v>13</v>
      </c>
      <c r="E3" s="42" t="s">
        <v>14</v>
      </c>
      <c r="F3" s="42" t="s">
        <v>15</v>
      </c>
      <c r="G3" s="42" t="s">
        <v>16</v>
      </c>
      <c r="H3" s="42" t="s">
        <v>20</v>
      </c>
      <c r="I3" s="42" t="s">
        <v>21</v>
      </c>
      <c r="J3" s="43">
        <f t="shared" ref="J3:J4" si="0">1/3</f>
        <v>0.33333333333333331</v>
      </c>
    </row>
    <row r="4" spans="1:10" s="47" customFormat="1">
      <c r="A4" s="44" t="s">
        <v>22</v>
      </c>
      <c r="B4" s="44" t="s">
        <v>11</v>
      </c>
      <c r="C4" s="44" t="s">
        <v>12</v>
      </c>
      <c r="D4" s="45" t="s">
        <v>13</v>
      </c>
      <c r="E4" s="45" t="s">
        <v>14</v>
      </c>
      <c r="F4" s="45" t="s">
        <v>15</v>
      </c>
      <c r="G4" s="45" t="s">
        <v>16</v>
      </c>
      <c r="H4" s="45" t="s">
        <v>23</v>
      </c>
      <c r="I4" s="45" t="s">
        <v>24</v>
      </c>
      <c r="J4" s="46">
        <f t="shared" si="0"/>
        <v>0.33333333333333331</v>
      </c>
    </row>
    <row r="5" spans="1:10" s="51" customFormat="1">
      <c r="A5" s="48" t="s">
        <v>25</v>
      </c>
      <c r="B5" s="48" t="s">
        <v>11</v>
      </c>
      <c r="C5" s="48" t="s">
        <v>12</v>
      </c>
      <c r="D5" s="49" t="s">
        <v>13</v>
      </c>
      <c r="E5" s="49" t="s">
        <v>14</v>
      </c>
      <c r="F5" s="49" t="s">
        <v>26</v>
      </c>
      <c r="G5" s="49" t="s">
        <v>27</v>
      </c>
      <c r="H5" s="49" t="s">
        <v>28</v>
      </c>
      <c r="I5" s="49" t="s">
        <v>29</v>
      </c>
      <c r="J5" s="50">
        <f>1/2</f>
        <v>0.5</v>
      </c>
    </row>
    <row r="6" spans="1:10" s="47" customFormat="1">
      <c r="A6" s="44" t="s">
        <v>30</v>
      </c>
      <c r="B6" s="44" t="s">
        <v>11</v>
      </c>
      <c r="C6" s="44" t="s">
        <v>12</v>
      </c>
      <c r="D6" s="45" t="s">
        <v>13</v>
      </c>
      <c r="E6" s="45" t="s">
        <v>14</v>
      </c>
      <c r="F6" s="45" t="s">
        <v>26</v>
      </c>
      <c r="G6" s="45" t="s">
        <v>27</v>
      </c>
      <c r="H6" s="45" t="s">
        <v>31</v>
      </c>
      <c r="I6" s="45" t="s">
        <v>32</v>
      </c>
      <c r="J6" s="46">
        <f>1/2</f>
        <v>0.5</v>
      </c>
    </row>
    <row r="7" spans="1:10" s="51" customFormat="1">
      <c r="A7" s="48" t="s">
        <v>33</v>
      </c>
      <c r="B7" s="48" t="s">
        <v>11</v>
      </c>
      <c r="C7" s="48" t="s">
        <v>12</v>
      </c>
      <c r="D7" s="49" t="s">
        <v>13</v>
      </c>
      <c r="E7" s="49" t="s">
        <v>14</v>
      </c>
      <c r="F7" s="49" t="s">
        <v>34</v>
      </c>
      <c r="G7" s="49" t="s">
        <v>35</v>
      </c>
      <c r="H7" s="49" t="s">
        <v>36</v>
      </c>
      <c r="I7" s="49" t="s">
        <v>37</v>
      </c>
      <c r="J7" s="50">
        <f>1/2</f>
        <v>0.5</v>
      </c>
    </row>
    <row r="8" spans="1:10" s="47" customFormat="1">
      <c r="A8" s="44" t="s">
        <v>38</v>
      </c>
      <c r="B8" s="44" t="s">
        <v>11</v>
      </c>
      <c r="C8" s="44" t="s">
        <v>12</v>
      </c>
      <c r="D8" s="45" t="s">
        <v>13</v>
      </c>
      <c r="E8" s="45" t="s">
        <v>14</v>
      </c>
      <c r="F8" s="45" t="s">
        <v>34</v>
      </c>
      <c r="G8" s="45" t="s">
        <v>35</v>
      </c>
      <c r="H8" s="45" t="s">
        <v>39</v>
      </c>
      <c r="I8" s="45" t="s">
        <v>40</v>
      </c>
      <c r="J8" s="46">
        <f>1/2</f>
        <v>0.5</v>
      </c>
    </row>
    <row r="9" spans="1:10" s="51" customFormat="1">
      <c r="A9" s="48" t="s">
        <v>41</v>
      </c>
      <c r="B9" s="48" t="s">
        <v>11</v>
      </c>
      <c r="C9" s="48" t="s">
        <v>12</v>
      </c>
      <c r="D9" s="49" t="s">
        <v>13</v>
      </c>
      <c r="E9" s="49" t="s">
        <v>14</v>
      </c>
      <c r="F9" s="49" t="s">
        <v>42</v>
      </c>
      <c r="G9" s="49" t="s">
        <v>43</v>
      </c>
      <c r="H9" s="49" t="s">
        <v>44</v>
      </c>
      <c r="I9" s="49" t="s">
        <v>45</v>
      </c>
      <c r="J9" s="50">
        <f t="shared" ref="J9:J17" si="1">1/3</f>
        <v>0.33333333333333331</v>
      </c>
    </row>
    <row r="10" spans="1:10">
      <c r="A10" s="41" t="s">
        <v>46</v>
      </c>
      <c r="B10" s="41" t="s">
        <v>11</v>
      </c>
      <c r="C10" s="41" t="s">
        <v>12</v>
      </c>
      <c r="D10" s="42" t="s">
        <v>13</v>
      </c>
      <c r="E10" s="42" t="s">
        <v>14</v>
      </c>
      <c r="F10" s="42" t="s">
        <v>47</v>
      </c>
      <c r="G10" s="42" t="s">
        <v>48</v>
      </c>
      <c r="H10" s="42" t="s">
        <v>49</v>
      </c>
      <c r="I10" s="42" t="s">
        <v>50</v>
      </c>
      <c r="J10" s="43">
        <f t="shared" si="1"/>
        <v>0.33333333333333331</v>
      </c>
    </row>
    <row r="11" spans="1:10" s="47" customFormat="1">
      <c r="A11" s="44" t="s">
        <v>51</v>
      </c>
      <c r="B11" s="44" t="s">
        <v>11</v>
      </c>
      <c r="C11" s="44" t="s">
        <v>12</v>
      </c>
      <c r="D11" s="45" t="s">
        <v>13</v>
      </c>
      <c r="E11" s="45" t="s">
        <v>14</v>
      </c>
      <c r="F11" s="45" t="s">
        <v>47</v>
      </c>
      <c r="G11" s="45" t="s">
        <v>48</v>
      </c>
      <c r="H11" s="45" t="s">
        <v>52</v>
      </c>
      <c r="I11" s="45" t="s">
        <v>53</v>
      </c>
      <c r="J11" s="46">
        <f t="shared" si="1"/>
        <v>0.33333333333333331</v>
      </c>
    </row>
    <row r="12" spans="1:10" s="51" customFormat="1">
      <c r="A12" s="48" t="s">
        <v>54</v>
      </c>
      <c r="B12" s="48" t="s">
        <v>55</v>
      </c>
      <c r="C12" s="48" t="s">
        <v>56</v>
      </c>
      <c r="D12" s="49" t="s">
        <v>57</v>
      </c>
      <c r="E12" s="49" t="s">
        <v>58</v>
      </c>
      <c r="F12" s="49" t="s">
        <v>59</v>
      </c>
      <c r="G12" s="49" t="s">
        <v>60</v>
      </c>
      <c r="H12" s="49" t="s">
        <v>61</v>
      </c>
      <c r="I12" s="49" t="s">
        <v>62</v>
      </c>
      <c r="J12" s="50">
        <f t="shared" si="1"/>
        <v>0.33333333333333331</v>
      </c>
    </row>
    <row r="13" spans="1:10">
      <c r="A13" s="41" t="s">
        <v>63</v>
      </c>
      <c r="B13" s="41" t="s">
        <v>55</v>
      </c>
      <c r="C13" s="41" t="s">
        <v>56</v>
      </c>
      <c r="D13" s="42" t="s">
        <v>57</v>
      </c>
      <c r="E13" s="42" t="s">
        <v>58</v>
      </c>
      <c r="F13" s="42" t="s">
        <v>59</v>
      </c>
      <c r="G13" s="42" t="s">
        <v>60</v>
      </c>
      <c r="H13" s="42" t="s">
        <v>64</v>
      </c>
      <c r="I13" s="42" t="s">
        <v>65</v>
      </c>
      <c r="J13" s="43">
        <f t="shared" si="1"/>
        <v>0.33333333333333331</v>
      </c>
    </row>
    <row r="14" spans="1:10" s="47" customFormat="1">
      <c r="A14" s="44" t="s">
        <v>66</v>
      </c>
      <c r="B14" s="44" t="s">
        <v>55</v>
      </c>
      <c r="C14" s="44" t="s">
        <v>56</v>
      </c>
      <c r="D14" s="45" t="s">
        <v>57</v>
      </c>
      <c r="E14" s="45" t="s">
        <v>58</v>
      </c>
      <c r="F14" s="45" t="s">
        <v>59</v>
      </c>
      <c r="G14" s="45" t="s">
        <v>60</v>
      </c>
      <c r="H14" s="45" t="s">
        <v>67</v>
      </c>
      <c r="I14" s="45" t="s">
        <v>68</v>
      </c>
      <c r="J14" s="46">
        <f t="shared" si="1"/>
        <v>0.33333333333333331</v>
      </c>
    </row>
    <row r="15" spans="1:10" s="51" customFormat="1">
      <c r="A15" s="48" t="s">
        <v>69</v>
      </c>
      <c r="B15" s="48" t="s">
        <v>55</v>
      </c>
      <c r="C15" s="48" t="s">
        <v>56</v>
      </c>
      <c r="D15" s="49" t="s">
        <v>57</v>
      </c>
      <c r="E15" s="49" t="s">
        <v>58</v>
      </c>
      <c r="F15" s="49" t="s">
        <v>70</v>
      </c>
      <c r="G15" s="49" t="s">
        <v>71</v>
      </c>
      <c r="H15" s="49" t="s">
        <v>72</v>
      </c>
      <c r="I15" s="49" t="s">
        <v>73</v>
      </c>
      <c r="J15" s="50">
        <f t="shared" si="1"/>
        <v>0.33333333333333331</v>
      </c>
    </row>
    <row r="16" spans="1:10">
      <c r="A16" s="41" t="s">
        <v>74</v>
      </c>
      <c r="B16" s="41" t="s">
        <v>55</v>
      </c>
      <c r="C16" s="41" t="s">
        <v>56</v>
      </c>
      <c r="D16" s="42" t="s">
        <v>57</v>
      </c>
      <c r="E16" s="42" t="s">
        <v>58</v>
      </c>
      <c r="F16" s="42" t="s">
        <v>70</v>
      </c>
      <c r="G16" s="42" t="s">
        <v>71</v>
      </c>
      <c r="H16" s="42" t="s">
        <v>75</v>
      </c>
      <c r="I16" s="42" t="s">
        <v>76</v>
      </c>
      <c r="J16" s="43">
        <f t="shared" si="1"/>
        <v>0.33333333333333331</v>
      </c>
    </row>
    <row r="17" spans="1:10" s="47" customFormat="1">
      <c r="A17" s="44" t="s">
        <v>77</v>
      </c>
      <c r="B17" s="44" t="s">
        <v>55</v>
      </c>
      <c r="C17" s="44" t="s">
        <v>56</v>
      </c>
      <c r="D17" s="45" t="s">
        <v>57</v>
      </c>
      <c r="E17" s="45" t="s">
        <v>58</v>
      </c>
      <c r="F17" s="45" t="s">
        <v>70</v>
      </c>
      <c r="G17" s="45" t="s">
        <v>71</v>
      </c>
      <c r="H17" s="45" t="s">
        <v>78</v>
      </c>
      <c r="I17" s="45" t="s">
        <v>79</v>
      </c>
      <c r="J17" s="46">
        <f t="shared" si="1"/>
        <v>0.33333333333333331</v>
      </c>
    </row>
    <row r="18" spans="1:10" s="51" customFormat="1">
      <c r="A18" s="48" t="s">
        <v>80</v>
      </c>
      <c r="B18" s="48" t="s">
        <v>55</v>
      </c>
      <c r="C18" s="48" t="s">
        <v>56</v>
      </c>
      <c r="D18" s="49" t="s">
        <v>57</v>
      </c>
      <c r="E18" s="49" t="s">
        <v>58</v>
      </c>
      <c r="F18" s="49" t="s">
        <v>81</v>
      </c>
      <c r="G18" s="49" t="s">
        <v>82</v>
      </c>
      <c r="H18" s="49" t="s">
        <v>83</v>
      </c>
      <c r="I18" s="49" t="s">
        <v>84</v>
      </c>
      <c r="J18" s="50">
        <f>1/4</f>
        <v>0.25</v>
      </c>
    </row>
    <row r="19" spans="1:10">
      <c r="A19" s="41" t="s">
        <v>85</v>
      </c>
      <c r="B19" s="41" t="s">
        <v>55</v>
      </c>
      <c r="C19" s="41" t="s">
        <v>56</v>
      </c>
      <c r="D19" s="42" t="s">
        <v>57</v>
      </c>
      <c r="E19" s="42" t="s">
        <v>58</v>
      </c>
      <c r="F19" s="42" t="s">
        <v>81</v>
      </c>
      <c r="G19" s="42" t="s">
        <v>82</v>
      </c>
      <c r="H19" s="42" t="s">
        <v>86</v>
      </c>
      <c r="I19" s="42" t="s">
        <v>87</v>
      </c>
      <c r="J19" s="43">
        <f>1/4</f>
        <v>0.25</v>
      </c>
    </row>
    <row r="20" spans="1:10">
      <c r="A20" s="41" t="s">
        <v>88</v>
      </c>
      <c r="B20" s="41" t="s">
        <v>55</v>
      </c>
      <c r="C20" s="41" t="s">
        <v>56</v>
      </c>
      <c r="D20" s="42" t="s">
        <v>57</v>
      </c>
      <c r="E20" s="42" t="s">
        <v>58</v>
      </c>
      <c r="F20" s="42" t="s">
        <v>81</v>
      </c>
      <c r="G20" s="42" t="s">
        <v>82</v>
      </c>
      <c r="H20" s="42" t="s">
        <v>89</v>
      </c>
      <c r="I20" s="42" t="s">
        <v>90</v>
      </c>
      <c r="J20" s="43">
        <f>1/4</f>
        <v>0.25</v>
      </c>
    </row>
    <row r="21" spans="1:10" s="47" customFormat="1">
      <c r="A21" s="44" t="s">
        <v>91</v>
      </c>
      <c r="B21" s="44" t="s">
        <v>55</v>
      </c>
      <c r="C21" s="44" t="s">
        <v>56</v>
      </c>
      <c r="D21" s="45" t="s">
        <v>57</v>
      </c>
      <c r="E21" s="45" t="s">
        <v>58</v>
      </c>
      <c r="F21" s="45" t="s">
        <v>81</v>
      </c>
      <c r="G21" s="45" t="s">
        <v>82</v>
      </c>
      <c r="H21" s="45" t="s">
        <v>92</v>
      </c>
      <c r="I21" s="45" t="s">
        <v>93</v>
      </c>
      <c r="J21" s="46">
        <f>1/4</f>
        <v>0.25</v>
      </c>
    </row>
    <row r="22" spans="1:10" s="51" customFormat="1">
      <c r="A22" s="48" t="s">
        <v>94</v>
      </c>
      <c r="B22" s="48" t="s">
        <v>55</v>
      </c>
      <c r="C22" s="48" t="s">
        <v>56</v>
      </c>
      <c r="D22" s="49" t="s">
        <v>57</v>
      </c>
      <c r="E22" s="49" t="s">
        <v>58</v>
      </c>
      <c r="F22" s="49" t="s">
        <v>95</v>
      </c>
      <c r="G22" s="49" t="s">
        <v>96</v>
      </c>
      <c r="H22" s="49" t="s">
        <v>97</v>
      </c>
      <c r="I22" s="49" t="s">
        <v>98</v>
      </c>
      <c r="J22" s="50">
        <f>1/3</f>
        <v>0.33333333333333331</v>
      </c>
    </row>
    <row r="23" spans="1:10">
      <c r="A23" s="41" t="s">
        <v>99</v>
      </c>
      <c r="B23" s="41" t="s">
        <v>55</v>
      </c>
      <c r="C23" s="41" t="s">
        <v>56</v>
      </c>
      <c r="D23" s="42" t="s">
        <v>57</v>
      </c>
      <c r="E23" s="42" t="s">
        <v>58</v>
      </c>
      <c r="F23" s="42" t="s">
        <v>95</v>
      </c>
      <c r="G23" s="42" t="s">
        <v>96</v>
      </c>
      <c r="H23" s="42" t="s">
        <v>100</v>
      </c>
      <c r="I23" s="42" t="s">
        <v>101</v>
      </c>
      <c r="J23" s="43">
        <f>1/3</f>
        <v>0.33333333333333331</v>
      </c>
    </row>
    <row r="24" spans="1:10" s="47" customFormat="1">
      <c r="A24" s="44" t="s">
        <v>102</v>
      </c>
      <c r="B24" s="44" t="s">
        <v>55</v>
      </c>
      <c r="C24" s="44" t="s">
        <v>56</v>
      </c>
      <c r="D24" s="45" t="s">
        <v>57</v>
      </c>
      <c r="E24" s="45" t="s">
        <v>58</v>
      </c>
      <c r="F24" s="45" t="s">
        <v>95</v>
      </c>
      <c r="G24" s="45" t="s">
        <v>96</v>
      </c>
      <c r="H24" s="45" t="s">
        <v>103</v>
      </c>
      <c r="I24" s="45" t="s">
        <v>104</v>
      </c>
      <c r="J24" s="46">
        <f>1/3</f>
        <v>0.33333333333333331</v>
      </c>
    </row>
    <row r="25" spans="1:10" s="55" customFormat="1">
      <c r="A25" s="52" t="s">
        <v>105</v>
      </c>
      <c r="B25" s="52" t="s">
        <v>55</v>
      </c>
      <c r="C25" s="52" t="s">
        <v>56</v>
      </c>
      <c r="D25" s="53" t="s">
        <v>106</v>
      </c>
      <c r="E25" s="53" t="s">
        <v>107</v>
      </c>
      <c r="F25" s="53" t="s">
        <v>108</v>
      </c>
      <c r="G25" s="53" t="s">
        <v>109</v>
      </c>
      <c r="H25" s="53" t="s">
        <v>110</v>
      </c>
      <c r="I25" s="53" t="s">
        <v>111</v>
      </c>
      <c r="J25" s="54">
        <v>1</v>
      </c>
    </row>
    <row r="26" spans="1:10" s="51" customFormat="1">
      <c r="A26" s="48" t="s">
        <v>112</v>
      </c>
      <c r="B26" s="48" t="s">
        <v>55</v>
      </c>
      <c r="C26" s="48" t="s">
        <v>56</v>
      </c>
      <c r="D26" s="49" t="s">
        <v>106</v>
      </c>
      <c r="E26" s="49" t="s">
        <v>107</v>
      </c>
      <c r="F26" s="49" t="s">
        <v>113</v>
      </c>
      <c r="G26" s="49" t="s">
        <v>114</v>
      </c>
      <c r="H26" s="49" t="s">
        <v>115</v>
      </c>
      <c r="I26" s="49" t="s">
        <v>116</v>
      </c>
      <c r="J26" s="50">
        <f>1/3</f>
        <v>0.33333333333333331</v>
      </c>
    </row>
    <row r="27" spans="1:10">
      <c r="A27" s="41" t="s">
        <v>117</v>
      </c>
      <c r="B27" s="41" t="s">
        <v>55</v>
      </c>
      <c r="C27" s="41" t="s">
        <v>56</v>
      </c>
      <c r="D27" s="42" t="s">
        <v>106</v>
      </c>
      <c r="E27" s="42" t="s">
        <v>107</v>
      </c>
      <c r="F27" s="42" t="s">
        <v>113</v>
      </c>
      <c r="G27" s="42" t="s">
        <v>114</v>
      </c>
      <c r="H27" s="42" t="s">
        <v>118</v>
      </c>
      <c r="I27" s="42" t="s">
        <v>119</v>
      </c>
      <c r="J27" s="43">
        <f>1/3</f>
        <v>0.33333333333333331</v>
      </c>
    </row>
    <row r="28" spans="1:10" s="47" customFormat="1">
      <c r="A28" s="44" t="s">
        <v>120</v>
      </c>
      <c r="B28" s="44" t="s">
        <v>55</v>
      </c>
      <c r="C28" s="44" t="s">
        <v>56</v>
      </c>
      <c r="D28" s="45" t="s">
        <v>106</v>
      </c>
      <c r="E28" s="45" t="s">
        <v>107</v>
      </c>
      <c r="F28" s="45" t="s">
        <v>113</v>
      </c>
      <c r="G28" s="45" t="s">
        <v>114</v>
      </c>
      <c r="H28" s="45" t="s">
        <v>121</v>
      </c>
      <c r="I28" s="45" t="s">
        <v>122</v>
      </c>
      <c r="J28" s="46">
        <f>1/3</f>
        <v>0.33333333333333331</v>
      </c>
    </row>
    <row r="29" spans="1:10" s="51" customFormat="1">
      <c r="A29" s="48" t="s">
        <v>123</v>
      </c>
      <c r="B29" s="48" t="s">
        <v>55</v>
      </c>
      <c r="C29" s="48" t="s">
        <v>56</v>
      </c>
      <c r="D29" s="49" t="s">
        <v>106</v>
      </c>
      <c r="E29" s="49" t="s">
        <v>107</v>
      </c>
      <c r="F29" s="49" t="s">
        <v>124</v>
      </c>
      <c r="G29" s="49" t="s">
        <v>125</v>
      </c>
      <c r="H29" s="49" t="s">
        <v>126</v>
      </c>
      <c r="I29" s="49" t="s">
        <v>127</v>
      </c>
      <c r="J29" s="50">
        <f>1/4</f>
        <v>0.25</v>
      </c>
    </row>
    <row r="30" spans="1:10">
      <c r="A30" s="41" t="s">
        <v>128</v>
      </c>
      <c r="B30" s="41" t="s">
        <v>55</v>
      </c>
      <c r="C30" s="41" t="s">
        <v>56</v>
      </c>
      <c r="D30" s="42" t="s">
        <v>106</v>
      </c>
      <c r="E30" s="42" t="s">
        <v>107</v>
      </c>
      <c r="F30" s="42" t="s">
        <v>124</v>
      </c>
      <c r="G30" s="42" t="s">
        <v>125</v>
      </c>
      <c r="H30" s="42" t="s">
        <v>129</v>
      </c>
      <c r="I30" s="42" t="s">
        <v>130</v>
      </c>
      <c r="J30" s="43">
        <f>1/4</f>
        <v>0.25</v>
      </c>
    </row>
    <row r="31" spans="1:10">
      <c r="A31" s="41" t="s">
        <v>131</v>
      </c>
      <c r="B31" s="41" t="s">
        <v>55</v>
      </c>
      <c r="C31" s="41" t="s">
        <v>56</v>
      </c>
      <c r="D31" s="42" t="s">
        <v>106</v>
      </c>
      <c r="E31" s="42" t="s">
        <v>107</v>
      </c>
      <c r="F31" s="42" t="s">
        <v>124</v>
      </c>
      <c r="G31" s="42" t="s">
        <v>125</v>
      </c>
      <c r="H31" s="42" t="s">
        <v>132</v>
      </c>
      <c r="I31" s="42" t="s">
        <v>133</v>
      </c>
      <c r="J31" s="43">
        <f>1/4</f>
        <v>0.25</v>
      </c>
    </row>
    <row r="32" spans="1:10" s="47" customFormat="1">
      <c r="A32" s="44" t="s">
        <v>134</v>
      </c>
      <c r="B32" s="44" t="s">
        <v>55</v>
      </c>
      <c r="C32" s="44" t="s">
        <v>56</v>
      </c>
      <c r="D32" s="45" t="s">
        <v>106</v>
      </c>
      <c r="E32" s="45" t="s">
        <v>107</v>
      </c>
      <c r="F32" s="45" t="s">
        <v>124</v>
      </c>
      <c r="G32" s="45" t="s">
        <v>125</v>
      </c>
      <c r="H32" s="45" t="s">
        <v>135</v>
      </c>
      <c r="I32" s="45" t="s">
        <v>136</v>
      </c>
      <c r="J32" s="46">
        <f>1/4</f>
        <v>0.25</v>
      </c>
    </row>
    <row r="33" spans="1:10" s="51" customFormat="1">
      <c r="A33" s="48" t="s">
        <v>137</v>
      </c>
      <c r="B33" s="48" t="s">
        <v>55</v>
      </c>
      <c r="C33" s="48" t="s">
        <v>56</v>
      </c>
      <c r="D33" s="49" t="s">
        <v>106</v>
      </c>
      <c r="E33" s="49" t="s">
        <v>107</v>
      </c>
      <c r="F33" s="49" t="s">
        <v>138</v>
      </c>
      <c r="G33" s="49" t="s">
        <v>139</v>
      </c>
      <c r="H33" s="49" t="s">
        <v>140</v>
      </c>
      <c r="I33" s="49" t="s">
        <v>141</v>
      </c>
      <c r="J33" s="50">
        <f>1/2</f>
        <v>0.5</v>
      </c>
    </row>
    <row r="34" spans="1:10" s="47" customFormat="1">
      <c r="A34" s="44" t="s">
        <v>142</v>
      </c>
      <c r="B34" s="44" t="s">
        <v>55</v>
      </c>
      <c r="C34" s="44" t="s">
        <v>56</v>
      </c>
      <c r="D34" s="45" t="s">
        <v>106</v>
      </c>
      <c r="E34" s="45" t="s">
        <v>107</v>
      </c>
      <c r="F34" s="45" t="s">
        <v>138</v>
      </c>
      <c r="G34" s="45" t="s">
        <v>139</v>
      </c>
      <c r="H34" s="45" t="s">
        <v>143</v>
      </c>
      <c r="I34" s="45" t="s">
        <v>144</v>
      </c>
      <c r="J34" s="46">
        <f>1/2</f>
        <v>0.5</v>
      </c>
    </row>
    <row r="35" spans="1:10" s="51" customFormat="1">
      <c r="A35" s="48" t="s">
        <v>145</v>
      </c>
      <c r="B35" s="48" t="s">
        <v>146</v>
      </c>
      <c r="C35" s="48" t="s">
        <v>147</v>
      </c>
      <c r="D35" s="49" t="s">
        <v>148</v>
      </c>
      <c r="E35" s="49" t="s">
        <v>149</v>
      </c>
      <c r="F35" s="49" t="s">
        <v>150</v>
      </c>
      <c r="G35" s="49" t="s">
        <v>151</v>
      </c>
      <c r="H35" s="49" t="s">
        <v>152</v>
      </c>
      <c r="I35" s="49" t="s">
        <v>153</v>
      </c>
      <c r="J35" s="50">
        <f>1/3</f>
        <v>0.33333333333333331</v>
      </c>
    </row>
    <row r="36" spans="1:10">
      <c r="A36" s="41" t="s">
        <v>154</v>
      </c>
      <c r="B36" s="41" t="s">
        <v>146</v>
      </c>
      <c r="C36" s="41" t="s">
        <v>147</v>
      </c>
      <c r="D36" s="42" t="s">
        <v>148</v>
      </c>
      <c r="E36" s="42" t="s">
        <v>149</v>
      </c>
      <c r="F36" s="42" t="s">
        <v>150</v>
      </c>
      <c r="G36" s="42" t="s">
        <v>151</v>
      </c>
      <c r="H36" s="42" t="s">
        <v>155</v>
      </c>
      <c r="I36" s="42" t="s">
        <v>156</v>
      </c>
      <c r="J36" s="43">
        <f>1/3</f>
        <v>0.33333333333333331</v>
      </c>
    </row>
    <row r="37" spans="1:10" s="47" customFormat="1">
      <c r="A37" s="44" t="s">
        <v>157</v>
      </c>
      <c r="B37" s="44" t="s">
        <v>146</v>
      </c>
      <c r="C37" s="44" t="s">
        <v>147</v>
      </c>
      <c r="D37" s="45" t="s">
        <v>148</v>
      </c>
      <c r="E37" s="45" t="s">
        <v>149</v>
      </c>
      <c r="F37" s="45" t="s">
        <v>150</v>
      </c>
      <c r="G37" s="45" t="s">
        <v>151</v>
      </c>
      <c r="H37" s="45" t="s">
        <v>158</v>
      </c>
      <c r="I37" s="45" t="s">
        <v>159</v>
      </c>
      <c r="J37" s="46">
        <f>1/3</f>
        <v>0.33333333333333331</v>
      </c>
    </row>
    <row r="38" spans="1:10" s="51" customFormat="1">
      <c r="A38" s="48" t="s">
        <v>160</v>
      </c>
      <c r="B38" s="48" t="s">
        <v>146</v>
      </c>
      <c r="C38" s="48" t="s">
        <v>147</v>
      </c>
      <c r="D38" s="49" t="s">
        <v>148</v>
      </c>
      <c r="E38" s="49" t="s">
        <v>149</v>
      </c>
      <c r="F38" s="49" t="s">
        <v>161</v>
      </c>
      <c r="G38" s="49" t="s">
        <v>162</v>
      </c>
      <c r="H38" s="49" t="s">
        <v>163</v>
      </c>
      <c r="I38" s="49" t="s">
        <v>164</v>
      </c>
      <c r="J38" s="50">
        <f>1/5</f>
        <v>0.2</v>
      </c>
    </row>
    <row r="39" spans="1:10">
      <c r="A39" s="41" t="s">
        <v>165</v>
      </c>
      <c r="B39" s="41" t="s">
        <v>146</v>
      </c>
      <c r="C39" s="41" t="s">
        <v>147</v>
      </c>
      <c r="D39" s="42" t="s">
        <v>148</v>
      </c>
      <c r="E39" s="42" t="s">
        <v>149</v>
      </c>
      <c r="F39" s="42" t="s">
        <v>161</v>
      </c>
      <c r="G39" s="42" t="s">
        <v>162</v>
      </c>
      <c r="H39" s="42" t="s">
        <v>166</v>
      </c>
      <c r="I39" s="42" t="s">
        <v>167</v>
      </c>
      <c r="J39" s="43">
        <f>1/5</f>
        <v>0.2</v>
      </c>
    </row>
    <row r="40" spans="1:10">
      <c r="A40" s="41" t="s">
        <v>168</v>
      </c>
      <c r="B40" s="41" t="s">
        <v>146</v>
      </c>
      <c r="C40" s="41" t="s">
        <v>147</v>
      </c>
      <c r="D40" s="42" t="s">
        <v>148</v>
      </c>
      <c r="E40" s="42" t="s">
        <v>149</v>
      </c>
      <c r="F40" s="42" t="s">
        <v>161</v>
      </c>
      <c r="G40" s="42" t="s">
        <v>162</v>
      </c>
      <c r="H40" s="42" t="s">
        <v>169</v>
      </c>
      <c r="I40" s="42" t="s">
        <v>170</v>
      </c>
      <c r="J40" s="43">
        <f>1/5</f>
        <v>0.2</v>
      </c>
    </row>
    <row r="41" spans="1:10">
      <c r="A41" s="41" t="s">
        <v>171</v>
      </c>
      <c r="B41" s="41" t="s">
        <v>146</v>
      </c>
      <c r="C41" s="41" t="s">
        <v>147</v>
      </c>
      <c r="D41" s="42" t="s">
        <v>148</v>
      </c>
      <c r="E41" s="42" t="s">
        <v>149</v>
      </c>
      <c r="F41" s="42" t="s">
        <v>161</v>
      </c>
      <c r="G41" s="42" t="s">
        <v>162</v>
      </c>
      <c r="H41" s="42" t="s">
        <v>172</v>
      </c>
      <c r="I41" s="42" t="s">
        <v>173</v>
      </c>
      <c r="J41" s="43">
        <f>1/5</f>
        <v>0.2</v>
      </c>
    </row>
    <row r="42" spans="1:10" s="47" customFormat="1">
      <c r="A42" s="44" t="s">
        <v>174</v>
      </c>
      <c r="B42" s="44" t="s">
        <v>146</v>
      </c>
      <c r="C42" s="44" t="s">
        <v>147</v>
      </c>
      <c r="D42" s="45" t="s">
        <v>148</v>
      </c>
      <c r="E42" s="45" t="s">
        <v>149</v>
      </c>
      <c r="F42" s="45" t="s">
        <v>161</v>
      </c>
      <c r="G42" s="45" t="s">
        <v>162</v>
      </c>
      <c r="H42" s="45" t="s">
        <v>175</v>
      </c>
      <c r="I42" s="45" t="s">
        <v>176</v>
      </c>
      <c r="J42" s="46">
        <f>1/5</f>
        <v>0.2</v>
      </c>
    </row>
    <row r="43" spans="1:10" s="51" customFormat="1">
      <c r="A43" s="48" t="s">
        <v>177</v>
      </c>
      <c r="B43" s="48" t="s">
        <v>146</v>
      </c>
      <c r="C43" s="48" t="s">
        <v>147</v>
      </c>
      <c r="D43" s="49" t="s">
        <v>148</v>
      </c>
      <c r="E43" s="49" t="s">
        <v>149</v>
      </c>
      <c r="F43" s="49" t="s">
        <v>178</v>
      </c>
      <c r="G43" s="49" t="s">
        <v>179</v>
      </c>
      <c r="H43" s="49" t="s">
        <v>180</v>
      </c>
      <c r="I43" s="49" t="s">
        <v>181</v>
      </c>
      <c r="J43" s="50">
        <f t="shared" ref="J43:J48" si="2">1/2</f>
        <v>0.5</v>
      </c>
    </row>
    <row r="44" spans="1:10" s="47" customFormat="1">
      <c r="A44" s="44" t="s">
        <v>182</v>
      </c>
      <c r="B44" s="44" t="s">
        <v>146</v>
      </c>
      <c r="C44" s="44" t="s">
        <v>147</v>
      </c>
      <c r="D44" s="45" t="s">
        <v>148</v>
      </c>
      <c r="E44" s="45" t="s">
        <v>149</v>
      </c>
      <c r="F44" s="45" t="s">
        <v>178</v>
      </c>
      <c r="G44" s="45" t="s">
        <v>179</v>
      </c>
      <c r="H44" s="45" t="s">
        <v>183</v>
      </c>
      <c r="I44" s="45" t="s">
        <v>184</v>
      </c>
      <c r="J44" s="46">
        <f t="shared" si="2"/>
        <v>0.5</v>
      </c>
    </row>
    <row r="45" spans="1:10" s="51" customFormat="1">
      <c r="A45" s="48" t="s">
        <v>185</v>
      </c>
      <c r="B45" s="48" t="s">
        <v>146</v>
      </c>
      <c r="C45" s="48" t="s">
        <v>147</v>
      </c>
      <c r="D45" s="49" t="s">
        <v>148</v>
      </c>
      <c r="E45" s="49" t="s">
        <v>149</v>
      </c>
      <c r="F45" s="49" t="s">
        <v>186</v>
      </c>
      <c r="G45" s="49" t="s">
        <v>187</v>
      </c>
      <c r="H45" s="49" t="s">
        <v>188</v>
      </c>
      <c r="I45" s="49" t="s">
        <v>189</v>
      </c>
      <c r="J45" s="50">
        <f t="shared" si="2"/>
        <v>0.5</v>
      </c>
    </row>
    <row r="46" spans="1:10" s="47" customFormat="1">
      <c r="A46" s="44" t="s">
        <v>190</v>
      </c>
      <c r="B46" s="44" t="s">
        <v>146</v>
      </c>
      <c r="C46" s="44" t="s">
        <v>147</v>
      </c>
      <c r="D46" s="45" t="s">
        <v>148</v>
      </c>
      <c r="E46" s="45" t="s">
        <v>149</v>
      </c>
      <c r="F46" s="45" t="s">
        <v>186</v>
      </c>
      <c r="G46" s="45" t="s">
        <v>187</v>
      </c>
      <c r="H46" s="45" t="s">
        <v>191</v>
      </c>
      <c r="I46" s="45" t="s">
        <v>192</v>
      </c>
      <c r="J46" s="46">
        <f t="shared" si="2"/>
        <v>0.5</v>
      </c>
    </row>
    <row r="47" spans="1:10" s="51" customFormat="1">
      <c r="A47" s="48" t="s">
        <v>193</v>
      </c>
      <c r="B47" s="48" t="s">
        <v>146</v>
      </c>
      <c r="C47" s="48" t="s">
        <v>147</v>
      </c>
      <c r="D47" s="49" t="s">
        <v>148</v>
      </c>
      <c r="E47" s="49" t="s">
        <v>149</v>
      </c>
      <c r="F47" s="49" t="s">
        <v>194</v>
      </c>
      <c r="G47" s="49" t="s">
        <v>195</v>
      </c>
      <c r="H47" s="49" t="s">
        <v>196</v>
      </c>
      <c r="I47" s="49" t="s">
        <v>197</v>
      </c>
      <c r="J47" s="50">
        <f t="shared" si="2"/>
        <v>0.5</v>
      </c>
    </row>
    <row r="48" spans="1:10" s="47" customFormat="1">
      <c r="A48" s="44" t="s">
        <v>198</v>
      </c>
      <c r="B48" s="44" t="s">
        <v>146</v>
      </c>
      <c r="C48" s="44" t="s">
        <v>147</v>
      </c>
      <c r="D48" s="45" t="s">
        <v>148</v>
      </c>
      <c r="E48" s="45" t="s">
        <v>149</v>
      </c>
      <c r="F48" s="45" t="s">
        <v>194</v>
      </c>
      <c r="G48" s="45" t="s">
        <v>195</v>
      </c>
      <c r="H48" s="45" t="s">
        <v>199</v>
      </c>
      <c r="I48" s="45" t="s">
        <v>200</v>
      </c>
      <c r="J48" s="46">
        <f t="shared" si="2"/>
        <v>0.5</v>
      </c>
    </row>
    <row r="49" spans="1:10" s="55" customFormat="1">
      <c r="A49" s="52" t="s">
        <v>201</v>
      </c>
      <c r="B49" s="52" t="s">
        <v>146</v>
      </c>
      <c r="C49" s="52" t="s">
        <v>147</v>
      </c>
      <c r="D49" s="53" t="s">
        <v>148</v>
      </c>
      <c r="E49" s="53" t="s">
        <v>149</v>
      </c>
      <c r="F49" s="53" t="s">
        <v>202</v>
      </c>
      <c r="G49" s="53" t="s">
        <v>203</v>
      </c>
      <c r="H49" s="53" t="s">
        <v>204</v>
      </c>
      <c r="I49" s="53" t="s">
        <v>205</v>
      </c>
      <c r="J49" s="54">
        <v>1</v>
      </c>
    </row>
    <row r="50" spans="1:10" s="51" customFormat="1">
      <c r="A50" s="48" t="s">
        <v>206</v>
      </c>
      <c r="B50" s="48" t="s">
        <v>146</v>
      </c>
      <c r="C50" s="48" t="s">
        <v>147</v>
      </c>
      <c r="D50" s="49" t="s">
        <v>148</v>
      </c>
      <c r="E50" s="49" t="s">
        <v>149</v>
      </c>
      <c r="F50" s="49" t="s">
        <v>207</v>
      </c>
      <c r="G50" s="49" t="s">
        <v>208</v>
      </c>
      <c r="H50" s="49" t="s">
        <v>209</v>
      </c>
      <c r="I50" s="49" t="s">
        <v>210</v>
      </c>
      <c r="J50" s="50">
        <f t="shared" ref="J50:J58" si="3">1/3</f>
        <v>0.33333333333333331</v>
      </c>
    </row>
    <row r="51" spans="1:10">
      <c r="A51" s="41" t="s">
        <v>211</v>
      </c>
      <c r="B51" s="41" t="s">
        <v>146</v>
      </c>
      <c r="C51" s="41" t="s">
        <v>147</v>
      </c>
      <c r="D51" s="42" t="s">
        <v>148</v>
      </c>
      <c r="E51" s="42" t="s">
        <v>149</v>
      </c>
      <c r="F51" s="42" t="s">
        <v>207</v>
      </c>
      <c r="G51" s="42" t="s">
        <v>208</v>
      </c>
      <c r="H51" s="42" t="s">
        <v>212</v>
      </c>
      <c r="I51" s="42" t="s">
        <v>213</v>
      </c>
      <c r="J51" s="43">
        <f t="shared" si="3"/>
        <v>0.33333333333333331</v>
      </c>
    </row>
    <row r="52" spans="1:10" s="47" customFormat="1">
      <c r="A52" s="44" t="s">
        <v>214</v>
      </c>
      <c r="B52" s="44" t="s">
        <v>146</v>
      </c>
      <c r="C52" s="44" t="s">
        <v>147</v>
      </c>
      <c r="D52" s="45" t="s">
        <v>148</v>
      </c>
      <c r="E52" s="45" t="s">
        <v>149</v>
      </c>
      <c r="F52" s="45" t="s">
        <v>207</v>
      </c>
      <c r="G52" s="45" t="s">
        <v>208</v>
      </c>
      <c r="H52" s="45" t="s">
        <v>215</v>
      </c>
      <c r="I52" s="45" t="s">
        <v>216</v>
      </c>
      <c r="J52" s="46">
        <f t="shared" si="3"/>
        <v>0.33333333333333331</v>
      </c>
    </row>
    <row r="53" spans="1:10" s="51" customFormat="1">
      <c r="A53" s="48" t="s">
        <v>217</v>
      </c>
      <c r="B53" s="48" t="s">
        <v>146</v>
      </c>
      <c r="C53" s="48" t="s">
        <v>147</v>
      </c>
      <c r="D53" s="49" t="s">
        <v>148</v>
      </c>
      <c r="E53" s="49" t="s">
        <v>149</v>
      </c>
      <c r="F53" s="49" t="s">
        <v>218</v>
      </c>
      <c r="G53" s="49" t="s">
        <v>219</v>
      </c>
      <c r="H53" s="49" t="s">
        <v>220</v>
      </c>
      <c r="I53" s="49" t="s">
        <v>221</v>
      </c>
      <c r="J53" s="50">
        <f t="shared" si="3"/>
        <v>0.33333333333333331</v>
      </c>
    </row>
    <row r="54" spans="1:10">
      <c r="A54" s="41" t="s">
        <v>222</v>
      </c>
      <c r="B54" s="41" t="s">
        <v>146</v>
      </c>
      <c r="C54" s="41" t="s">
        <v>147</v>
      </c>
      <c r="D54" s="42" t="s">
        <v>148</v>
      </c>
      <c r="E54" s="42" t="s">
        <v>149</v>
      </c>
      <c r="F54" s="42" t="s">
        <v>218</v>
      </c>
      <c r="G54" s="42" t="s">
        <v>219</v>
      </c>
      <c r="H54" s="42" t="s">
        <v>223</v>
      </c>
      <c r="I54" s="42" t="s">
        <v>224</v>
      </c>
      <c r="J54" s="43">
        <f t="shared" si="3"/>
        <v>0.33333333333333331</v>
      </c>
    </row>
    <row r="55" spans="1:10" s="47" customFormat="1">
      <c r="A55" s="44" t="s">
        <v>225</v>
      </c>
      <c r="B55" s="44" t="s">
        <v>146</v>
      </c>
      <c r="C55" s="44" t="s">
        <v>147</v>
      </c>
      <c r="D55" s="45" t="s">
        <v>148</v>
      </c>
      <c r="E55" s="45" t="s">
        <v>149</v>
      </c>
      <c r="F55" s="45" t="s">
        <v>218</v>
      </c>
      <c r="G55" s="45" t="s">
        <v>219</v>
      </c>
      <c r="H55" s="45" t="s">
        <v>226</v>
      </c>
      <c r="I55" s="45" t="s">
        <v>227</v>
      </c>
      <c r="J55" s="46">
        <f t="shared" si="3"/>
        <v>0.33333333333333331</v>
      </c>
    </row>
    <row r="56" spans="1:10" s="51" customFormat="1">
      <c r="A56" s="48" t="s">
        <v>228</v>
      </c>
      <c r="B56" s="48" t="s">
        <v>146</v>
      </c>
      <c r="C56" s="48" t="s">
        <v>147</v>
      </c>
      <c r="D56" s="49" t="s">
        <v>229</v>
      </c>
      <c r="E56" s="49" t="s">
        <v>230</v>
      </c>
      <c r="F56" s="49" t="s">
        <v>231</v>
      </c>
      <c r="G56" s="49" t="s">
        <v>232</v>
      </c>
      <c r="H56" s="49" t="s">
        <v>233</v>
      </c>
      <c r="I56" s="49" t="s">
        <v>234</v>
      </c>
      <c r="J56" s="50">
        <f t="shared" si="3"/>
        <v>0.33333333333333331</v>
      </c>
    </row>
    <row r="57" spans="1:10">
      <c r="A57" s="41" t="s">
        <v>235</v>
      </c>
      <c r="B57" s="41" t="s">
        <v>146</v>
      </c>
      <c r="C57" s="41" t="s">
        <v>147</v>
      </c>
      <c r="D57" s="42" t="s">
        <v>229</v>
      </c>
      <c r="E57" s="42" t="s">
        <v>230</v>
      </c>
      <c r="F57" s="42" t="s">
        <v>231</v>
      </c>
      <c r="G57" s="42" t="s">
        <v>232</v>
      </c>
      <c r="H57" s="42" t="s">
        <v>236</v>
      </c>
      <c r="I57" s="42" t="s">
        <v>237</v>
      </c>
      <c r="J57" s="43">
        <f t="shared" si="3"/>
        <v>0.33333333333333331</v>
      </c>
    </row>
    <row r="58" spans="1:10" s="47" customFormat="1">
      <c r="A58" s="44" t="s">
        <v>238</v>
      </c>
      <c r="B58" s="44" t="s">
        <v>146</v>
      </c>
      <c r="C58" s="44" t="s">
        <v>147</v>
      </c>
      <c r="D58" s="45" t="s">
        <v>229</v>
      </c>
      <c r="E58" s="45" t="s">
        <v>230</v>
      </c>
      <c r="F58" s="45" t="s">
        <v>231</v>
      </c>
      <c r="G58" s="45" t="s">
        <v>232</v>
      </c>
      <c r="H58" s="45" t="s">
        <v>239</v>
      </c>
      <c r="I58" s="45" t="s">
        <v>240</v>
      </c>
      <c r="J58" s="46">
        <f t="shared" si="3"/>
        <v>0.33333333333333331</v>
      </c>
    </row>
    <row r="59" spans="1:10" s="51" customFormat="1">
      <c r="A59" s="48" t="s">
        <v>241</v>
      </c>
      <c r="B59" s="48" t="s">
        <v>146</v>
      </c>
      <c r="C59" s="48" t="s">
        <v>147</v>
      </c>
      <c r="D59" s="49" t="s">
        <v>229</v>
      </c>
      <c r="E59" s="49" t="s">
        <v>230</v>
      </c>
      <c r="F59" s="49" t="s">
        <v>242</v>
      </c>
      <c r="G59" s="49" t="s">
        <v>243</v>
      </c>
      <c r="H59" s="49" t="s">
        <v>244</v>
      </c>
      <c r="I59" s="49" t="s">
        <v>245</v>
      </c>
      <c r="J59" s="50">
        <f>1/2</f>
        <v>0.5</v>
      </c>
    </row>
    <row r="60" spans="1:10" s="47" customFormat="1">
      <c r="A60" s="44" t="s">
        <v>246</v>
      </c>
      <c r="B60" s="44" t="s">
        <v>146</v>
      </c>
      <c r="C60" s="44" t="s">
        <v>147</v>
      </c>
      <c r="D60" s="45" t="s">
        <v>229</v>
      </c>
      <c r="E60" s="45" t="s">
        <v>230</v>
      </c>
      <c r="F60" s="45" t="s">
        <v>242</v>
      </c>
      <c r="G60" s="45" t="s">
        <v>243</v>
      </c>
      <c r="H60" s="45" t="s">
        <v>247</v>
      </c>
      <c r="I60" s="45" t="s">
        <v>248</v>
      </c>
      <c r="J60" s="46">
        <f>1/2</f>
        <v>0.5</v>
      </c>
    </row>
    <row r="61" spans="1:10" s="51" customFormat="1">
      <c r="A61" s="48" t="s">
        <v>249</v>
      </c>
      <c r="B61" s="48" t="s">
        <v>146</v>
      </c>
      <c r="C61" s="48" t="s">
        <v>147</v>
      </c>
      <c r="D61" s="49" t="s">
        <v>229</v>
      </c>
      <c r="E61" s="49" t="s">
        <v>230</v>
      </c>
      <c r="F61" s="49" t="s">
        <v>250</v>
      </c>
      <c r="G61" s="49" t="s">
        <v>251</v>
      </c>
      <c r="H61" s="49" t="s">
        <v>252</v>
      </c>
      <c r="I61" s="49" t="s">
        <v>253</v>
      </c>
      <c r="J61" s="50">
        <f>1/3</f>
        <v>0.33333333333333331</v>
      </c>
    </row>
    <row r="62" spans="1:10">
      <c r="A62" s="41" t="s">
        <v>254</v>
      </c>
      <c r="B62" s="41" t="s">
        <v>146</v>
      </c>
      <c r="C62" s="41" t="s">
        <v>147</v>
      </c>
      <c r="D62" s="42" t="s">
        <v>229</v>
      </c>
      <c r="E62" s="42" t="s">
        <v>230</v>
      </c>
      <c r="F62" s="42" t="s">
        <v>250</v>
      </c>
      <c r="G62" s="42" t="s">
        <v>251</v>
      </c>
      <c r="H62" s="42" t="s">
        <v>255</v>
      </c>
      <c r="I62" s="42" t="s">
        <v>256</v>
      </c>
      <c r="J62" s="43">
        <f>1/3</f>
        <v>0.33333333333333331</v>
      </c>
    </row>
    <row r="63" spans="1:10" s="47" customFormat="1">
      <c r="A63" s="44" t="s">
        <v>257</v>
      </c>
      <c r="B63" s="44" t="s">
        <v>146</v>
      </c>
      <c r="C63" s="44" t="s">
        <v>147</v>
      </c>
      <c r="D63" s="45" t="s">
        <v>229</v>
      </c>
      <c r="E63" s="45" t="s">
        <v>230</v>
      </c>
      <c r="F63" s="45" t="s">
        <v>250</v>
      </c>
      <c r="G63" s="45" t="s">
        <v>251</v>
      </c>
      <c r="H63" s="45" t="s">
        <v>258</v>
      </c>
      <c r="I63" s="45" t="s">
        <v>259</v>
      </c>
      <c r="J63" s="46">
        <f>1/3</f>
        <v>0.33333333333333331</v>
      </c>
    </row>
    <row r="64" spans="1:10" s="51" customFormat="1">
      <c r="A64" s="48" t="s">
        <v>260</v>
      </c>
      <c r="B64" s="48" t="s">
        <v>146</v>
      </c>
      <c r="C64" s="48" t="s">
        <v>147</v>
      </c>
      <c r="D64" s="49" t="s">
        <v>229</v>
      </c>
      <c r="E64" s="49" t="s">
        <v>230</v>
      </c>
      <c r="F64" s="49" t="s">
        <v>261</v>
      </c>
      <c r="G64" s="49" t="s">
        <v>262</v>
      </c>
      <c r="H64" s="49" t="s">
        <v>263</v>
      </c>
      <c r="I64" s="49" t="s">
        <v>264</v>
      </c>
      <c r="J64" s="50">
        <f>1/2</f>
        <v>0.5</v>
      </c>
    </row>
    <row r="65" spans="1:10" s="47" customFormat="1">
      <c r="A65" s="44" t="s">
        <v>265</v>
      </c>
      <c r="B65" s="44" t="s">
        <v>146</v>
      </c>
      <c r="C65" s="44" t="s">
        <v>147</v>
      </c>
      <c r="D65" s="45" t="s">
        <v>229</v>
      </c>
      <c r="E65" s="45" t="s">
        <v>230</v>
      </c>
      <c r="F65" s="45" t="s">
        <v>261</v>
      </c>
      <c r="G65" s="45" t="s">
        <v>262</v>
      </c>
      <c r="H65" s="45" t="s">
        <v>266</v>
      </c>
      <c r="I65" s="45" t="s">
        <v>267</v>
      </c>
      <c r="J65" s="46">
        <f>1/2</f>
        <v>0.5</v>
      </c>
    </row>
    <row r="66" spans="1:10" s="55" customFormat="1">
      <c r="A66" s="52" t="s">
        <v>268</v>
      </c>
      <c r="B66" s="52" t="s">
        <v>146</v>
      </c>
      <c r="C66" s="52" t="s">
        <v>147</v>
      </c>
      <c r="D66" s="53" t="s">
        <v>229</v>
      </c>
      <c r="E66" s="53" t="s">
        <v>230</v>
      </c>
      <c r="F66" s="53" t="s">
        <v>269</v>
      </c>
      <c r="G66" s="53" t="s">
        <v>270</v>
      </c>
      <c r="H66" s="53" t="s">
        <v>271</v>
      </c>
      <c r="I66" s="53" t="s">
        <v>272</v>
      </c>
      <c r="J66" s="54">
        <v>1</v>
      </c>
    </row>
    <row r="67" spans="1:10" s="51" customFormat="1">
      <c r="A67" s="48" t="s">
        <v>273</v>
      </c>
      <c r="B67" s="48" t="s">
        <v>146</v>
      </c>
      <c r="C67" s="48" t="s">
        <v>147</v>
      </c>
      <c r="D67" s="49" t="s">
        <v>229</v>
      </c>
      <c r="E67" s="49" t="s">
        <v>230</v>
      </c>
      <c r="F67" s="49" t="s">
        <v>274</v>
      </c>
      <c r="G67" s="49" t="s">
        <v>275</v>
      </c>
      <c r="H67" s="49" t="s">
        <v>276</v>
      </c>
      <c r="I67" s="49" t="s">
        <v>277</v>
      </c>
      <c r="J67" s="50">
        <f>1/3</f>
        <v>0.33333333333333331</v>
      </c>
    </row>
    <row r="68" spans="1:10">
      <c r="A68" s="41" t="s">
        <v>278</v>
      </c>
      <c r="B68" s="41" t="s">
        <v>146</v>
      </c>
      <c r="C68" s="41" t="s">
        <v>147</v>
      </c>
      <c r="D68" s="42" t="s">
        <v>229</v>
      </c>
      <c r="E68" s="42" t="s">
        <v>230</v>
      </c>
      <c r="F68" s="42" t="s">
        <v>274</v>
      </c>
      <c r="G68" s="42" t="s">
        <v>275</v>
      </c>
      <c r="H68" s="42" t="s">
        <v>279</v>
      </c>
      <c r="I68" s="42" t="s">
        <v>280</v>
      </c>
      <c r="J68" s="43">
        <f>1/3</f>
        <v>0.33333333333333331</v>
      </c>
    </row>
    <row r="69" spans="1:10" s="47" customFormat="1">
      <c r="A69" s="44" t="s">
        <v>281</v>
      </c>
      <c r="B69" s="44" t="s">
        <v>146</v>
      </c>
      <c r="C69" s="44" t="s">
        <v>147</v>
      </c>
      <c r="D69" s="45" t="s">
        <v>229</v>
      </c>
      <c r="E69" s="45" t="s">
        <v>230</v>
      </c>
      <c r="F69" s="45" t="s">
        <v>274</v>
      </c>
      <c r="G69" s="45" t="s">
        <v>275</v>
      </c>
      <c r="H69" s="45" t="s">
        <v>282</v>
      </c>
      <c r="I69" s="45" t="s">
        <v>283</v>
      </c>
      <c r="J69" s="46">
        <f>1/3</f>
        <v>0.33333333333333331</v>
      </c>
    </row>
    <row r="70" spans="1:10" s="51" customFormat="1">
      <c r="A70" s="48" t="s">
        <v>284</v>
      </c>
      <c r="B70" s="48" t="s">
        <v>146</v>
      </c>
      <c r="C70" s="48" t="s">
        <v>147</v>
      </c>
      <c r="D70" s="49" t="s">
        <v>229</v>
      </c>
      <c r="E70" s="49" t="s">
        <v>230</v>
      </c>
      <c r="F70" s="49" t="s">
        <v>285</v>
      </c>
      <c r="G70" s="49" t="s">
        <v>286</v>
      </c>
      <c r="H70" s="49" t="s">
        <v>287</v>
      </c>
      <c r="I70" s="49" t="s">
        <v>288</v>
      </c>
      <c r="J70" s="50">
        <f t="shared" ref="J70:J75" si="4">1/6</f>
        <v>0.16666666666666666</v>
      </c>
    </row>
    <row r="71" spans="1:10">
      <c r="A71" s="41" t="s">
        <v>289</v>
      </c>
      <c r="B71" s="41" t="s">
        <v>146</v>
      </c>
      <c r="C71" s="41" t="s">
        <v>147</v>
      </c>
      <c r="D71" s="42" t="s">
        <v>229</v>
      </c>
      <c r="E71" s="42" t="s">
        <v>230</v>
      </c>
      <c r="F71" s="42" t="s">
        <v>285</v>
      </c>
      <c r="G71" s="42" t="s">
        <v>286</v>
      </c>
      <c r="H71" s="42" t="s">
        <v>290</v>
      </c>
      <c r="I71" s="42" t="s">
        <v>291</v>
      </c>
      <c r="J71" s="43">
        <f t="shared" si="4"/>
        <v>0.16666666666666666</v>
      </c>
    </row>
    <row r="72" spans="1:10">
      <c r="A72" s="41" t="s">
        <v>292</v>
      </c>
      <c r="B72" s="41" t="s">
        <v>146</v>
      </c>
      <c r="C72" s="41" t="s">
        <v>147</v>
      </c>
      <c r="D72" s="42" t="s">
        <v>229</v>
      </c>
      <c r="E72" s="42" t="s">
        <v>230</v>
      </c>
      <c r="F72" s="42" t="s">
        <v>285</v>
      </c>
      <c r="G72" s="42" t="s">
        <v>286</v>
      </c>
      <c r="H72" s="42" t="s">
        <v>293</v>
      </c>
      <c r="I72" s="42" t="s">
        <v>294</v>
      </c>
      <c r="J72" s="43">
        <f t="shared" si="4"/>
        <v>0.16666666666666666</v>
      </c>
    </row>
    <row r="73" spans="1:10">
      <c r="A73" s="41" t="s">
        <v>295</v>
      </c>
      <c r="B73" s="41" t="s">
        <v>146</v>
      </c>
      <c r="C73" s="41" t="s">
        <v>147</v>
      </c>
      <c r="D73" s="42" t="s">
        <v>229</v>
      </c>
      <c r="E73" s="42" t="s">
        <v>230</v>
      </c>
      <c r="F73" s="42" t="s">
        <v>285</v>
      </c>
      <c r="G73" s="42" t="s">
        <v>286</v>
      </c>
      <c r="H73" s="42" t="s">
        <v>296</v>
      </c>
      <c r="I73" s="42" t="s">
        <v>297</v>
      </c>
      <c r="J73" s="43">
        <f t="shared" si="4"/>
        <v>0.16666666666666666</v>
      </c>
    </row>
    <row r="74" spans="1:10">
      <c r="A74" s="41" t="s">
        <v>298</v>
      </c>
      <c r="B74" s="41" t="s">
        <v>146</v>
      </c>
      <c r="C74" s="41" t="s">
        <v>147</v>
      </c>
      <c r="D74" s="42" t="s">
        <v>229</v>
      </c>
      <c r="E74" s="42" t="s">
        <v>230</v>
      </c>
      <c r="F74" s="42" t="s">
        <v>285</v>
      </c>
      <c r="G74" s="42" t="s">
        <v>286</v>
      </c>
      <c r="H74" s="42" t="s">
        <v>299</v>
      </c>
      <c r="I74" s="42" t="s">
        <v>300</v>
      </c>
      <c r="J74" s="43">
        <f t="shared" si="4"/>
        <v>0.16666666666666666</v>
      </c>
    </row>
    <row r="75" spans="1:10" s="47" customFormat="1">
      <c r="A75" s="44" t="s">
        <v>301</v>
      </c>
      <c r="B75" s="44" t="s">
        <v>146</v>
      </c>
      <c r="C75" s="44" t="s">
        <v>147</v>
      </c>
      <c r="D75" s="45" t="s">
        <v>229</v>
      </c>
      <c r="E75" s="45" t="s">
        <v>230</v>
      </c>
      <c r="F75" s="45" t="s">
        <v>285</v>
      </c>
      <c r="G75" s="45" t="s">
        <v>286</v>
      </c>
      <c r="H75" s="45" t="s">
        <v>302</v>
      </c>
      <c r="I75" s="45" t="s">
        <v>303</v>
      </c>
      <c r="J75" s="46">
        <f t="shared" si="4"/>
        <v>0.16666666666666666</v>
      </c>
    </row>
    <row r="76" spans="1:10" s="51" customFormat="1">
      <c r="A76" s="48" t="s">
        <v>304</v>
      </c>
      <c r="B76" s="48" t="s">
        <v>146</v>
      </c>
      <c r="C76" s="48" t="s">
        <v>147</v>
      </c>
      <c r="D76" s="49" t="s">
        <v>229</v>
      </c>
      <c r="E76" s="49" t="s">
        <v>230</v>
      </c>
      <c r="F76" s="49" t="s">
        <v>305</v>
      </c>
      <c r="G76" s="49" t="s">
        <v>306</v>
      </c>
      <c r="H76" s="49" t="s">
        <v>307</v>
      </c>
      <c r="I76" s="49" t="s">
        <v>308</v>
      </c>
      <c r="J76" s="50">
        <f>1/2</f>
        <v>0.5</v>
      </c>
    </row>
    <row r="77" spans="1:10" s="47" customFormat="1">
      <c r="A77" s="44" t="s">
        <v>309</v>
      </c>
      <c r="B77" s="44" t="s">
        <v>146</v>
      </c>
      <c r="C77" s="44" t="s">
        <v>147</v>
      </c>
      <c r="D77" s="45" t="s">
        <v>229</v>
      </c>
      <c r="E77" s="45" t="s">
        <v>230</v>
      </c>
      <c r="F77" s="45" t="s">
        <v>305</v>
      </c>
      <c r="G77" s="45" t="s">
        <v>306</v>
      </c>
      <c r="H77" s="45" t="s">
        <v>310</v>
      </c>
      <c r="I77" s="45" t="s">
        <v>311</v>
      </c>
      <c r="J77" s="46">
        <f>1/2</f>
        <v>0.5</v>
      </c>
    </row>
    <row r="78" spans="1:10" s="51" customFormat="1">
      <c r="A78" s="48" t="s">
        <v>312</v>
      </c>
      <c r="B78" s="48" t="s">
        <v>146</v>
      </c>
      <c r="C78" s="48" t="s">
        <v>147</v>
      </c>
      <c r="D78" s="49" t="s">
        <v>313</v>
      </c>
      <c r="E78" s="49" t="s">
        <v>314</v>
      </c>
      <c r="F78" s="49" t="s">
        <v>315</v>
      </c>
      <c r="G78" s="49" t="s">
        <v>316</v>
      </c>
      <c r="H78" s="49" t="s">
        <v>317</v>
      </c>
      <c r="I78" s="49" t="s">
        <v>318</v>
      </c>
      <c r="J78" s="50">
        <f>1/4</f>
        <v>0.25</v>
      </c>
    </row>
    <row r="79" spans="1:10">
      <c r="A79" s="41" t="s">
        <v>319</v>
      </c>
      <c r="B79" s="41" t="s">
        <v>146</v>
      </c>
      <c r="C79" s="41" t="s">
        <v>147</v>
      </c>
      <c r="D79" s="42" t="s">
        <v>313</v>
      </c>
      <c r="E79" s="42" t="s">
        <v>314</v>
      </c>
      <c r="F79" s="42" t="s">
        <v>315</v>
      </c>
      <c r="G79" s="42" t="s">
        <v>316</v>
      </c>
      <c r="H79" s="42" t="s">
        <v>320</v>
      </c>
      <c r="I79" s="42" t="s">
        <v>321</v>
      </c>
      <c r="J79" s="43">
        <f>1/4</f>
        <v>0.25</v>
      </c>
    </row>
    <row r="80" spans="1:10">
      <c r="A80" s="41" t="s">
        <v>322</v>
      </c>
      <c r="B80" s="41" t="s">
        <v>146</v>
      </c>
      <c r="C80" s="41" t="s">
        <v>147</v>
      </c>
      <c r="D80" s="42" t="s">
        <v>313</v>
      </c>
      <c r="E80" s="42" t="s">
        <v>314</v>
      </c>
      <c r="F80" s="42" t="s">
        <v>315</v>
      </c>
      <c r="G80" s="42" t="s">
        <v>316</v>
      </c>
      <c r="H80" s="42" t="s">
        <v>323</v>
      </c>
      <c r="I80" s="42" t="s">
        <v>324</v>
      </c>
      <c r="J80" s="43">
        <f>1/4</f>
        <v>0.25</v>
      </c>
    </row>
    <row r="81" spans="1:10" s="47" customFormat="1">
      <c r="A81" s="44" t="s">
        <v>325</v>
      </c>
      <c r="B81" s="44" t="s">
        <v>146</v>
      </c>
      <c r="C81" s="44" t="s">
        <v>147</v>
      </c>
      <c r="D81" s="45" t="s">
        <v>313</v>
      </c>
      <c r="E81" s="45" t="s">
        <v>314</v>
      </c>
      <c r="F81" s="45" t="s">
        <v>315</v>
      </c>
      <c r="G81" s="45" t="s">
        <v>316</v>
      </c>
      <c r="H81" s="45" t="s">
        <v>326</v>
      </c>
      <c r="I81" s="45" t="s">
        <v>327</v>
      </c>
      <c r="J81" s="46">
        <f>1/4</f>
        <v>0.25</v>
      </c>
    </row>
    <row r="82" spans="1:10" s="51" customFormat="1">
      <c r="A82" s="48" t="s">
        <v>328</v>
      </c>
      <c r="B82" s="48" t="s">
        <v>146</v>
      </c>
      <c r="C82" s="48" t="s">
        <v>147</v>
      </c>
      <c r="D82" s="49" t="s">
        <v>313</v>
      </c>
      <c r="E82" s="49" t="s">
        <v>314</v>
      </c>
      <c r="F82" s="49" t="s">
        <v>329</v>
      </c>
      <c r="G82" s="49" t="s">
        <v>330</v>
      </c>
      <c r="H82" s="49" t="s">
        <v>331</v>
      </c>
      <c r="I82" s="49" t="s">
        <v>332</v>
      </c>
      <c r="J82" s="50">
        <v>1</v>
      </c>
    </row>
    <row r="83" spans="1:10" s="47" customFormat="1">
      <c r="A83" s="44" t="s">
        <v>333</v>
      </c>
      <c r="B83" s="44" t="s">
        <v>146</v>
      </c>
      <c r="C83" s="44" t="s">
        <v>147</v>
      </c>
      <c r="D83" s="45" t="s">
        <v>313</v>
      </c>
      <c r="E83" s="45" t="s">
        <v>314</v>
      </c>
      <c r="F83" s="45" t="s">
        <v>329</v>
      </c>
      <c r="G83" s="45" t="s">
        <v>330</v>
      </c>
      <c r="H83" s="45" t="s">
        <v>334</v>
      </c>
      <c r="I83" s="45" t="s">
        <v>335</v>
      </c>
      <c r="J83" s="46">
        <v>1</v>
      </c>
    </row>
    <row r="84" spans="1:10" s="51" customFormat="1">
      <c r="A84" s="48" t="s">
        <v>336</v>
      </c>
      <c r="B84" s="48" t="s">
        <v>146</v>
      </c>
      <c r="C84" s="48" t="s">
        <v>147</v>
      </c>
      <c r="D84" s="49" t="s">
        <v>313</v>
      </c>
      <c r="E84" s="49" t="s">
        <v>314</v>
      </c>
      <c r="F84" s="49" t="s">
        <v>337</v>
      </c>
      <c r="G84" s="49" t="s">
        <v>338</v>
      </c>
      <c r="H84" s="49" t="s">
        <v>339</v>
      </c>
      <c r="I84" s="49" t="s">
        <v>340</v>
      </c>
      <c r="J84" s="50">
        <f>1/2</f>
        <v>0.5</v>
      </c>
    </row>
    <row r="85" spans="1:10" s="47" customFormat="1">
      <c r="A85" s="44" t="s">
        <v>341</v>
      </c>
      <c r="B85" s="44" t="s">
        <v>146</v>
      </c>
      <c r="C85" s="44" t="s">
        <v>147</v>
      </c>
      <c r="D85" s="45" t="s">
        <v>313</v>
      </c>
      <c r="E85" s="45" t="s">
        <v>314</v>
      </c>
      <c r="F85" s="45" t="s">
        <v>337</v>
      </c>
      <c r="G85" s="45" t="s">
        <v>338</v>
      </c>
      <c r="H85" s="45" t="s">
        <v>342</v>
      </c>
      <c r="I85" s="45" t="s">
        <v>343</v>
      </c>
      <c r="J85" s="46">
        <f>1/2</f>
        <v>0.5</v>
      </c>
    </row>
    <row r="86" spans="1:10" s="51" customFormat="1">
      <c r="A86" s="48" t="s">
        <v>344</v>
      </c>
      <c r="B86" s="48" t="s">
        <v>146</v>
      </c>
      <c r="C86" s="48" t="s">
        <v>147</v>
      </c>
      <c r="D86" s="49" t="s">
        <v>313</v>
      </c>
      <c r="E86" s="49" t="s">
        <v>314</v>
      </c>
      <c r="F86" s="49" t="s">
        <v>345</v>
      </c>
      <c r="G86" s="49" t="s">
        <v>346</v>
      </c>
      <c r="H86" s="49" t="s">
        <v>347</v>
      </c>
      <c r="I86" s="49" t="s">
        <v>348</v>
      </c>
      <c r="J86" s="50">
        <f>1/5</f>
        <v>0.2</v>
      </c>
    </row>
    <row r="87" spans="1:10">
      <c r="A87" s="41" t="s">
        <v>349</v>
      </c>
      <c r="B87" s="41" t="s">
        <v>146</v>
      </c>
      <c r="C87" s="41" t="s">
        <v>147</v>
      </c>
      <c r="D87" s="42" t="s">
        <v>313</v>
      </c>
      <c r="E87" s="42" t="s">
        <v>314</v>
      </c>
      <c r="F87" s="42" t="s">
        <v>345</v>
      </c>
      <c r="G87" s="42" t="s">
        <v>346</v>
      </c>
      <c r="H87" s="42" t="s">
        <v>350</v>
      </c>
      <c r="I87" s="42" t="s">
        <v>351</v>
      </c>
      <c r="J87" s="43">
        <f>1/5</f>
        <v>0.2</v>
      </c>
    </row>
    <row r="88" spans="1:10">
      <c r="A88" s="41" t="s">
        <v>352</v>
      </c>
      <c r="B88" s="41" t="s">
        <v>146</v>
      </c>
      <c r="C88" s="41" t="s">
        <v>147</v>
      </c>
      <c r="D88" s="42" t="s">
        <v>313</v>
      </c>
      <c r="E88" s="42" t="s">
        <v>314</v>
      </c>
      <c r="F88" s="42" t="s">
        <v>345</v>
      </c>
      <c r="G88" s="42" t="s">
        <v>346</v>
      </c>
      <c r="H88" s="42" t="s">
        <v>353</v>
      </c>
      <c r="I88" s="42" t="s">
        <v>354</v>
      </c>
      <c r="J88" s="43">
        <f>1/5</f>
        <v>0.2</v>
      </c>
    </row>
    <row r="89" spans="1:10">
      <c r="A89" s="41" t="s">
        <v>355</v>
      </c>
      <c r="B89" s="41" t="s">
        <v>146</v>
      </c>
      <c r="C89" s="41" t="s">
        <v>147</v>
      </c>
      <c r="D89" s="42" t="s">
        <v>313</v>
      </c>
      <c r="E89" s="42" t="s">
        <v>314</v>
      </c>
      <c r="F89" s="42" t="s">
        <v>345</v>
      </c>
      <c r="G89" s="42" t="s">
        <v>346</v>
      </c>
      <c r="H89" s="42" t="s">
        <v>356</v>
      </c>
      <c r="I89" s="42" t="s">
        <v>357</v>
      </c>
      <c r="J89" s="43">
        <f>1/5</f>
        <v>0.2</v>
      </c>
    </row>
    <row r="90" spans="1:10" s="47" customFormat="1">
      <c r="A90" s="44" t="s">
        <v>358</v>
      </c>
      <c r="B90" s="44" t="s">
        <v>146</v>
      </c>
      <c r="C90" s="44" t="s">
        <v>147</v>
      </c>
      <c r="D90" s="45" t="s">
        <v>313</v>
      </c>
      <c r="E90" s="45" t="s">
        <v>314</v>
      </c>
      <c r="F90" s="45" t="s">
        <v>345</v>
      </c>
      <c r="G90" s="45" t="s">
        <v>346</v>
      </c>
      <c r="H90" s="45" t="s">
        <v>359</v>
      </c>
      <c r="I90" s="45" t="s">
        <v>360</v>
      </c>
      <c r="J90" s="46">
        <f>1/5</f>
        <v>0.2</v>
      </c>
    </row>
    <row r="91" spans="1:10" s="51" customFormat="1">
      <c r="A91" s="48" t="s">
        <v>361</v>
      </c>
      <c r="B91" s="48" t="s">
        <v>146</v>
      </c>
      <c r="C91" s="48" t="s">
        <v>147</v>
      </c>
      <c r="D91" s="49" t="s">
        <v>313</v>
      </c>
      <c r="E91" s="49" t="s">
        <v>314</v>
      </c>
      <c r="F91" s="49" t="s">
        <v>362</v>
      </c>
      <c r="G91" s="49" t="s">
        <v>363</v>
      </c>
      <c r="H91" s="49" t="s">
        <v>364</v>
      </c>
      <c r="I91" s="49" t="s">
        <v>365</v>
      </c>
      <c r="J91" s="50">
        <f t="shared" ref="J91:J96" si="5">1/6</f>
        <v>0.16666666666666666</v>
      </c>
    </row>
    <row r="92" spans="1:10">
      <c r="A92" s="41" t="s">
        <v>366</v>
      </c>
      <c r="B92" s="41" t="s">
        <v>146</v>
      </c>
      <c r="C92" s="41" t="s">
        <v>147</v>
      </c>
      <c r="D92" s="42" t="s">
        <v>313</v>
      </c>
      <c r="E92" s="42" t="s">
        <v>314</v>
      </c>
      <c r="F92" s="42" t="s">
        <v>362</v>
      </c>
      <c r="G92" s="42" t="s">
        <v>363</v>
      </c>
      <c r="H92" s="42" t="s">
        <v>367</v>
      </c>
      <c r="I92" s="42" t="s">
        <v>368</v>
      </c>
      <c r="J92" s="43">
        <f t="shared" si="5"/>
        <v>0.16666666666666666</v>
      </c>
    </row>
    <row r="93" spans="1:10">
      <c r="A93" s="41" t="s">
        <v>369</v>
      </c>
      <c r="B93" s="41" t="s">
        <v>146</v>
      </c>
      <c r="C93" s="41" t="s">
        <v>147</v>
      </c>
      <c r="D93" s="42" t="s">
        <v>313</v>
      </c>
      <c r="E93" s="42" t="s">
        <v>314</v>
      </c>
      <c r="F93" s="42" t="s">
        <v>362</v>
      </c>
      <c r="G93" s="42" t="s">
        <v>363</v>
      </c>
      <c r="H93" s="42" t="s">
        <v>370</v>
      </c>
      <c r="I93" s="42" t="s">
        <v>371</v>
      </c>
      <c r="J93" s="43">
        <f t="shared" si="5"/>
        <v>0.16666666666666666</v>
      </c>
    </row>
    <row r="94" spans="1:10">
      <c r="A94" s="41" t="s">
        <v>372</v>
      </c>
      <c r="B94" s="41" t="s">
        <v>146</v>
      </c>
      <c r="C94" s="41" t="s">
        <v>147</v>
      </c>
      <c r="D94" s="42" t="s">
        <v>313</v>
      </c>
      <c r="E94" s="42" t="s">
        <v>314</v>
      </c>
      <c r="F94" s="42" t="s">
        <v>362</v>
      </c>
      <c r="G94" s="42" t="s">
        <v>363</v>
      </c>
      <c r="H94" s="42" t="s">
        <v>373</v>
      </c>
      <c r="I94" s="42" t="s">
        <v>374</v>
      </c>
      <c r="J94" s="43">
        <f t="shared" si="5"/>
        <v>0.16666666666666666</v>
      </c>
    </row>
    <row r="95" spans="1:10">
      <c r="A95" s="41" t="s">
        <v>375</v>
      </c>
      <c r="B95" s="41" t="s">
        <v>146</v>
      </c>
      <c r="C95" s="41" t="s">
        <v>147</v>
      </c>
      <c r="D95" s="42" t="s">
        <v>313</v>
      </c>
      <c r="E95" s="42" t="s">
        <v>314</v>
      </c>
      <c r="F95" s="42" t="s">
        <v>362</v>
      </c>
      <c r="G95" s="42" t="s">
        <v>363</v>
      </c>
      <c r="H95" s="42" t="s">
        <v>376</v>
      </c>
      <c r="I95" s="42" t="s">
        <v>377</v>
      </c>
      <c r="J95" s="43">
        <f t="shared" si="5"/>
        <v>0.16666666666666666</v>
      </c>
    </row>
    <row r="96" spans="1:10" s="47" customFormat="1">
      <c r="A96" s="44" t="s">
        <v>378</v>
      </c>
      <c r="B96" s="44" t="s">
        <v>146</v>
      </c>
      <c r="C96" s="44" t="s">
        <v>147</v>
      </c>
      <c r="D96" s="45" t="s">
        <v>313</v>
      </c>
      <c r="E96" s="45" t="s">
        <v>314</v>
      </c>
      <c r="F96" s="45" t="s">
        <v>362</v>
      </c>
      <c r="G96" s="45" t="s">
        <v>363</v>
      </c>
      <c r="H96" s="45" t="s">
        <v>379</v>
      </c>
      <c r="I96" s="45" t="s">
        <v>380</v>
      </c>
      <c r="J96" s="46">
        <f t="shared" si="5"/>
        <v>0.16666666666666666</v>
      </c>
    </row>
    <row r="97" spans="1:10" s="51" customFormat="1">
      <c r="A97" s="48" t="s">
        <v>381</v>
      </c>
      <c r="B97" s="48" t="s">
        <v>146</v>
      </c>
      <c r="C97" s="48" t="s">
        <v>147</v>
      </c>
      <c r="D97" s="49" t="s">
        <v>313</v>
      </c>
      <c r="E97" s="49" t="s">
        <v>314</v>
      </c>
      <c r="F97" s="49" t="s">
        <v>382</v>
      </c>
      <c r="G97" s="49" t="s">
        <v>383</v>
      </c>
      <c r="H97" s="49" t="s">
        <v>384</v>
      </c>
      <c r="I97" s="49" t="s">
        <v>385</v>
      </c>
      <c r="J97" s="50">
        <f>1/2</f>
        <v>0.5</v>
      </c>
    </row>
    <row r="98" spans="1:10" s="47" customFormat="1">
      <c r="A98" s="44" t="s">
        <v>386</v>
      </c>
      <c r="B98" s="44" t="s">
        <v>146</v>
      </c>
      <c r="C98" s="44" t="s">
        <v>147</v>
      </c>
      <c r="D98" s="45" t="s">
        <v>313</v>
      </c>
      <c r="E98" s="45" t="s">
        <v>314</v>
      </c>
      <c r="F98" s="45" t="s">
        <v>382</v>
      </c>
      <c r="G98" s="45" t="s">
        <v>383</v>
      </c>
      <c r="H98" s="45" t="s">
        <v>387</v>
      </c>
      <c r="I98" s="45" t="s">
        <v>388</v>
      </c>
      <c r="J98" s="46">
        <f>1/2</f>
        <v>0.5</v>
      </c>
    </row>
    <row r="99" spans="1:10" s="51" customFormat="1">
      <c r="A99" s="48" t="s">
        <v>389</v>
      </c>
      <c r="B99" s="48" t="s">
        <v>146</v>
      </c>
      <c r="C99" s="48" t="s">
        <v>147</v>
      </c>
      <c r="D99" s="49" t="s">
        <v>390</v>
      </c>
      <c r="E99" s="49" t="s">
        <v>391</v>
      </c>
      <c r="F99" s="49" t="s">
        <v>392</v>
      </c>
      <c r="G99" s="49" t="s">
        <v>393</v>
      </c>
      <c r="H99" s="49" t="s">
        <v>394</v>
      </c>
      <c r="I99" s="49" t="s">
        <v>395</v>
      </c>
      <c r="J99" s="50">
        <f t="shared" ref="J99:J107" si="6">1/3</f>
        <v>0.33333333333333331</v>
      </c>
    </row>
    <row r="100" spans="1:10">
      <c r="A100" s="41" t="s">
        <v>396</v>
      </c>
      <c r="B100" s="41" t="s">
        <v>146</v>
      </c>
      <c r="C100" s="41" t="s">
        <v>147</v>
      </c>
      <c r="D100" s="42" t="s">
        <v>390</v>
      </c>
      <c r="E100" s="42" t="s">
        <v>391</v>
      </c>
      <c r="F100" s="42" t="s">
        <v>392</v>
      </c>
      <c r="G100" s="42" t="s">
        <v>393</v>
      </c>
      <c r="H100" s="42" t="s">
        <v>397</v>
      </c>
      <c r="I100" s="42" t="s">
        <v>398</v>
      </c>
      <c r="J100" s="43">
        <f t="shared" si="6"/>
        <v>0.33333333333333331</v>
      </c>
    </row>
    <row r="101" spans="1:10" s="47" customFormat="1">
      <c r="A101" s="44" t="s">
        <v>399</v>
      </c>
      <c r="B101" s="44" t="s">
        <v>146</v>
      </c>
      <c r="C101" s="44" t="s">
        <v>147</v>
      </c>
      <c r="D101" s="45" t="s">
        <v>390</v>
      </c>
      <c r="E101" s="45" t="s">
        <v>391</v>
      </c>
      <c r="F101" s="45" t="s">
        <v>392</v>
      </c>
      <c r="G101" s="45" t="s">
        <v>393</v>
      </c>
      <c r="H101" s="45" t="s">
        <v>400</v>
      </c>
      <c r="I101" s="45" t="s">
        <v>401</v>
      </c>
      <c r="J101" s="46">
        <f t="shared" si="6"/>
        <v>0.33333333333333331</v>
      </c>
    </row>
    <row r="102" spans="1:10" s="51" customFormat="1">
      <c r="A102" s="48" t="s">
        <v>402</v>
      </c>
      <c r="B102" s="48" t="s">
        <v>146</v>
      </c>
      <c r="C102" s="48" t="s">
        <v>147</v>
      </c>
      <c r="D102" s="49" t="s">
        <v>390</v>
      </c>
      <c r="E102" s="49" t="s">
        <v>391</v>
      </c>
      <c r="F102" s="49" t="s">
        <v>403</v>
      </c>
      <c r="G102" s="49" t="s">
        <v>404</v>
      </c>
      <c r="H102" s="49" t="s">
        <v>405</v>
      </c>
      <c r="I102" s="49" t="s">
        <v>406</v>
      </c>
      <c r="J102" s="50">
        <f t="shared" si="6"/>
        <v>0.33333333333333331</v>
      </c>
    </row>
    <row r="103" spans="1:10">
      <c r="A103" s="41" t="s">
        <v>407</v>
      </c>
      <c r="B103" s="41" t="s">
        <v>146</v>
      </c>
      <c r="C103" s="41" t="s">
        <v>147</v>
      </c>
      <c r="D103" s="42" t="s">
        <v>390</v>
      </c>
      <c r="E103" s="42" t="s">
        <v>391</v>
      </c>
      <c r="F103" s="42" t="s">
        <v>403</v>
      </c>
      <c r="G103" s="42" t="s">
        <v>404</v>
      </c>
      <c r="H103" s="42" t="s">
        <v>408</v>
      </c>
      <c r="I103" s="42" t="s">
        <v>409</v>
      </c>
      <c r="J103" s="43">
        <f t="shared" si="6"/>
        <v>0.33333333333333331</v>
      </c>
    </row>
    <row r="104" spans="1:10" s="47" customFormat="1">
      <c r="A104" s="44" t="s">
        <v>410</v>
      </c>
      <c r="B104" s="44" t="s">
        <v>146</v>
      </c>
      <c r="C104" s="44" t="s">
        <v>147</v>
      </c>
      <c r="D104" s="45" t="s">
        <v>390</v>
      </c>
      <c r="E104" s="45" t="s">
        <v>391</v>
      </c>
      <c r="F104" s="45" t="s">
        <v>403</v>
      </c>
      <c r="G104" s="45" t="s">
        <v>404</v>
      </c>
      <c r="H104" s="45" t="s">
        <v>411</v>
      </c>
      <c r="I104" s="45" t="s">
        <v>412</v>
      </c>
      <c r="J104" s="46">
        <f t="shared" si="6"/>
        <v>0.33333333333333331</v>
      </c>
    </row>
    <row r="105" spans="1:10" s="51" customFormat="1">
      <c r="A105" s="48" t="s">
        <v>413</v>
      </c>
      <c r="B105" s="48" t="s">
        <v>146</v>
      </c>
      <c r="C105" s="48" t="s">
        <v>147</v>
      </c>
      <c r="D105" s="49" t="s">
        <v>390</v>
      </c>
      <c r="E105" s="49" t="s">
        <v>391</v>
      </c>
      <c r="F105" s="49" t="s">
        <v>414</v>
      </c>
      <c r="G105" s="49" t="s">
        <v>415</v>
      </c>
      <c r="H105" s="49" t="s">
        <v>416</v>
      </c>
      <c r="I105" s="49" t="s">
        <v>417</v>
      </c>
      <c r="J105" s="50">
        <f t="shared" si="6"/>
        <v>0.33333333333333331</v>
      </c>
    </row>
    <row r="106" spans="1:10">
      <c r="A106" s="41" t="s">
        <v>418</v>
      </c>
      <c r="B106" s="41" t="s">
        <v>146</v>
      </c>
      <c r="C106" s="41" t="s">
        <v>147</v>
      </c>
      <c r="D106" s="42" t="s">
        <v>390</v>
      </c>
      <c r="E106" s="42" t="s">
        <v>391</v>
      </c>
      <c r="F106" s="42" t="s">
        <v>414</v>
      </c>
      <c r="G106" s="42" t="s">
        <v>415</v>
      </c>
      <c r="H106" s="42" t="s">
        <v>419</v>
      </c>
      <c r="I106" s="42" t="s">
        <v>420</v>
      </c>
      <c r="J106" s="43">
        <f t="shared" si="6"/>
        <v>0.33333333333333331</v>
      </c>
    </row>
    <row r="107" spans="1:10" s="47" customFormat="1">
      <c r="A107" s="44" t="s">
        <v>421</v>
      </c>
      <c r="B107" s="44" t="s">
        <v>146</v>
      </c>
      <c r="C107" s="44" t="s">
        <v>147</v>
      </c>
      <c r="D107" s="45" t="s">
        <v>390</v>
      </c>
      <c r="E107" s="45" t="s">
        <v>391</v>
      </c>
      <c r="F107" s="45" t="s">
        <v>414</v>
      </c>
      <c r="G107" s="45" t="s">
        <v>415</v>
      </c>
      <c r="H107" s="45" t="s">
        <v>422</v>
      </c>
      <c r="I107" s="45" t="s">
        <v>423</v>
      </c>
      <c r="J107" s="46">
        <f t="shared" si="6"/>
        <v>0.33333333333333331</v>
      </c>
    </row>
    <row r="108" spans="1:10" s="51" customFormat="1">
      <c r="A108" s="48" t="s">
        <v>424</v>
      </c>
      <c r="B108" s="48" t="s">
        <v>146</v>
      </c>
      <c r="C108" s="48" t="s">
        <v>147</v>
      </c>
      <c r="D108" s="49" t="s">
        <v>390</v>
      </c>
      <c r="E108" s="49" t="s">
        <v>391</v>
      </c>
      <c r="F108" s="49" t="s">
        <v>425</v>
      </c>
      <c r="G108" s="49" t="s">
        <v>426</v>
      </c>
      <c r="H108" s="49" t="s">
        <v>427</v>
      </c>
      <c r="I108" s="49" t="s">
        <v>428</v>
      </c>
      <c r="J108" s="50">
        <f>1/5</f>
        <v>0.2</v>
      </c>
    </row>
    <row r="109" spans="1:10">
      <c r="A109" s="41" t="s">
        <v>429</v>
      </c>
      <c r="B109" s="41" t="s">
        <v>146</v>
      </c>
      <c r="C109" s="41" t="s">
        <v>147</v>
      </c>
      <c r="D109" s="42" t="s">
        <v>390</v>
      </c>
      <c r="E109" s="42" t="s">
        <v>391</v>
      </c>
      <c r="F109" s="42" t="s">
        <v>425</v>
      </c>
      <c r="G109" s="42" t="s">
        <v>426</v>
      </c>
      <c r="H109" s="42" t="s">
        <v>430</v>
      </c>
      <c r="I109" s="42" t="s">
        <v>431</v>
      </c>
      <c r="J109" s="43">
        <f>1/5</f>
        <v>0.2</v>
      </c>
    </row>
    <row r="110" spans="1:10">
      <c r="A110" s="41" t="s">
        <v>432</v>
      </c>
      <c r="B110" s="41" t="s">
        <v>146</v>
      </c>
      <c r="C110" s="41" t="s">
        <v>147</v>
      </c>
      <c r="D110" s="42" t="s">
        <v>390</v>
      </c>
      <c r="E110" s="42" t="s">
        <v>391</v>
      </c>
      <c r="F110" s="42" t="s">
        <v>425</v>
      </c>
      <c r="G110" s="42" t="s">
        <v>426</v>
      </c>
      <c r="H110" s="42" t="s">
        <v>433</v>
      </c>
      <c r="I110" s="42" t="s">
        <v>434</v>
      </c>
      <c r="J110" s="43">
        <f>1/5</f>
        <v>0.2</v>
      </c>
    </row>
    <row r="111" spans="1:10">
      <c r="A111" s="41" t="s">
        <v>435</v>
      </c>
      <c r="B111" s="41" t="s">
        <v>146</v>
      </c>
      <c r="C111" s="41" t="s">
        <v>147</v>
      </c>
      <c r="D111" s="42" t="s">
        <v>390</v>
      </c>
      <c r="E111" s="42" t="s">
        <v>391</v>
      </c>
      <c r="F111" s="42" t="s">
        <v>425</v>
      </c>
      <c r="G111" s="42" t="s">
        <v>426</v>
      </c>
      <c r="H111" s="42" t="s">
        <v>436</v>
      </c>
      <c r="I111" s="42" t="s">
        <v>437</v>
      </c>
      <c r="J111" s="43">
        <f>1/5</f>
        <v>0.2</v>
      </c>
    </row>
    <row r="112" spans="1:10" s="47" customFormat="1">
      <c r="A112" s="44" t="s">
        <v>438</v>
      </c>
      <c r="B112" s="44" t="s">
        <v>146</v>
      </c>
      <c r="C112" s="44" t="s">
        <v>147</v>
      </c>
      <c r="D112" s="45" t="s">
        <v>390</v>
      </c>
      <c r="E112" s="45" t="s">
        <v>391</v>
      </c>
      <c r="F112" s="45" t="s">
        <v>425</v>
      </c>
      <c r="G112" s="45" t="s">
        <v>426</v>
      </c>
      <c r="H112" s="45" t="s">
        <v>439</v>
      </c>
      <c r="I112" s="45" t="s">
        <v>440</v>
      </c>
      <c r="J112" s="46">
        <f>1/5</f>
        <v>0.2</v>
      </c>
    </row>
    <row r="113" spans="1:10" s="51" customFormat="1">
      <c r="A113" s="48" t="s">
        <v>441</v>
      </c>
      <c r="B113" s="48" t="s">
        <v>146</v>
      </c>
      <c r="C113" s="48" t="s">
        <v>147</v>
      </c>
      <c r="D113" s="49" t="s">
        <v>390</v>
      </c>
      <c r="E113" s="49" t="s">
        <v>391</v>
      </c>
      <c r="F113" s="49" t="s">
        <v>442</v>
      </c>
      <c r="G113" s="49" t="s">
        <v>443</v>
      </c>
      <c r="H113" s="49" t="s">
        <v>444</v>
      </c>
      <c r="I113" s="49" t="s">
        <v>445</v>
      </c>
      <c r="J113" s="50">
        <f>1/2</f>
        <v>0.5</v>
      </c>
    </row>
    <row r="114" spans="1:10" s="47" customFormat="1">
      <c r="A114" s="44" t="s">
        <v>446</v>
      </c>
      <c r="B114" s="44" t="s">
        <v>146</v>
      </c>
      <c r="C114" s="44" t="s">
        <v>147</v>
      </c>
      <c r="D114" s="45" t="s">
        <v>390</v>
      </c>
      <c r="E114" s="45" t="s">
        <v>391</v>
      </c>
      <c r="F114" s="45" t="s">
        <v>442</v>
      </c>
      <c r="G114" s="45" t="s">
        <v>443</v>
      </c>
      <c r="H114" s="45" t="s">
        <v>447</v>
      </c>
      <c r="I114" s="45" t="s">
        <v>448</v>
      </c>
      <c r="J114" s="46">
        <f>1/2</f>
        <v>0.5</v>
      </c>
    </row>
    <row r="115" spans="1:10" s="51" customFormat="1">
      <c r="A115" s="48" t="s">
        <v>449</v>
      </c>
      <c r="B115" s="48" t="s">
        <v>450</v>
      </c>
      <c r="C115" s="48" t="s">
        <v>451</v>
      </c>
      <c r="D115" s="49" t="s">
        <v>452</v>
      </c>
      <c r="E115" s="49" t="s">
        <v>453</v>
      </c>
      <c r="F115" s="49" t="s">
        <v>454</v>
      </c>
      <c r="G115" s="49" t="s">
        <v>455</v>
      </c>
      <c r="H115" s="49" t="s">
        <v>456</v>
      </c>
      <c r="I115" s="49" t="s">
        <v>457</v>
      </c>
      <c r="J115" s="50">
        <f>1/2</f>
        <v>0.5</v>
      </c>
    </row>
    <row r="116" spans="1:10" s="47" customFormat="1">
      <c r="A116" s="44" t="s">
        <v>458</v>
      </c>
      <c r="B116" s="44" t="s">
        <v>450</v>
      </c>
      <c r="C116" s="44" t="s">
        <v>451</v>
      </c>
      <c r="D116" s="45" t="s">
        <v>452</v>
      </c>
      <c r="E116" s="45" t="s">
        <v>453</v>
      </c>
      <c r="F116" s="45" t="s">
        <v>454</v>
      </c>
      <c r="G116" s="45" t="s">
        <v>455</v>
      </c>
      <c r="H116" s="45" t="s">
        <v>459</v>
      </c>
      <c r="I116" s="45" t="s">
        <v>460</v>
      </c>
      <c r="J116" s="46">
        <f>1/2</f>
        <v>0.5</v>
      </c>
    </row>
    <row r="117" spans="1:10" s="51" customFormat="1">
      <c r="A117" s="48" t="s">
        <v>461</v>
      </c>
      <c r="B117" s="48" t="s">
        <v>450</v>
      </c>
      <c r="C117" s="48" t="s">
        <v>451</v>
      </c>
      <c r="D117" s="49" t="s">
        <v>452</v>
      </c>
      <c r="E117" s="49" t="s">
        <v>453</v>
      </c>
      <c r="F117" s="49" t="s">
        <v>462</v>
      </c>
      <c r="G117" s="49" t="s">
        <v>463</v>
      </c>
      <c r="H117" s="49" t="s">
        <v>464</v>
      </c>
      <c r="I117" s="49" t="s">
        <v>465</v>
      </c>
      <c r="J117" s="50">
        <f>1/4</f>
        <v>0.25</v>
      </c>
    </row>
    <row r="118" spans="1:10">
      <c r="A118" s="41" t="s">
        <v>466</v>
      </c>
      <c r="B118" s="41" t="s">
        <v>450</v>
      </c>
      <c r="C118" s="41" t="s">
        <v>451</v>
      </c>
      <c r="D118" s="42" t="s">
        <v>452</v>
      </c>
      <c r="E118" s="42" t="s">
        <v>453</v>
      </c>
      <c r="F118" s="42" t="s">
        <v>462</v>
      </c>
      <c r="G118" s="42" t="s">
        <v>463</v>
      </c>
      <c r="H118" s="42" t="s">
        <v>467</v>
      </c>
      <c r="I118" s="42" t="s">
        <v>468</v>
      </c>
      <c r="J118" s="43">
        <f>1/4</f>
        <v>0.25</v>
      </c>
    </row>
    <row r="119" spans="1:10">
      <c r="A119" s="41" t="s">
        <v>469</v>
      </c>
      <c r="B119" s="41" t="s">
        <v>450</v>
      </c>
      <c r="C119" s="41" t="s">
        <v>451</v>
      </c>
      <c r="D119" s="42" t="s">
        <v>452</v>
      </c>
      <c r="E119" s="42" t="s">
        <v>453</v>
      </c>
      <c r="F119" s="42" t="s">
        <v>462</v>
      </c>
      <c r="G119" s="42" t="s">
        <v>463</v>
      </c>
      <c r="H119" s="42" t="s">
        <v>470</v>
      </c>
      <c r="I119" s="42" t="s">
        <v>471</v>
      </c>
      <c r="J119" s="43">
        <f>1/4</f>
        <v>0.25</v>
      </c>
    </row>
    <row r="120" spans="1:10" s="47" customFormat="1">
      <c r="A120" s="44" t="s">
        <v>472</v>
      </c>
      <c r="B120" s="44" t="s">
        <v>450</v>
      </c>
      <c r="C120" s="44" t="s">
        <v>451</v>
      </c>
      <c r="D120" s="45" t="s">
        <v>452</v>
      </c>
      <c r="E120" s="45" t="s">
        <v>453</v>
      </c>
      <c r="F120" s="45" t="s">
        <v>462</v>
      </c>
      <c r="G120" s="45" t="s">
        <v>463</v>
      </c>
      <c r="H120" s="45" t="s">
        <v>473</v>
      </c>
      <c r="I120" s="45" t="s">
        <v>474</v>
      </c>
      <c r="J120" s="46">
        <f>1/4</f>
        <v>0.25</v>
      </c>
    </row>
    <row r="121" spans="1:10" s="51" customFormat="1">
      <c r="A121" s="48" t="s">
        <v>475</v>
      </c>
      <c r="B121" s="48" t="s">
        <v>450</v>
      </c>
      <c r="C121" s="48" t="s">
        <v>451</v>
      </c>
      <c r="D121" s="49" t="s">
        <v>452</v>
      </c>
      <c r="E121" s="49" t="s">
        <v>453</v>
      </c>
      <c r="F121" s="49" t="s">
        <v>476</v>
      </c>
      <c r="G121" s="49" t="s">
        <v>477</v>
      </c>
      <c r="H121" s="49" t="s">
        <v>478</v>
      </c>
      <c r="I121" s="49" t="s">
        <v>479</v>
      </c>
      <c r="J121" s="50">
        <f>1/3</f>
        <v>0.33333333333333331</v>
      </c>
    </row>
    <row r="122" spans="1:10">
      <c r="A122" s="41" t="s">
        <v>480</v>
      </c>
      <c r="B122" s="41" t="s">
        <v>450</v>
      </c>
      <c r="C122" s="41" t="s">
        <v>451</v>
      </c>
      <c r="D122" s="42" t="s">
        <v>452</v>
      </c>
      <c r="E122" s="42" t="s">
        <v>453</v>
      </c>
      <c r="F122" s="42" t="s">
        <v>476</v>
      </c>
      <c r="G122" s="42" t="s">
        <v>477</v>
      </c>
      <c r="H122" s="42" t="s">
        <v>481</v>
      </c>
      <c r="I122" s="42" t="s">
        <v>482</v>
      </c>
      <c r="J122" s="43">
        <f>1/3</f>
        <v>0.33333333333333331</v>
      </c>
    </row>
    <row r="123" spans="1:10" s="47" customFormat="1">
      <c r="A123" s="44" t="s">
        <v>483</v>
      </c>
      <c r="B123" s="44" t="s">
        <v>450</v>
      </c>
      <c r="C123" s="44" t="s">
        <v>451</v>
      </c>
      <c r="D123" s="45" t="s">
        <v>452</v>
      </c>
      <c r="E123" s="45" t="s">
        <v>453</v>
      </c>
      <c r="F123" s="45" t="s">
        <v>476</v>
      </c>
      <c r="G123" s="45" t="s">
        <v>477</v>
      </c>
      <c r="H123" s="45" t="s">
        <v>484</v>
      </c>
      <c r="I123" s="45" t="s">
        <v>485</v>
      </c>
      <c r="J123" s="46">
        <f>1/3</f>
        <v>0.33333333333333331</v>
      </c>
    </row>
    <row r="124" spans="1:10" s="51" customFormat="1">
      <c r="A124" s="48" t="s">
        <v>486</v>
      </c>
      <c r="B124" s="48" t="s">
        <v>450</v>
      </c>
      <c r="C124" s="48" t="s">
        <v>451</v>
      </c>
      <c r="D124" s="49" t="s">
        <v>452</v>
      </c>
      <c r="E124" s="49" t="s">
        <v>453</v>
      </c>
      <c r="F124" s="49" t="s">
        <v>487</v>
      </c>
      <c r="G124" s="49" t="s">
        <v>488</v>
      </c>
      <c r="H124" s="49" t="s">
        <v>489</v>
      </c>
      <c r="I124" s="49" t="s">
        <v>490</v>
      </c>
      <c r="J124" s="50">
        <f>1/4</f>
        <v>0.25</v>
      </c>
    </row>
    <row r="125" spans="1:10">
      <c r="A125" s="41" t="s">
        <v>491</v>
      </c>
      <c r="B125" s="41" t="s">
        <v>450</v>
      </c>
      <c r="C125" s="41" t="s">
        <v>451</v>
      </c>
      <c r="D125" s="42" t="s">
        <v>452</v>
      </c>
      <c r="E125" s="42" t="s">
        <v>453</v>
      </c>
      <c r="F125" s="42" t="s">
        <v>487</v>
      </c>
      <c r="G125" s="42" t="s">
        <v>488</v>
      </c>
      <c r="H125" s="42" t="s">
        <v>492</v>
      </c>
      <c r="I125" s="42" t="s">
        <v>493</v>
      </c>
      <c r="J125" s="43">
        <f>1/4</f>
        <v>0.25</v>
      </c>
    </row>
    <row r="126" spans="1:10">
      <c r="A126" s="41" t="s">
        <v>494</v>
      </c>
      <c r="B126" s="41" t="s">
        <v>450</v>
      </c>
      <c r="C126" s="41" t="s">
        <v>451</v>
      </c>
      <c r="D126" s="42" t="s">
        <v>452</v>
      </c>
      <c r="E126" s="42" t="s">
        <v>453</v>
      </c>
      <c r="F126" s="42" t="s">
        <v>487</v>
      </c>
      <c r="G126" s="42" t="s">
        <v>488</v>
      </c>
      <c r="H126" s="42" t="s">
        <v>495</v>
      </c>
      <c r="I126" s="42" t="s">
        <v>496</v>
      </c>
      <c r="J126" s="43">
        <f>1/4</f>
        <v>0.25</v>
      </c>
    </row>
    <row r="127" spans="1:10" s="47" customFormat="1">
      <c r="A127" s="44" t="s">
        <v>497</v>
      </c>
      <c r="B127" s="44" t="s">
        <v>450</v>
      </c>
      <c r="C127" s="44" t="s">
        <v>451</v>
      </c>
      <c r="D127" s="45" t="s">
        <v>452</v>
      </c>
      <c r="E127" s="45" t="s">
        <v>453</v>
      </c>
      <c r="F127" s="45" t="s">
        <v>487</v>
      </c>
      <c r="G127" s="45" t="s">
        <v>488</v>
      </c>
      <c r="H127" s="45" t="s">
        <v>498</v>
      </c>
      <c r="I127" s="45" t="s">
        <v>499</v>
      </c>
      <c r="J127" s="46">
        <f>1/4</f>
        <v>0.25</v>
      </c>
    </row>
    <row r="128" spans="1:10" s="51" customFormat="1">
      <c r="A128" s="48" t="s">
        <v>500</v>
      </c>
      <c r="B128" s="48" t="s">
        <v>450</v>
      </c>
      <c r="C128" s="48" t="s">
        <v>451</v>
      </c>
      <c r="D128" s="49" t="s">
        <v>452</v>
      </c>
      <c r="E128" s="49" t="s">
        <v>453</v>
      </c>
      <c r="F128" s="49" t="s">
        <v>501</v>
      </c>
      <c r="G128" s="49" t="s">
        <v>502</v>
      </c>
      <c r="H128" s="49" t="s">
        <v>503</v>
      </c>
      <c r="I128" s="49" t="s">
        <v>504</v>
      </c>
      <c r="J128" s="50">
        <f>1/5</f>
        <v>0.2</v>
      </c>
    </row>
    <row r="129" spans="1:10">
      <c r="A129" s="41" t="s">
        <v>505</v>
      </c>
      <c r="B129" s="41" t="s">
        <v>450</v>
      </c>
      <c r="C129" s="41" t="s">
        <v>451</v>
      </c>
      <c r="D129" s="42" t="s">
        <v>452</v>
      </c>
      <c r="E129" s="42" t="s">
        <v>453</v>
      </c>
      <c r="F129" s="42" t="s">
        <v>501</v>
      </c>
      <c r="G129" s="42" t="s">
        <v>502</v>
      </c>
      <c r="H129" s="42" t="s">
        <v>506</v>
      </c>
      <c r="I129" s="42" t="s">
        <v>507</v>
      </c>
      <c r="J129" s="43">
        <f>1/5</f>
        <v>0.2</v>
      </c>
    </row>
    <row r="130" spans="1:10">
      <c r="A130" s="41" t="s">
        <v>508</v>
      </c>
      <c r="B130" s="41" t="s">
        <v>450</v>
      </c>
      <c r="C130" s="41" t="s">
        <v>451</v>
      </c>
      <c r="D130" s="42" t="s">
        <v>452</v>
      </c>
      <c r="E130" s="42" t="s">
        <v>453</v>
      </c>
      <c r="F130" s="42" t="s">
        <v>501</v>
      </c>
      <c r="G130" s="42" t="s">
        <v>502</v>
      </c>
      <c r="H130" s="42" t="s">
        <v>509</v>
      </c>
      <c r="I130" s="42" t="s">
        <v>510</v>
      </c>
      <c r="J130" s="43">
        <f>1/5</f>
        <v>0.2</v>
      </c>
    </row>
    <row r="131" spans="1:10">
      <c r="A131" s="41" t="s">
        <v>511</v>
      </c>
      <c r="B131" s="41" t="s">
        <v>450</v>
      </c>
      <c r="C131" s="41" t="s">
        <v>451</v>
      </c>
      <c r="D131" s="42" t="s">
        <v>452</v>
      </c>
      <c r="E131" s="42" t="s">
        <v>453</v>
      </c>
      <c r="F131" s="42" t="s">
        <v>501</v>
      </c>
      <c r="G131" s="42" t="s">
        <v>502</v>
      </c>
      <c r="H131" s="42" t="s">
        <v>512</v>
      </c>
      <c r="I131" s="42" t="s">
        <v>513</v>
      </c>
      <c r="J131" s="43">
        <f>1/5</f>
        <v>0.2</v>
      </c>
    </row>
    <row r="132" spans="1:10" s="47" customFormat="1">
      <c r="A132" s="44" t="s">
        <v>514</v>
      </c>
      <c r="B132" s="44" t="s">
        <v>450</v>
      </c>
      <c r="C132" s="44" t="s">
        <v>451</v>
      </c>
      <c r="D132" s="45" t="s">
        <v>452</v>
      </c>
      <c r="E132" s="45" t="s">
        <v>453</v>
      </c>
      <c r="F132" s="45" t="s">
        <v>501</v>
      </c>
      <c r="G132" s="45" t="s">
        <v>502</v>
      </c>
      <c r="H132" s="45" t="s">
        <v>515</v>
      </c>
      <c r="I132" s="45" t="s">
        <v>516</v>
      </c>
      <c r="J132" s="46">
        <f>1/5</f>
        <v>0.2</v>
      </c>
    </row>
    <row r="133" spans="1:10" s="51" customFormat="1">
      <c r="A133" s="48" t="s">
        <v>517</v>
      </c>
      <c r="B133" s="48" t="s">
        <v>450</v>
      </c>
      <c r="C133" s="48" t="s">
        <v>451</v>
      </c>
      <c r="D133" s="49" t="s">
        <v>452</v>
      </c>
      <c r="E133" s="49" t="s">
        <v>453</v>
      </c>
      <c r="F133" s="49" t="s">
        <v>518</v>
      </c>
      <c r="G133" s="49" t="s">
        <v>519</v>
      </c>
      <c r="H133" s="49" t="s">
        <v>520</v>
      </c>
      <c r="I133" s="49" t="s">
        <v>521</v>
      </c>
      <c r="J133" s="50">
        <f>1/2</f>
        <v>0.5</v>
      </c>
    </row>
    <row r="134" spans="1:10" s="47" customFormat="1">
      <c r="A134" s="44" t="s">
        <v>522</v>
      </c>
      <c r="B134" s="44" t="s">
        <v>450</v>
      </c>
      <c r="C134" s="44" t="s">
        <v>451</v>
      </c>
      <c r="D134" s="45" t="s">
        <v>452</v>
      </c>
      <c r="E134" s="45" t="s">
        <v>453</v>
      </c>
      <c r="F134" s="45" t="s">
        <v>518</v>
      </c>
      <c r="G134" s="45" t="s">
        <v>519</v>
      </c>
      <c r="H134" s="45" t="s">
        <v>523</v>
      </c>
      <c r="I134" s="45" t="s">
        <v>524</v>
      </c>
      <c r="J134" s="46">
        <f>1/2</f>
        <v>0.5</v>
      </c>
    </row>
    <row r="135" spans="1:10" s="51" customFormat="1">
      <c r="A135" s="48" t="s">
        <v>525</v>
      </c>
      <c r="B135" s="48" t="s">
        <v>450</v>
      </c>
      <c r="C135" s="48" t="s">
        <v>451</v>
      </c>
      <c r="D135" s="49" t="s">
        <v>452</v>
      </c>
      <c r="E135" s="49" t="s">
        <v>453</v>
      </c>
      <c r="F135" s="49" t="s">
        <v>526</v>
      </c>
      <c r="G135" s="49" t="s">
        <v>527</v>
      </c>
      <c r="H135" s="49" t="s">
        <v>528</v>
      </c>
      <c r="I135" s="49" t="s">
        <v>529</v>
      </c>
      <c r="J135" s="50">
        <f>1/5</f>
        <v>0.2</v>
      </c>
    </row>
    <row r="136" spans="1:10">
      <c r="A136" s="41" t="s">
        <v>530</v>
      </c>
      <c r="B136" s="41" t="s">
        <v>450</v>
      </c>
      <c r="C136" s="41" t="s">
        <v>451</v>
      </c>
      <c r="D136" s="42" t="s">
        <v>452</v>
      </c>
      <c r="E136" s="42" t="s">
        <v>453</v>
      </c>
      <c r="F136" s="42" t="s">
        <v>526</v>
      </c>
      <c r="G136" s="42" t="s">
        <v>527</v>
      </c>
      <c r="H136" s="42" t="s">
        <v>531</v>
      </c>
      <c r="I136" s="42" t="s">
        <v>532</v>
      </c>
      <c r="J136" s="43">
        <f>1/5</f>
        <v>0.2</v>
      </c>
    </row>
    <row r="137" spans="1:10">
      <c r="A137" s="41" t="s">
        <v>533</v>
      </c>
      <c r="B137" s="41" t="s">
        <v>450</v>
      </c>
      <c r="C137" s="41" t="s">
        <v>451</v>
      </c>
      <c r="D137" s="42" t="s">
        <v>452</v>
      </c>
      <c r="E137" s="42" t="s">
        <v>453</v>
      </c>
      <c r="F137" s="42" t="s">
        <v>526</v>
      </c>
      <c r="G137" s="42" t="s">
        <v>527</v>
      </c>
      <c r="H137" s="42" t="s">
        <v>534</v>
      </c>
      <c r="I137" s="42" t="s">
        <v>535</v>
      </c>
      <c r="J137" s="43">
        <f>1/5</f>
        <v>0.2</v>
      </c>
    </row>
    <row r="138" spans="1:10">
      <c r="A138" s="41" t="s">
        <v>536</v>
      </c>
      <c r="B138" s="41" t="s">
        <v>450</v>
      </c>
      <c r="C138" s="41" t="s">
        <v>451</v>
      </c>
      <c r="D138" s="42" t="s">
        <v>452</v>
      </c>
      <c r="E138" s="42" t="s">
        <v>453</v>
      </c>
      <c r="F138" s="42" t="s">
        <v>526</v>
      </c>
      <c r="G138" s="42" t="s">
        <v>527</v>
      </c>
      <c r="H138" s="42" t="s">
        <v>537</v>
      </c>
      <c r="I138" s="42" t="s">
        <v>538</v>
      </c>
      <c r="J138" s="43">
        <f>1/5</f>
        <v>0.2</v>
      </c>
    </row>
    <row r="139" spans="1:10" s="47" customFormat="1">
      <c r="A139" s="44" t="s">
        <v>539</v>
      </c>
      <c r="B139" s="44" t="s">
        <v>450</v>
      </c>
      <c r="C139" s="44" t="s">
        <v>451</v>
      </c>
      <c r="D139" s="45" t="s">
        <v>452</v>
      </c>
      <c r="E139" s="45" t="s">
        <v>453</v>
      </c>
      <c r="F139" s="45" t="s">
        <v>526</v>
      </c>
      <c r="G139" s="45" t="s">
        <v>527</v>
      </c>
      <c r="H139" s="45" t="s">
        <v>540</v>
      </c>
      <c r="I139" s="45" t="s">
        <v>541</v>
      </c>
      <c r="J139" s="46">
        <f>1/5</f>
        <v>0.2</v>
      </c>
    </row>
    <row r="140" spans="1:10" s="51" customFormat="1">
      <c r="A140" s="48" t="s">
        <v>542</v>
      </c>
      <c r="B140" s="48" t="s">
        <v>450</v>
      </c>
      <c r="C140" s="48" t="s">
        <v>451</v>
      </c>
      <c r="D140" s="49" t="s">
        <v>543</v>
      </c>
      <c r="E140" s="49" t="s">
        <v>544</v>
      </c>
      <c r="F140" s="49" t="s">
        <v>545</v>
      </c>
      <c r="G140" s="49" t="s">
        <v>546</v>
      </c>
      <c r="H140" s="49" t="s">
        <v>547</v>
      </c>
      <c r="I140" s="49" t="s">
        <v>548</v>
      </c>
      <c r="J140" s="50">
        <f t="shared" ref="J140:J151" si="7">1/3</f>
        <v>0.33333333333333331</v>
      </c>
    </row>
    <row r="141" spans="1:10">
      <c r="A141" s="41" t="s">
        <v>549</v>
      </c>
      <c r="B141" s="41" t="s">
        <v>450</v>
      </c>
      <c r="C141" s="41" t="s">
        <v>451</v>
      </c>
      <c r="D141" s="42" t="s">
        <v>543</v>
      </c>
      <c r="E141" s="42" t="s">
        <v>544</v>
      </c>
      <c r="F141" s="42" t="s">
        <v>545</v>
      </c>
      <c r="G141" s="42" t="s">
        <v>546</v>
      </c>
      <c r="H141" s="42" t="s">
        <v>550</v>
      </c>
      <c r="I141" s="42" t="s">
        <v>551</v>
      </c>
      <c r="J141" s="43">
        <f t="shared" si="7"/>
        <v>0.33333333333333331</v>
      </c>
    </row>
    <row r="142" spans="1:10" s="47" customFormat="1">
      <c r="A142" s="44" t="s">
        <v>552</v>
      </c>
      <c r="B142" s="44" t="s">
        <v>450</v>
      </c>
      <c r="C142" s="44" t="s">
        <v>451</v>
      </c>
      <c r="D142" s="45" t="s">
        <v>543</v>
      </c>
      <c r="E142" s="45" t="s">
        <v>544</v>
      </c>
      <c r="F142" s="45" t="s">
        <v>545</v>
      </c>
      <c r="G142" s="45" t="s">
        <v>546</v>
      </c>
      <c r="H142" s="45" t="s">
        <v>553</v>
      </c>
      <c r="I142" s="45" t="s">
        <v>554</v>
      </c>
      <c r="J142" s="46">
        <f t="shared" si="7"/>
        <v>0.33333333333333331</v>
      </c>
    </row>
    <row r="143" spans="1:10" s="51" customFormat="1">
      <c r="A143" s="48" t="s">
        <v>555</v>
      </c>
      <c r="B143" s="48" t="s">
        <v>450</v>
      </c>
      <c r="C143" s="48" t="s">
        <v>451</v>
      </c>
      <c r="D143" s="49" t="s">
        <v>543</v>
      </c>
      <c r="E143" s="49" t="s">
        <v>544</v>
      </c>
      <c r="F143" s="49" t="s">
        <v>556</v>
      </c>
      <c r="G143" s="49" t="s">
        <v>557</v>
      </c>
      <c r="H143" s="49" t="s">
        <v>558</v>
      </c>
      <c r="I143" s="49" t="s">
        <v>559</v>
      </c>
      <c r="J143" s="50">
        <f t="shared" si="7"/>
        <v>0.33333333333333331</v>
      </c>
    </row>
    <row r="144" spans="1:10">
      <c r="A144" s="41" t="s">
        <v>560</v>
      </c>
      <c r="B144" s="41" t="s">
        <v>450</v>
      </c>
      <c r="C144" s="41" t="s">
        <v>451</v>
      </c>
      <c r="D144" s="42" t="s">
        <v>543</v>
      </c>
      <c r="E144" s="42" t="s">
        <v>544</v>
      </c>
      <c r="F144" s="42" t="s">
        <v>556</v>
      </c>
      <c r="G144" s="42" t="s">
        <v>557</v>
      </c>
      <c r="H144" s="42" t="s">
        <v>561</v>
      </c>
      <c r="I144" s="42" t="s">
        <v>562</v>
      </c>
      <c r="J144" s="43">
        <f t="shared" si="7"/>
        <v>0.33333333333333331</v>
      </c>
    </row>
    <row r="145" spans="1:10" s="47" customFormat="1">
      <c r="A145" s="44" t="s">
        <v>563</v>
      </c>
      <c r="B145" s="44" t="s">
        <v>450</v>
      </c>
      <c r="C145" s="44" t="s">
        <v>451</v>
      </c>
      <c r="D145" s="45" t="s">
        <v>543</v>
      </c>
      <c r="E145" s="45" t="s">
        <v>544</v>
      </c>
      <c r="F145" s="45" t="s">
        <v>556</v>
      </c>
      <c r="G145" s="45" t="s">
        <v>557</v>
      </c>
      <c r="H145" s="45" t="s">
        <v>564</v>
      </c>
      <c r="I145" s="45" t="s">
        <v>565</v>
      </c>
      <c r="J145" s="46">
        <f t="shared" si="7"/>
        <v>0.33333333333333331</v>
      </c>
    </row>
    <row r="146" spans="1:10" s="51" customFormat="1">
      <c r="A146" s="48" t="s">
        <v>566</v>
      </c>
      <c r="B146" s="48" t="s">
        <v>450</v>
      </c>
      <c r="C146" s="48" t="s">
        <v>451</v>
      </c>
      <c r="D146" s="49" t="s">
        <v>543</v>
      </c>
      <c r="E146" s="49" t="s">
        <v>544</v>
      </c>
      <c r="F146" s="49" t="s">
        <v>567</v>
      </c>
      <c r="G146" s="49" t="s">
        <v>568</v>
      </c>
      <c r="H146" s="49" t="s">
        <v>569</v>
      </c>
      <c r="I146" s="49" t="s">
        <v>570</v>
      </c>
      <c r="J146" s="50">
        <f t="shared" si="7"/>
        <v>0.33333333333333331</v>
      </c>
    </row>
    <row r="147" spans="1:10">
      <c r="A147" s="41" t="s">
        <v>571</v>
      </c>
      <c r="B147" s="41" t="s">
        <v>450</v>
      </c>
      <c r="C147" s="41" t="s">
        <v>451</v>
      </c>
      <c r="D147" s="42" t="s">
        <v>543</v>
      </c>
      <c r="E147" s="42" t="s">
        <v>544</v>
      </c>
      <c r="F147" s="42" t="s">
        <v>567</v>
      </c>
      <c r="G147" s="42" t="s">
        <v>568</v>
      </c>
      <c r="H147" s="42" t="s">
        <v>572</v>
      </c>
      <c r="I147" s="42" t="s">
        <v>573</v>
      </c>
      <c r="J147" s="43">
        <f t="shared" si="7"/>
        <v>0.33333333333333331</v>
      </c>
    </row>
    <row r="148" spans="1:10" s="47" customFormat="1">
      <c r="A148" s="44" t="s">
        <v>574</v>
      </c>
      <c r="B148" s="44" t="s">
        <v>450</v>
      </c>
      <c r="C148" s="44" t="s">
        <v>451</v>
      </c>
      <c r="D148" s="45" t="s">
        <v>543</v>
      </c>
      <c r="E148" s="45" t="s">
        <v>544</v>
      </c>
      <c r="F148" s="45" t="s">
        <v>567</v>
      </c>
      <c r="G148" s="45" t="s">
        <v>568</v>
      </c>
      <c r="H148" s="45" t="s">
        <v>575</v>
      </c>
      <c r="I148" s="45" t="s">
        <v>576</v>
      </c>
      <c r="J148" s="46">
        <f t="shared" si="7"/>
        <v>0.33333333333333331</v>
      </c>
    </row>
    <row r="149" spans="1:10" s="51" customFormat="1">
      <c r="A149" s="48" t="s">
        <v>577</v>
      </c>
      <c r="B149" s="48" t="s">
        <v>450</v>
      </c>
      <c r="C149" s="48" t="s">
        <v>451</v>
      </c>
      <c r="D149" s="49" t="s">
        <v>543</v>
      </c>
      <c r="E149" s="49" t="s">
        <v>544</v>
      </c>
      <c r="F149" s="49" t="s">
        <v>578</v>
      </c>
      <c r="G149" s="49" t="s">
        <v>579</v>
      </c>
      <c r="H149" s="49" t="s">
        <v>580</v>
      </c>
      <c r="I149" s="49" t="s">
        <v>581</v>
      </c>
      <c r="J149" s="50">
        <f t="shared" si="7"/>
        <v>0.33333333333333331</v>
      </c>
    </row>
    <row r="150" spans="1:10">
      <c r="A150" s="41" t="s">
        <v>582</v>
      </c>
      <c r="B150" s="41" t="s">
        <v>450</v>
      </c>
      <c r="C150" s="41" t="s">
        <v>451</v>
      </c>
      <c r="D150" s="42" t="s">
        <v>543</v>
      </c>
      <c r="E150" s="42" t="s">
        <v>544</v>
      </c>
      <c r="F150" s="42" t="s">
        <v>578</v>
      </c>
      <c r="G150" s="42" t="s">
        <v>579</v>
      </c>
      <c r="H150" s="42" t="s">
        <v>583</v>
      </c>
      <c r="I150" s="42" t="s">
        <v>584</v>
      </c>
      <c r="J150" s="43">
        <f t="shared" si="7"/>
        <v>0.33333333333333331</v>
      </c>
    </row>
    <row r="151" spans="1:10" s="47" customFormat="1">
      <c r="A151" s="44" t="s">
        <v>585</v>
      </c>
      <c r="B151" s="44" t="s">
        <v>450</v>
      </c>
      <c r="C151" s="44" t="s">
        <v>451</v>
      </c>
      <c r="D151" s="45" t="s">
        <v>543</v>
      </c>
      <c r="E151" s="45" t="s">
        <v>544</v>
      </c>
      <c r="F151" s="45" t="s">
        <v>578</v>
      </c>
      <c r="G151" s="45" t="s">
        <v>579</v>
      </c>
      <c r="H151" s="45" t="s">
        <v>586</v>
      </c>
      <c r="I151" s="45" t="s">
        <v>587</v>
      </c>
      <c r="J151" s="46">
        <f t="shared" si="7"/>
        <v>0.33333333333333331</v>
      </c>
    </row>
    <row r="152" spans="1:10" s="51" customFormat="1">
      <c r="A152" s="48" t="s">
        <v>588</v>
      </c>
      <c r="B152" s="48" t="s">
        <v>450</v>
      </c>
      <c r="C152" s="48" t="s">
        <v>451</v>
      </c>
      <c r="D152" s="49" t="s">
        <v>543</v>
      </c>
      <c r="E152" s="49" t="s">
        <v>544</v>
      </c>
      <c r="F152" s="49" t="s">
        <v>589</v>
      </c>
      <c r="G152" s="49" t="s">
        <v>590</v>
      </c>
      <c r="H152" s="49" t="s">
        <v>591</v>
      </c>
      <c r="I152" s="49" t="s">
        <v>592</v>
      </c>
      <c r="J152" s="50">
        <f>1/2</f>
        <v>0.5</v>
      </c>
    </row>
    <row r="153" spans="1:10" s="47" customFormat="1">
      <c r="A153" s="44" t="s">
        <v>593</v>
      </c>
      <c r="B153" s="44" t="s">
        <v>450</v>
      </c>
      <c r="C153" s="44" t="s">
        <v>451</v>
      </c>
      <c r="D153" s="45" t="s">
        <v>543</v>
      </c>
      <c r="E153" s="45" t="s">
        <v>544</v>
      </c>
      <c r="F153" s="45" t="s">
        <v>589</v>
      </c>
      <c r="G153" s="45" t="s">
        <v>590</v>
      </c>
      <c r="H153" s="45" t="s">
        <v>594</v>
      </c>
      <c r="I153" s="45" t="s">
        <v>595</v>
      </c>
      <c r="J153" s="46">
        <f>1/2</f>
        <v>0.5</v>
      </c>
    </row>
    <row r="154" spans="1:10" s="51" customFormat="1">
      <c r="A154" s="48" t="s">
        <v>596</v>
      </c>
      <c r="B154" s="48" t="s">
        <v>450</v>
      </c>
      <c r="C154" s="48" t="s">
        <v>451</v>
      </c>
      <c r="D154" s="49" t="s">
        <v>597</v>
      </c>
      <c r="E154" s="49" t="s">
        <v>598</v>
      </c>
      <c r="F154" s="49" t="s">
        <v>599</v>
      </c>
      <c r="G154" s="49" t="s">
        <v>600</v>
      </c>
      <c r="H154" s="49" t="s">
        <v>601</v>
      </c>
      <c r="I154" s="49" t="s">
        <v>602</v>
      </c>
      <c r="J154" s="50">
        <f t="shared" ref="J154:J159" si="8">1/6</f>
        <v>0.16666666666666666</v>
      </c>
    </row>
    <row r="155" spans="1:10">
      <c r="A155" s="41" t="s">
        <v>603</v>
      </c>
      <c r="B155" s="41" t="s">
        <v>450</v>
      </c>
      <c r="C155" s="41" t="s">
        <v>451</v>
      </c>
      <c r="D155" s="42" t="s">
        <v>597</v>
      </c>
      <c r="E155" s="42" t="s">
        <v>598</v>
      </c>
      <c r="F155" s="42" t="s">
        <v>599</v>
      </c>
      <c r="G155" s="42" t="s">
        <v>600</v>
      </c>
      <c r="H155" s="42" t="s">
        <v>604</v>
      </c>
      <c r="I155" s="42" t="s">
        <v>605</v>
      </c>
      <c r="J155" s="43">
        <f t="shared" si="8"/>
        <v>0.16666666666666666</v>
      </c>
    </row>
    <row r="156" spans="1:10">
      <c r="A156" s="41" t="s">
        <v>606</v>
      </c>
      <c r="B156" s="41" t="s">
        <v>450</v>
      </c>
      <c r="C156" s="41" t="s">
        <v>451</v>
      </c>
      <c r="D156" s="42" t="s">
        <v>597</v>
      </c>
      <c r="E156" s="42" t="s">
        <v>598</v>
      </c>
      <c r="F156" s="42" t="s">
        <v>599</v>
      </c>
      <c r="G156" s="42" t="s">
        <v>600</v>
      </c>
      <c r="H156" s="42" t="s">
        <v>607</v>
      </c>
      <c r="I156" s="42" t="s">
        <v>608</v>
      </c>
      <c r="J156" s="43">
        <f t="shared" si="8"/>
        <v>0.16666666666666666</v>
      </c>
    </row>
    <row r="157" spans="1:10">
      <c r="A157" s="41" t="s">
        <v>609</v>
      </c>
      <c r="B157" s="41" t="s">
        <v>450</v>
      </c>
      <c r="C157" s="41" t="s">
        <v>451</v>
      </c>
      <c r="D157" s="42" t="s">
        <v>597</v>
      </c>
      <c r="E157" s="42" t="s">
        <v>598</v>
      </c>
      <c r="F157" s="42" t="s">
        <v>599</v>
      </c>
      <c r="G157" s="42" t="s">
        <v>600</v>
      </c>
      <c r="H157" s="42" t="s">
        <v>610</v>
      </c>
      <c r="I157" s="42" t="s">
        <v>611</v>
      </c>
      <c r="J157" s="43">
        <f t="shared" si="8"/>
        <v>0.16666666666666666</v>
      </c>
    </row>
    <row r="158" spans="1:10">
      <c r="A158" s="41" t="s">
        <v>612</v>
      </c>
      <c r="B158" s="41" t="s">
        <v>450</v>
      </c>
      <c r="C158" s="41" t="s">
        <v>451</v>
      </c>
      <c r="D158" s="42" t="s">
        <v>597</v>
      </c>
      <c r="E158" s="42" t="s">
        <v>598</v>
      </c>
      <c r="F158" s="42" t="s">
        <v>599</v>
      </c>
      <c r="G158" s="42" t="s">
        <v>600</v>
      </c>
      <c r="H158" s="42" t="s">
        <v>613</v>
      </c>
      <c r="I158" s="42" t="s">
        <v>614</v>
      </c>
      <c r="J158" s="43">
        <f t="shared" si="8"/>
        <v>0.16666666666666666</v>
      </c>
    </row>
    <row r="159" spans="1:10" s="47" customFormat="1">
      <c r="A159" s="44" t="s">
        <v>615</v>
      </c>
      <c r="B159" s="44" t="s">
        <v>450</v>
      </c>
      <c r="C159" s="44" t="s">
        <v>451</v>
      </c>
      <c r="D159" s="45" t="s">
        <v>597</v>
      </c>
      <c r="E159" s="45" t="s">
        <v>598</v>
      </c>
      <c r="F159" s="45" t="s">
        <v>599</v>
      </c>
      <c r="G159" s="45" t="s">
        <v>600</v>
      </c>
      <c r="H159" s="45" t="s">
        <v>616</v>
      </c>
      <c r="I159" s="45" t="s">
        <v>617</v>
      </c>
      <c r="J159" s="46">
        <f t="shared" si="8"/>
        <v>0.16666666666666666</v>
      </c>
    </row>
    <row r="160" spans="1:10" s="51" customFormat="1">
      <c r="A160" s="48" t="s">
        <v>618</v>
      </c>
      <c r="B160" s="48" t="s">
        <v>450</v>
      </c>
      <c r="C160" s="48" t="s">
        <v>451</v>
      </c>
      <c r="D160" s="49" t="s">
        <v>597</v>
      </c>
      <c r="E160" s="49" t="s">
        <v>598</v>
      </c>
      <c r="F160" s="49" t="s">
        <v>619</v>
      </c>
      <c r="G160" s="49" t="s">
        <v>620</v>
      </c>
      <c r="H160" s="49" t="s">
        <v>621</v>
      </c>
      <c r="I160" s="49" t="s">
        <v>622</v>
      </c>
      <c r="J160" s="50">
        <f>1/4</f>
        <v>0.25</v>
      </c>
    </row>
    <row r="161" spans="1:10">
      <c r="A161" s="41" t="s">
        <v>623</v>
      </c>
      <c r="B161" s="41" t="s">
        <v>450</v>
      </c>
      <c r="C161" s="41" t="s">
        <v>451</v>
      </c>
      <c r="D161" s="42" t="s">
        <v>597</v>
      </c>
      <c r="E161" s="42" t="s">
        <v>598</v>
      </c>
      <c r="F161" s="42" t="s">
        <v>619</v>
      </c>
      <c r="G161" s="42" t="s">
        <v>620</v>
      </c>
      <c r="H161" s="42" t="s">
        <v>624</v>
      </c>
      <c r="I161" s="42" t="s">
        <v>625</v>
      </c>
      <c r="J161" s="43">
        <f>1/4</f>
        <v>0.25</v>
      </c>
    </row>
    <row r="162" spans="1:10">
      <c r="A162" s="41" t="s">
        <v>626</v>
      </c>
      <c r="B162" s="41" t="s">
        <v>450</v>
      </c>
      <c r="C162" s="41" t="s">
        <v>451</v>
      </c>
      <c r="D162" s="42" t="s">
        <v>597</v>
      </c>
      <c r="E162" s="42" t="s">
        <v>598</v>
      </c>
      <c r="F162" s="42" t="s">
        <v>619</v>
      </c>
      <c r="G162" s="42" t="s">
        <v>620</v>
      </c>
      <c r="H162" s="42" t="s">
        <v>627</v>
      </c>
      <c r="I162" s="42" t="s">
        <v>628</v>
      </c>
      <c r="J162" s="43">
        <f>1/4</f>
        <v>0.25</v>
      </c>
    </row>
    <row r="163" spans="1:10" s="47" customFormat="1">
      <c r="A163" s="44" t="s">
        <v>629</v>
      </c>
      <c r="B163" s="44" t="s">
        <v>450</v>
      </c>
      <c r="C163" s="44" t="s">
        <v>451</v>
      </c>
      <c r="D163" s="45" t="s">
        <v>597</v>
      </c>
      <c r="E163" s="45" t="s">
        <v>598</v>
      </c>
      <c r="F163" s="45" t="s">
        <v>619</v>
      </c>
      <c r="G163" s="45" t="s">
        <v>620</v>
      </c>
      <c r="H163" s="45" t="s">
        <v>630</v>
      </c>
      <c r="I163" s="45" t="s">
        <v>631</v>
      </c>
      <c r="J163" s="46">
        <f>1/4</f>
        <v>0.25</v>
      </c>
    </row>
    <row r="164" spans="1:10" s="55" customFormat="1">
      <c r="A164" s="52" t="s">
        <v>632</v>
      </c>
      <c r="B164" s="52" t="s">
        <v>450</v>
      </c>
      <c r="C164" s="52" t="s">
        <v>451</v>
      </c>
      <c r="D164" s="53" t="s">
        <v>597</v>
      </c>
      <c r="E164" s="53" t="s">
        <v>598</v>
      </c>
      <c r="F164" s="53" t="s">
        <v>633</v>
      </c>
      <c r="G164" s="53" t="s">
        <v>634</v>
      </c>
      <c r="H164" s="53" t="s">
        <v>635</v>
      </c>
      <c r="I164" s="53" t="s">
        <v>636</v>
      </c>
      <c r="J164" s="54">
        <v>1</v>
      </c>
    </row>
    <row r="165" spans="1:10" s="51" customFormat="1">
      <c r="A165" s="48" t="s">
        <v>637</v>
      </c>
      <c r="B165" s="48" t="s">
        <v>450</v>
      </c>
      <c r="C165" s="48" t="s">
        <v>451</v>
      </c>
      <c r="D165" s="49" t="s">
        <v>597</v>
      </c>
      <c r="E165" s="49" t="s">
        <v>598</v>
      </c>
      <c r="F165" s="49" t="s">
        <v>638</v>
      </c>
      <c r="G165" s="49" t="s">
        <v>639</v>
      </c>
      <c r="H165" s="49" t="s">
        <v>640</v>
      </c>
      <c r="I165" s="49" t="s">
        <v>641</v>
      </c>
      <c r="J165" s="50">
        <v>1</v>
      </c>
    </row>
    <row r="166" spans="1:10" s="51" customFormat="1">
      <c r="A166" s="57" t="s">
        <v>642</v>
      </c>
      <c r="B166" s="48" t="s">
        <v>450</v>
      </c>
      <c r="C166" s="48" t="s">
        <v>451</v>
      </c>
      <c r="D166" s="49" t="s">
        <v>597</v>
      </c>
      <c r="E166" s="49" t="s">
        <v>598</v>
      </c>
      <c r="F166" s="49" t="s">
        <v>643</v>
      </c>
      <c r="G166" s="49" t="s">
        <v>644</v>
      </c>
      <c r="H166" s="49" t="s">
        <v>645</v>
      </c>
      <c r="I166" s="49" t="s">
        <v>646</v>
      </c>
      <c r="J166" s="50">
        <f>1/4</f>
        <v>0.25</v>
      </c>
    </row>
    <row r="167" spans="1:10">
      <c r="A167" s="48" t="s">
        <v>647</v>
      </c>
      <c r="B167" s="41" t="s">
        <v>450</v>
      </c>
      <c r="C167" s="41" t="s">
        <v>451</v>
      </c>
      <c r="D167" s="42" t="s">
        <v>597</v>
      </c>
      <c r="E167" s="42" t="s">
        <v>598</v>
      </c>
      <c r="F167" s="42" t="s">
        <v>643</v>
      </c>
      <c r="G167" s="42" t="s">
        <v>644</v>
      </c>
      <c r="H167" s="42" t="s">
        <v>648</v>
      </c>
      <c r="I167" s="42" t="s">
        <v>649</v>
      </c>
      <c r="J167" s="43">
        <f>1/4</f>
        <v>0.25</v>
      </c>
    </row>
    <row r="168" spans="1:10">
      <c r="A168" s="41" t="s">
        <v>650</v>
      </c>
      <c r="B168" s="41" t="s">
        <v>450</v>
      </c>
      <c r="C168" s="41" t="s">
        <v>451</v>
      </c>
      <c r="D168" s="42" t="s">
        <v>597</v>
      </c>
      <c r="E168" s="42" t="s">
        <v>598</v>
      </c>
      <c r="F168" s="42" t="s">
        <v>643</v>
      </c>
      <c r="G168" s="42" t="s">
        <v>644</v>
      </c>
      <c r="H168" s="42" t="s">
        <v>651</v>
      </c>
      <c r="I168" s="42" t="s">
        <v>652</v>
      </c>
      <c r="J168" s="43">
        <f>1/4</f>
        <v>0.25</v>
      </c>
    </row>
    <row r="169" spans="1:10" s="47" customFormat="1">
      <c r="A169" s="41" t="s">
        <v>653</v>
      </c>
      <c r="B169" s="44" t="s">
        <v>450</v>
      </c>
      <c r="C169" s="44" t="s">
        <v>451</v>
      </c>
      <c r="D169" s="45" t="s">
        <v>597</v>
      </c>
      <c r="E169" s="45" t="s">
        <v>598</v>
      </c>
      <c r="F169" s="45" t="s">
        <v>643</v>
      </c>
      <c r="G169" s="45" t="s">
        <v>644</v>
      </c>
      <c r="H169" s="45" t="s">
        <v>654</v>
      </c>
      <c r="I169" s="45" t="s">
        <v>655</v>
      </c>
      <c r="J169" s="46">
        <f>1/4</f>
        <v>0.25</v>
      </c>
    </row>
    <row r="170" spans="1:10" s="51" customFormat="1">
      <c r="A170" s="44" t="s">
        <v>656</v>
      </c>
      <c r="B170" s="48" t="s">
        <v>450</v>
      </c>
      <c r="C170" s="48" t="s">
        <v>451</v>
      </c>
      <c r="D170" s="49" t="s">
        <v>597</v>
      </c>
      <c r="E170" s="49" t="s">
        <v>598</v>
      </c>
      <c r="F170" s="49" t="s">
        <v>657</v>
      </c>
      <c r="G170" s="49" t="s">
        <v>658</v>
      </c>
      <c r="H170" s="49" t="s">
        <v>659</v>
      </c>
      <c r="I170" s="49" t="s">
        <v>660</v>
      </c>
      <c r="J170" s="50">
        <f>1/3</f>
        <v>0.33333333333333331</v>
      </c>
    </row>
    <row r="171" spans="1:10">
      <c r="A171" s="52" t="s">
        <v>661</v>
      </c>
      <c r="B171" s="41" t="s">
        <v>450</v>
      </c>
      <c r="C171" s="41" t="s">
        <v>451</v>
      </c>
      <c r="D171" s="42" t="s">
        <v>597</v>
      </c>
      <c r="E171" s="42" t="s">
        <v>598</v>
      </c>
      <c r="F171" s="42" t="s">
        <v>657</v>
      </c>
      <c r="G171" s="42" t="s">
        <v>658</v>
      </c>
      <c r="H171" s="42" t="s">
        <v>662</v>
      </c>
      <c r="I171" s="42" t="s">
        <v>663</v>
      </c>
      <c r="J171" s="43">
        <f>1/3</f>
        <v>0.33333333333333331</v>
      </c>
    </row>
    <row r="172" spans="1:10" s="47" customFormat="1">
      <c r="A172" s="48" t="s">
        <v>664</v>
      </c>
      <c r="B172" s="44" t="s">
        <v>450</v>
      </c>
      <c r="C172" s="44" t="s">
        <v>451</v>
      </c>
      <c r="D172" s="45" t="s">
        <v>597</v>
      </c>
      <c r="E172" s="45" t="s">
        <v>598</v>
      </c>
      <c r="F172" s="45" t="s">
        <v>657</v>
      </c>
      <c r="G172" s="45" t="s">
        <v>658</v>
      </c>
      <c r="H172" s="45" t="s">
        <v>665</v>
      </c>
      <c r="I172" s="45" t="s">
        <v>666</v>
      </c>
      <c r="J172" s="46">
        <f>1/3</f>
        <v>0.33333333333333331</v>
      </c>
    </row>
    <row r="173" spans="1:10" s="51" customFormat="1">
      <c r="A173" s="57" t="s">
        <v>667</v>
      </c>
      <c r="B173" s="48" t="s">
        <v>450</v>
      </c>
      <c r="C173" s="48" t="s">
        <v>451</v>
      </c>
      <c r="D173" s="49" t="s">
        <v>597</v>
      </c>
      <c r="E173" s="49" t="s">
        <v>598</v>
      </c>
      <c r="F173" s="49" t="s">
        <v>668</v>
      </c>
      <c r="G173" s="49" t="s">
        <v>669</v>
      </c>
      <c r="H173" s="49" t="s">
        <v>670</v>
      </c>
      <c r="I173" s="49" t="s">
        <v>671</v>
      </c>
      <c r="J173" s="50">
        <f>1/4</f>
        <v>0.25</v>
      </c>
    </row>
    <row r="174" spans="1:10">
      <c r="A174" s="48" t="s">
        <v>672</v>
      </c>
      <c r="B174" s="41" t="s">
        <v>450</v>
      </c>
      <c r="C174" s="41" t="s">
        <v>451</v>
      </c>
      <c r="D174" s="42" t="s">
        <v>597</v>
      </c>
      <c r="E174" s="42" t="s">
        <v>598</v>
      </c>
      <c r="F174" s="42" t="s">
        <v>668</v>
      </c>
      <c r="G174" s="42" t="s">
        <v>669</v>
      </c>
      <c r="H174" s="42" t="s">
        <v>673</v>
      </c>
      <c r="I174" s="42" t="s">
        <v>674</v>
      </c>
      <c r="J174" s="43">
        <f>1/4</f>
        <v>0.25</v>
      </c>
    </row>
    <row r="175" spans="1:10">
      <c r="A175" s="41" t="s">
        <v>675</v>
      </c>
      <c r="B175" s="41" t="s">
        <v>450</v>
      </c>
      <c r="C175" s="41" t="s">
        <v>451</v>
      </c>
      <c r="D175" s="42" t="s">
        <v>597</v>
      </c>
      <c r="E175" s="42" t="s">
        <v>598</v>
      </c>
      <c r="F175" s="42" t="s">
        <v>668</v>
      </c>
      <c r="G175" s="42" t="s">
        <v>669</v>
      </c>
      <c r="H175" s="42" t="s">
        <v>676</v>
      </c>
      <c r="I175" s="42" t="s">
        <v>677</v>
      </c>
      <c r="J175" s="43">
        <f>1/4</f>
        <v>0.25</v>
      </c>
    </row>
    <row r="176" spans="1:10" s="47" customFormat="1">
      <c r="A176" s="41" t="s">
        <v>678</v>
      </c>
      <c r="B176" s="44" t="s">
        <v>450</v>
      </c>
      <c r="C176" s="44" t="s">
        <v>451</v>
      </c>
      <c r="D176" s="45" t="s">
        <v>597</v>
      </c>
      <c r="E176" s="45" t="s">
        <v>598</v>
      </c>
      <c r="F176" s="45" t="s">
        <v>668</v>
      </c>
      <c r="G176" s="45" t="s">
        <v>669</v>
      </c>
      <c r="H176" s="45" t="s">
        <v>679</v>
      </c>
      <c r="I176" s="45" t="s">
        <v>680</v>
      </c>
      <c r="J176" s="46">
        <f>1/4</f>
        <v>0.25</v>
      </c>
    </row>
    <row r="177" spans="1:10" s="51" customFormat="1">
      <c r="A177" s="44" t="s">
        <v>681</v>
      </c>
      <c r="B177" s="48" t="s">
        <v>450</v>
      </c>
      <c r="C177" s="48" t="s">
        <v>451</v>
      </c>
      <c r="D177" s="49" t="s">
        <v>682</v>
      </c>
      <c r="E177" s="49" t="s">
        <v>683</v>
      </c>
      <c r="F177" s="49" t="s">
        <v>684</v>
      </c>
      <c r="G177" s="49" t="s">
        <v>685</v>
      </c>
      <c r="H177" s="49" t="s">
        <v>686</v>
      </c>
      <c r="I177" s="49" t="s">
        <v>687</v>
      </c>
      <c r="J177" s="50">
        <f>1/2</f>
        <v>0.5</v>
      </c>
    </row>
    <row r="178" spans="1:10" s="47" customFormat="1">
      <c r="A178" s="52" t="s">
        <v>688</v>
      </c>
      <c r="B178" s="44" t="s">
        <v>450</v>
      </c>
      <c r="C178" s="44" t="s">
        <v>451</v>
      </c>
      <c r="D178" s="45" t="s">
        <v>682</v>
      </c>
      <c r="E178" s="45" t="s">
        <v>683</v>
      </c>
      <c r="F178" s="45" t="s">
        <v>684</v>
      </c>
      <c r="G178" s="45" t="s">
        <v>685</v>
      </c>
      <c r="H178" s="45" t="s">
        <v>689</v>
      </c>
      <c r="I178" s="45" t="s">
        <v>690</v>
      </c>
      <c r="J178" s="46">
        <f>1/2</f>
        <v>0.5</v>
      </c>
    </row>
    <row r="179" spans="1:10" s="55" customFormat="1">
      <c r="A179" s="48" t="s">
        <v>691</v>
      </c>
      <c r="B179" s="52" t="s">
        <v>450</v>
      </c>
      <c r="C179" s="52" t="s">
        <v>451</v>
      </c>
      <c r="D179" s="53" t="s">
        <v>682</v>
      </c>
      <c r="E179" s="53" t="s">
        <v>683</v>
      </c>
      <c r="F179" s="53" t="s">
        <v>692</v>
      </c>
      <c r="G179" s="53" t="s">
        <v>693</v>
      </c>
      <c r="H179" s="53" t="s">
        <v>694</v>
      </c>
      <c r="I179" s="53" t="s">
        <v>695</v>
      </c>
      <c r="J179" s="54">
        <v>1</v>
      </c>
    </row>
    <row r="180" spans="1:10" s="55" customFormat="1">
      <c r="A180" s="57" t="s">
        <v>696</v>
      </c>
      <c r="B180" s="52" t="s">
        <v>450</v>
      </c>
      <c r="C180" s="52" t="s">
        <v>451</v>
      </c>
      <c r="D180" s="53" t="s">
        <v>682</v>
      </c>
      <c r="E180" s="53" t="s">
        <v>683</v>
      </c>
      <c r="F180" s="53" t="s">
        <v>697</v>
      </c>
      <c r="G180" s="53" t="s">
        <v>698</v>
      </c>
      <c r="H180" s="53" t="s">
        <v>699</v>
      </c>
      <c r="I180" s="53" t="s">
        <v>700</v>
      </c>
      <c r="J180" s="54">
        <v>1</v>
      </c>
    </row>
    <row r="181" spans="1:10" s="51" customFormat="1">
      <c r="A181" s="48" t="s">
        <v>701</v>
      </c>
      <c r="B181" s="48" t="s">
        <v>450</v>
      </c>
      <c r="C181" s="48" t="s">
        <v>451</v>
      </c>
      <c r="D181" s="49" t="s">
        <v>682</v>
      </c>
      <c r="E181" s="49" t="s">
        <v>683</v>
      </c>
      <c r="F181" s="49" t="s">
        <v>702</v>
      </c>
      <c r="G181" s="49" t="s">
        <v>703</v>
      </c>
      <c r="H181" s="49" t="s">
        <v>704</v>
      </c>
      <c r="I181" s="49" t="s">
        <v>705</v>
      </c>
      <c r="J181" s="50">
        <f>1/3</f>
        <v>0.33333333333333331</v>
      </c>
    </row>
    <row r="182" spans="1:10">
      <c r="A182" s="41" t="s">
        <v>706</v>
      </c>
      <c r="B182" s="41" t="s">
        <v>450</v>
      </c>
      <c r="C182" s="41" t="s">
        <v>451</v>
      </c>
      <c r="D182" s="42" t="s">
        <v>682</v>
      </c>
      <c r="E182" s="42" t="s">
        <v>683</v>
      </c>
      <c r="F182" s="42" t="s">
        <v>702</v>
      </c>
      <c r="G182" s="42" t="s">
        <v>703</v>
      </c>
      <c r="H182" s="42" t="s">
        <v>707</v>
      </c>
      <c r="I182" s="42" t="s">
        <v>708</v>
      </c>
      <c r="J182" s="43">
        <f>1/3</f>
        <v>0.33333333333333331</v>
      </c>
    </row>
    <row r="183" spans="1:10" s="47" customFormat="1">
      <c r="A183" s="41" t="s">
        <v>709</v>
      </c>
      <c r="B183" s="44" t="s">
        <v>450</v>
      </c>
      <c r="C183" s="44" t="s">
        <v>451</v>
      </c>
      <c r="D183" s="45" t="s">
        <v>682</v>
      </c>
      <c r="E183" s="45" t="s">
        <v>683</v>
      </c>
      <c r="F183" s="45" t="s">
        <v>702</v>
      </c>
      <c r="G183" s="45" t="s">
        <v>703</v>
      </c>
      <c r="H183" s="45" t="s">
        <v>710</v>
      </c>
      <c r="I183" s="45" t="s">
        <v>711</v>
      </c>
      <c r="J183" s="46">
        <f>1/3</f>
        <v>0.33333333333333331</v>
      </c>
    </row>
    <row r="184" spans="1:10" s="51" customFormat="1">
      <c r="A184" s="44" t="s">
        <v>712</v>
      </c>
      <c r="B184" s="48" t="s">
        <v>450</v>
      </c>
      <c r="C184" s="48" t="s">
        <v>451</v>
      </c>
      <c r="D184" s="49" t="s">
        <v>682</v>
      </c>
      <c r="E184" s="49" t="s">
        <v>683</v>
      </c>
      <c r="F184" s="49" t="s">
        <v>713</v>
      </c>
      <c r="G184" s="49" t="s">
        <v>714</v>
      </c>
      <c r="H184" s="49" t="s">
        <v>715</v>
      </c>
      <c r="I184" s="49" t="s">
        <v>716</v>
      </c>
      <c r="J184" s="50">
        <f>1/2</f>
        <v>0.5</v>
      </c>
    </row>
    <row r="185" spans="1:10" s="47" customFormat="1">
      <c r="A185" s="52" t="s">
        <v>717</v>
      </c>
      <c r="B185" s="44" t="s">
        <v>450</v>
      </c>
      <c r="C185" s="44" t="s">
        <v>451</v>
      </c>
      <c r="D185" s="45" t="s">
        <v>682</v>
      </c>
      <c r="E185" s="45" t="s">
        <v>718</v>
      </c>
      <c r="F185" s="45" t="s">
        <v>713</v>
      </c>
      <c r="G185" s="45" t="s">
        <v>714</v>
      </c>
      <c r="H185" s="45" t="s">
        <v>719</v>
      </c>
      <c r="I185" s="45" t="s">
        <v>720</v>
      </c>
      <c r="J185" s="46">
        <f>1/2</f>
        <v>0.5</v>
      </c>
    </row>
    <row r="186" spans="1:10" s="55" customFormat="1">
      <c r="A186" s="48" t="s">
        <v>721</v>
      </c>
      <c r="B186" s="52" t="s">
        <v>450</v>
      </c>
      <c r="C186" s="52" t="s">
        <v>451</v>
      </c>
      <c r="D186" s="53" t="s">
        <v>722</v>
      </c>
      <c r="E186" s="53" t="s">
        <v>723</v>
      </c>
      <c r="F186" s="53" t="s">
        <v>724</v>
      </c>
      <c r="G186" s="53" t="s">
        <v>725</v>
      </c>
      <c r="H186" s="53" t="s">
        <v>726</v>
      </c>
      <c r="I186" s="53" t="s">
        <v>727</v>
      </c>
      <c r="J186" s="54">
        <v>1</v>
      </c>
    </row>
    <row r="187" spans="1:10" s="55" customFormat="1">
      <c r="A187" s="57" t="s">
        <v>728</v>
      </c>
      <c r="B187" s="52" t="s">
        <v>450</v>
      </c>
      <c r="C187" s="52" t="s">
        <v>451</v>
      </c>
      <c r="D187" s="53" t="s">
        <v>722</v>
      </c>
      <c r="E187" s="53" t="s">
        <v>723</v>
      </c>
      <c r="F187" s="53" t="s">
        <v>729</v>
      </c>
      <c r="G187" s="53" t="s">
        <v>730</v>
      </c>
      <c r="H187" s="53" t="s">
        <v>731</v>
      </c>
      <c r="I187" s="53" t="s">
        <v>732</v>
      </c>
      <c r="J187" s="54">
        <v>1</v>
      </c>
    </row>
    <row r="188" spans="1:10" s="51" customFormat="1">
      <c r="A188" s="48" t="s">
        <v>733</v>
      </c>
      <c r="B188" s="48" t="s">
        <v>734</v>
      </c>
      <c r="C188" s="48" t="s">
        <v>735</v>
      </c>
      <c r="D188" s="49" t="s">
        <v>736</v>
      </c>
      <c r="E188" s="49" t="s">
        <v>737</v>
      </c>
      <c r="F188" s="49" t="s">
        <v>738</v>
      </c>
      <c r="G188" s="49" t="s">
        <v>739</v>
      </c>
      <c r="H188" s="49" t="s">
        <v>740</v>
      </c>
      <c r="I188" s="49" t="s">
        <v>741</v>
      </c>
      <c r="J188" s="50">
        <f>1/5</f>
        <v>0.2</v>
      </c>
    </row>
    <row r="189" spans="1:10">
      <c r="A189" s="41" t="s">
        <v>742</v>
      </c>
      <c r="B189" s="41" t="s">
        <v>734</v>
      </c>
      <c r="C189" s="41" t="s">
        <v>735</v>
      </c>
      <c r="D189" s="42" t="s">
        <v>736</v>
      </c>
      <c r="E189" s="42" t="s">
        <v>737</v>
      </c>
      <c r="F189" s="42" t="s">
        <v>738</v>
      </c>
      <c r="G189" s="42" t="s">
        <v>739</v>
      </c>
      <c r="H189" s="42" t="s">
        <v>743</v>
      </c>
      <c r="I189" s="42" t="s">
        <v>744</v>
      </c>
      <c r="J189" s="43">
        <f>1/5</f>
        <v>0.2</v>
      </c>
    </row>
    <row r="190" spans="1:10">
      <c r="A190" s="41" t="s">
        <v>745</v>
      </c>
      <c r="B190" s="41" t="s">
        <v>734</v>
      </c>
      <c r="C190" s="41" t="s">
        <v>735</v>
      </c>
      <c r="D190" s="42" t="s">
        <v>736</v>
      </c>
      <c r="E190" s="42" t="s">
        <v>737</v>
      </c>
      <c r="F190" s="42" t="s">
        <v>738</v>
      </c>
      <c r="G190" s="42" t="s">
        <v>739</v>
      </c>
      <c r="H190" s="42" t="s">
        <v>746</v>
      </c>
      <c r="I190" s="42" t="s">
        <v>747</v>
      </c>
      <c r="J190" s="43">
        <f>1/5</f>
        <v>0.2</v>
      </c>
    </row>
    <row r="191" spans="1:10">
      <c r="A191" s="44" t="s">
        <v>748</v>
      </c>
      <c r="B191" s="41" t="s">
        <v>734</v>
      </c>
      <c r="C191" s="41" t="s">
        <v>735</v>
      </c>
      <c r="D191" s="42" t="s">
        <v>736</v>
      </c>
      <c r="E191" s="42" t="s">
        <v>737</v>
      </c>
      <c r="F191" s="42" t="s">
        <v>738</v>
      </c>
      <c r="G191" s="42" t="s">
        <v>739</v>
      </c>
      <c r="H191" s="42" t="s">
        <v>749</v>
      </c>
      <c r="I191" s="42" t="s">
        <v>750</v>
      </c>
      <c r="J191" s="43">
        <f>1/5</f>
        <v>0.2</v>
      </c>
    </row>
    <row r="192" spans="1:10" s="47" customFormat="1">
      <c r="A192" s="52" t="s">
        <v>751</v>
      </c>
      <c r="B192" s="44" t="s">
        <v>734</v>
      </c>
      <c r="C192" s="44" t="s">
        <v>735</v>
      </c>
      <c r="D192" s="45" t="s">
        <v>736</v>
      </c>
      <c r="E192" s="45" t="s">
        <v>737</v>
      </c>
      <c r="F192" s="45" t="s">
        <v>738</v>
      </c>
      <c r="G192" s="45" t="s">
        <v>739</v>
      </c>
      <c r="H192" s="45" t="s">
        <v>752</v>
      </c>
      <c r="I192" s="45" t="s">
        <v>753</v>
      </c>
      <c r="J192" s="46">
        <f>1/5</f>
        <v>0.2</v>
      </c>
    </row>
    <row r="193" spans="1:10">
      <c r="A193" s="48" t="s">
        <v>754</v>
      </c>
      <c r="B193" s="41" t="s">
        <v>734</v>
      </c>
      <c r="C193" s="41" t="s">
        <v>735</v>
      </c>
      <c r="D193" s="42" t="s">
        <v>736</v>
      </c>
      <c r="E193" s="42" t="s">
        <v>737</v>
      </c>
      <c r="F193" s="42" t="s">
        <v>755</v>
      </c>
      <c r="G193" s="42" t="s">
        <v>756</v>
      </c>
      <c r="H193" s="42" t="s">
        <v>757</v>
      </c>
      <c r="I193" s="42" t="s">
        <v>758</v>
      </c>
      <c r="J193" s="43">
        <f>1/3</f>
        <v>0.33333333333333331</v>
      </c>
    </row>
    <row r="194" spans="1:10">
      <c r="A194" s="57" t="s">
        <v>759</v>
      </c>
      <c r="B194" s="41" t="s">
        <v>734</v>
      </c>
      <c r="C194" s="41" t="s">
        <v>735</v>
      </c>
      <c r="D194" s="42" t="s">
        <v>736</v>
      </c>
      <c r="E194" s="42" t="s">
        <v>737</v>
      </c>
      <c r="F194" s="42" t="s">
        <v>755</v>
      </c>
      <c r="G194" s="42" t="s">
        <v>756</v>
      </c>
      <c r="H194" s="42" t="s">
        <v>760</v>
      </c>
      <c r="I194" s="42" t="s">
        <v>761</v>
      </c>
      <c r="J194" s="43">
        <f>J193</f>
        <v>0.33333333333333331</v>
      </c>
    </row>
    <row r="195" spans="1:10" s="47" customFormat="1">
      <c r="A195" s="48" t="s">
        <v>762</v>
      </c>
      <c r="B195" s="44" t="s">
        <v>734</v>
      </c>
      <c r="C195" s="44" t="s">
        <v>735</v>
      </c>
      <c r="D195" s="45" t="s">
        <v>736</v>
      </c>
      <c r="E195" s="45" t="s">
        <v>737</v>
      </c>
      <c r="F195" s="45" t="s">
        <v>755</v>
      </c>
      <c r="G195" s="45" t="s">
        <v>756</v>
      </c>
      <c r="H195" s="45" t="s">
        <v>763</v>
      </c>
      <c r="I195" s="45" t="s">
        <v>764</v>
      </c>
      <c r="J195" s="46">
        <f>J194</f>
        <v>0.33333333333333331</v>
      </c>
    </row>
    <row r="196" spans="1:10" s="51" customFormat="1">
      <c r="A196" s="41" t="s">
        <v>765</v>
      </c>
      <c r="B196" s="48" t="s">
        <v>734</v>
      </c>
      <c r="C196" s="48" t="s">
        <v>735</v>
      </c>
      <c r="D196" s="49" t="s">
        <v>736</v>
      </c>
      <c r="E196" s="49" t="s">
        <v>737</v>
      </c>
      <c r="F196" s="49" t="s">
        <v>766</v>
      </c>
      <c r="G196" s="49" t="s">
        <v>767</v>
      </c>
      <c r="H196" s="49" t="s">
        <v>768</v>
      </c>
      <c r="I196" s="49" t="s">
        <v>769</v>
      </c>
      <c r="J196" s="50">
        <f t="shared" ref="J196:J201" si="9">1/6</f>
        <v>0.16666666666666666</v>
      </c>
    </row>
    <row r="197" spans="1:10">
      <c r="A197" s="41" t="s">
        <v>770</v>
      </c>
      <c r="B197" s="41" t="s">
        <v>734</v>
      </c>
      <c r="C197" s="41" t="s">
        <v>735</v>
      </c>
      <c r="D197" s="42" t="s">
        <v>736</v>
      </c>
      <c r="E197" s="42" t="s">
        <v>737</v>
      </c>
      <c r="F197" s="42" t="s">
        <v>766</v>
      </c>
      <c r="G197" s="42" t="s">
        <v>767</v>
      </c>
      <c r="H197" s="42" t="s">
        <v>771</v>
      </c>
      <c r="I197" s="42" t="s">
        <v>772</v>
      </c>
      <c r="J197" s="43">
        <f t="shared" si="9"/>
        <v>0.16666666666666666</v>
      </c>
    </row>
    <row r="198" spans="1:10">
      <c r="A198" s="44" t="s">
        <v>773</v>
      </c>
      <c r="B198" s="41" t="s">
        <v>734</v>
      </c>
      <c r="C198" s="41" t="s">
        <v>735</v>
      </c>
      <c r="D198" s="42" t="s">
        <v>736</v>
      </c>
      <c r="E198" s="42" t="s">
        <v>737</v>
      </c>
      <c r="F198" s="42" t="s">
        <v>766</v>
      </c>
      <c r="G198" s="42" t="s">
        <v>767</v>
      </c>
      <c r="H198" s="42" t="s">
        <v>774</v>
      </c>
      <c r="I198" s="42" t="s">
        <v>775</v>
      </c>
      <c r="J198" s="43">
        <f t="shared" si="9"/>
        <v>0.16666666666666666</v>
      </c>
    </row>
    <row r="199" spans="1:10">
      <c r="A199" s="52" t="s">
        <v>776</v>
      </c>
      <c r="B199" s="41" t="s">
        <v>734</v>
      </c>
      <c r="C199" s="41" t="s">
        <v>735</v>
      </c>
      <c r="D199" s="42" t="s">
        <v>736</v>
      </c>
      <c r="E199" s="42" t="s">
        <v>737</v>
      </c>
      <c r="F199" s="42" t="s">
        <v>766</v>
      </c>
      <c r="G199" s="42" t="s">
        <v>767</v>
      </c>
      <c r="H199" s="42" t="s">
        <v>777</v>
      </c>
      <c r="I199" s="42" t="s">
        <v>778</v>
      </c>
      <c r="J199" s="43">
        <f t="shared" si="9"/>
        <v>0.16666666666666666</v>
      </c>
    </row>
    <row r="200" spans="1:10">
      <c r="A200" s="48" t="s">
        <v>779</v>
      </c>
      <c r="B200" s="41" t="s">
        <v>734</v>
      </c>
      <c r="C200" s="41" t="s">
        <v>735</v>
      </c>
      <c r="D200" s="42" t="s">
        <v>736</v>
      </c>
      <c r="E200" s="42" t="s">
        <v>737</v>
      </c>
      <c r="F200" s="42" t="s">
        <v>766</v>
      </c>
      <c r="G200" s="42" t="s">
        <v>767</v>
      </c>
      <c r="H200" s="42" t="s">
        <v>780</v>
      </c>
      <c r="I200" s="42" t="s">
        <v>781</v>
      </c>
      <c r="J200" s="43">
        <f t="shared" si="9"/>
        <v>0.16666666666666666</v>
      </c>
    </row>
    <row r="201" spans="1:10" s="47" customFormat="1">
      <c r="A201" s="57" t="s">
        <v>782</v>
      </c>
      <c r="B201" s="44" t="s">
        <v>734</v>
      </c>
      <c r="C201" s="44" t="s">
        <v>735</v>
      </c>
      <c r="D201" s="45" t="s">
        <v>736</v>
      </c>
      <c r="E201" s="45" t="s">
        <v>737</v>
      </c>
      <c r="F201" s="45" t="s">
        <v>766</v>
      </c>
      <c r="G201" s="45" t="s">
        <v>767</v>
      </c>
      <c r="H201" s="45" t="s">
        <v>783</v>
      </c>
      <c r="I201" s="45" t="s">
        <v>784</v>
      </c>
      <c r="J201" s="46">
        <f t="shared" si="9"/>
        <v>0.16666666666666666</v>
      </c>
    </row>
    <row r="202" spans="1:10" s="51" customFormat="1">
      <c r="A202" s="48" t="s">
        <v>785</v>
      </c>
      <c r="B202" s="48" t="s">
        <v>734</v>
      </c>
      <c r="C202" s="48" t="s">
        <v>735</v>
      </c>
      <c r="D202" s="49" t="s">
        <v>736</v>
      </c>
      <c r="E202" s="49" t="s">
        <v>737</v>
      </c>
      <c r="F202" s="49" t="s">
        <v>786</v>
      </c>
      <c r="G202" s="49" t="s">
        <v>787</v>
      </c>
      <c r="H202" s="49" t="s">
        <v>788</v>
      </c>
      <c r="I202" s="49" t="s">
        <v>789</v>
      </c>
      <c r="J202" s="50">
        <f t="shared" ref="J202:J207" si="10">1/2</f>
        <v>0.5</v>
      </c>
    </row>
    <row r="203" spans="1:10" s="47" customFormat="1">
      <c r="A203" s="41" t="s">
        <v>790</v>
      </c>
      <c r="B203" s="44" t="s">
        <v>734</v>
      </c>
      <c r="C203" s="44" t="s">
        <v>735</v>
      </c>
      <c r="D203" s="45" t="s">
        <v>736</v>
      </c>
      <c r="E203" s="45" t="s">
        <v>737</v>
      </c>
      <c r="F203" s="45" t="s">
        <v>786</v>
      </c>
      <c r="G203" s="45" t="s">
        <v>787</v>
      </c>
      <c r="H203" s="45" t="s">
        <v>791</v>
      </c>
      <c r="I203" s="45" t="s">
        <v>792</v>
      </c>
      <c r="J203" s="46">
        <f t="shared" si="10"/>
        <v>0.5</v>
      </c>
    </row>
    <row r="204" spans="1:10" s="51" customFormat="1">
      <c r="A204" s="41" t="s">
        <v>793</v>
      </c>
      <c r="B204" s="48" t="s">
        <v>734</v>
      </c>
      <c r="C204" s="48" t="s">
        <v>735</v>
      </c>
      <c r="D204" s="49" t="s">
        <v>794</v>
      </c>
      <c r="E204" s="49" t="s">
        <v>795</v>
      </c>
      <c r="F204" s="49" t="s">
        <v>796</v>
      </c>
      <c r="G204" s="49" t="s">
        <v>797</v>
      </c>
      <c r="H204" s="49" t="s">
        <v>798</v>
      </c>
      <c r="I204" s="49" t="s">
        <v>799</v>
      </c>
      <c r="J204" s="50">
        <f t="shared" si="10"/>
        <v>0.5</v>
      </c>
    </row>
    <row r="205" spans="1:10" s="47" customFormat="1">
      <c r="A205" s="44" t="s">
        <v>800</v>
      </c>
      <c r="B205" s="44" t="s">
        <v>734</v>
      </c>
      <c r="C205" s="44" t="s">
        <v>735</v>
      </c>
      <c r="D205" s="45" t="s">
        <v>794</v>
      </c>
      <c r="E205" s="45" t="s">
        <v>795</v>
      </c>
      <c r="F205" s="45" t="s">
        <v>796</v>
      </c>
      <c r="G205" s="45" t="s">
        <v>797</v>
      </c>
      <c r="H205" s="45" t="s">
        <v>801</v>
      </c>
      <c r="I205" s="45" t="s">
        <v>802</v>
      </c>
      <c r="J205" s="46">
        <f t="shared" si="10"/>
        <v>0.5</v>
      </c>
    </row>
    <row r="206" spans="1:10" s="51" customFormat="1">
      <c r="A206" s="52" t="s">
        <v>803</v>
      </c>
      <c r="B206" s="48" t="s">
        <v>734</v>
      </c>
      <c r="C206" s="48" t="s">
        <v>735</v>
      </c>
      <c r="D206" s="49" t="s">
        <v>794</v>
      </c>
      <c r="E206" s="49" t="s">
        <v>795</v>
      </c>
      <c r="F206" s="49" t="s">
        <v>804</v>
      </c>
      <c r="G206" s="49" t="s">
        <v>805</v>
      </c>
      <c r="H206" s="49" t="s">
        <v>806</v>
      </c>
      <c r="I206" s="49" t="s">
        <v>807</v>
      </c>
      <c r="J206" s="50">
        <f t="shared" si="10"/>
        <v>0.5</v>
      </c>
    </row>
    <row r="207" spans="1:10" s="47" customFormat="1">
      <c r="A207" s="48" t="s">
        <v>808</v>
      </c>
      <c r="B207" s="44" t="s">
        <v>734</v>
      </c>
      <c r="C207" s="44" t="s">
        <v>735</v>
      </c>
      <c r="D207" s="45" t="s">
        <v>794</v>
      </c>
      <c r="E207" s="45" t="s">
        <v>795</v>
      </c>
      <c r="F207" s="45" t="s">
        <v>804</v>
      </c>
      <c r="G207" s="45" t="s">
        <v>805</v>
      </c>
      <c r="H207" s="45" t="s">
        <v>809</v>
      </c>
      <c r="I207" s="45" t="s">
        <v>810</v>
      </c>
      <c r="J207" s="46">
        <f t="shared" si="10"/>
        <v>0.5</v>
      </c>
    </row>
    <row r="208" spans="1:10" s="51" customFormat="1">
      <c r="A208" s="57" t="s">
        <v>811</v>
      </c>
      <c r="B208" s="48" t="s">
        <v>734</v>
      </c>
      <c r="C208" s="48" t="s">
        <v>735</v>
      </c>
      <c r="D208" s="49" t="s">
        <v>794</v>
      </c>
      <c r="E208" s="49" t="s">
        <v>795</v>
      </c>
      <c r="F208" s="49" t="s">
        <v>812</v>
      </c>
      <c r="G208" s="49" t="s">
        <v>813</v>
      </c>
      <c r="H208" s="49" t="s">
        <v>814</v>
      </c>
      <c r="I208" s="49" t="s">
        <v>815</v>
      </c>
      <c r="J208" s="50">
        <f>1/3</f>
        <v>0.33333333333333331</v>
      </c>
    </row>
    <row r="209" spans="1:10">
      <c r="A209" s="48" t="s">
        <v>816</v>
      </c>
      <c r="B209" s="41" t="s">
        <v>734</v>
      </c>
      <c r="C209" s="41" t="s">
        <v>735</v>
      </c>
      <c r="D209" s="42" t="s">
        <v>794</v>
      </c>
      <c r="E209" s="42" t="s">
        <v>795</v>
      </c>
      <c r="F209" s="42" t="s">
        <v>812</v>
      </c>
      <c r="G209" s="42" t="s">
        <v>813</v>
      </c>
      <c r="H209" s="42" t="s">
        <v>817</v>
      </c>
      <c r="I209" s="42" t="s">
        <v>818</v>
      </c>
      <c r="J209" s="43">
        <f>1/3</f>
        <v>0.33333333333333331</v>
      </c>
    </row>
    <row r="210" spans="1:10" s="47" customFormat="1">
      <c r="A210" s="41" t="s">
        <v>819</v>
      </c>
      <c r="B210" s="44" t="s">
        <v>734</v>
      </c>
      <c r="C210" s="44" t="s">
        <v>735</v>
      </c>
      <c r="D210" s="45" t="s">
        <v>794</v>
      </c>
      <c r="E210" s="45" t="s">
        <v>795</v>
      </c>
      <c r="F210" s="45" t="s">
        <v>812</v>
      </c>
      <c r="G210" s="45" t="s">
        <v>813</v>
      </c>
      <c r="H210" s="45" t="s">
        <v>820</v>
      </c>
      <c r="I210" s="45" t="s">
        <v>821</v>
      </c>
      <c r="J210" s="46">
        <f>1/3</f>
        <v>0.33333333333333331</v>
      </c>
    </row>
    <row r="211" spans="1:10" s="55" customFormat="1">
      <c r="A211" s="41" t="s">
        <v>822</v>
      </c>
      <c r="B211" s="52" t="s">
        <v>734</v>
      </c>
      <c r="C211" s="52" t="s">
        <v>735</v>
      </c>
      <c r="D211" s="53" t="s">
        <v>794</v>
      </c>
      <c r="E211" s="53" t="s">
        <v>795</v>
      </c>
      <c r="F211" s="53" t="s">
        <v>823</v>
      </c>
      <c r="G211" s="53" t="s">
        <v>824</v>
      </c>
      <c r="H211" s="53" t="s">
        <v>825</v>
      </c>
      <c r="I211" s="53" t="s">
        <v>826</v>
      </c>
      <c r="J211" s="54">
        <v>1</v>
      </c>
    </row>
    <row r="212" spans="1:10" s="51" customFormat="1">
      <c r="A212" s="44" t="s">
        <v>827</v>
      </c>
      <c r="B212" s="48" t="s">
        <v>734</v>
      </c>
      <c r="C212" s="48" t="s">
        <v>735</v>
      </c>
      <c r="D212" s="49" t="s">
        <v>794</v>
      </c>
      <c r="E212" s="49" t="s">
        <v>795</v>
      </c>
      <c r="F212" s="49" t="s">
        <v>828</v>
      </c>
      <c r="G212" s="49" t="s">
        <v>829</v>
      </c>
      <c r="H212" s="49" t="s">
        <v>830</v>
      </c>
      <c r="I212" s="49" t="s">
        <v>831</v>
      </c>
      <c r="J212" s="50">
        <f>1/3</f>
        <v>0.33333333333333331</v>
      </c>
    </row>
    <row r="213" spans="1:10">
      <c r="A213" s="52" t="s">
        <v>832</v>
      </c>
      <c r="B213" s="41" t="s">
        <v>734</v>
      </c>
      <c r="C213" s="41" t="s">
        <v>735</v>
      </c>
      <c r="D213" s="42" t="s">
        <v>794</v>
      </c>
      <c r="E213" s="42" t="s">
        <v>795</v>
      </c>
      <c r="F213" s="42" t="s">
        <v>828</v>
      </c>
      <c r="G213" s="42" t="s">
        <v>829</v>
      </c>
      <c r="H213" s="42" t="s">
        <v>833</v>
      </c>
      <c r="I213" s="42" t="s">
        <v>834</v>
      </c>
      <c r="J213" s="43">
        <f>1/3</f>
        <v>0.33333333333333331</v>
      </c>
    </row>
    <row r="214" spans="1:10" s="47" customFormat="1">
      <c r="A214" s="48" t="s">
        <v>835</v>
      </c>
      <c r="B214" s="44" t="s">
        <v>734</v>
      </c>
      <c r="C214" s="44" t="s">
        <v>735</v>
      </c>
      <c r="D214" s="45" t="s">
        <v>794</v>
      </c>
      <c r="E214" s="45" t="s">
        <v>795</v>
      </c>
      <c r="F214" s="45" t="s">
        <v>828</v>
      </c>
      <c r="G214" s="45" t="s">
        <v>829</v>
      </c>
      <c r="H214" s="45" t="s">
        <v>836</v>
      </c>
      <c r="I214" s="45" t="s">
        <v>837</v>
      </c>
      <c r="J214" s="46">
        <f>1/3</f>
        <v>0.33333333333333331</v>
      </c>
    </row>
    <row r="215" spans="1:10" s="51" customFormat="1">
      <c r="A215" s="57" t="s">
        <v>838</v>
      </c>
      <c r="B215" s="48" t="s">
        <v>839</v>
      </c>
      <c r="C215" s="48" t="s">
        <v>840</v>
      </c>
      <c r="D215" s="49" t="s">
        <v>841</v>
      </c>
      <c r="E215" s="49" t="s">
        <v>842</v>
      </c>
      <c r="F215" s="49" t="s">
        <v>843</v>
      </c>
      <c r="G215" s="49" t="s">
        <v>844</v>
      </c>
      <c r="H215" s="49" t="s">
        <v>845</v>
      </c>
      <c r="I215" s="49" t="s">
        <v>846</v>
      </c>
      <c r="J215" s="50">
        <f t="shared" ref="J215:J220" si="11">1/2</f>
        <v>0.5</v>
      </c>
    </row>
    <row r="216" spans="1:10" s="47" customFormat="1">
      <c r="A216" s="48" t="s">
        <v>847</v>
      </c>
      <c r="B216" s="44" t="s">
        <v>839</v>
      </c>
      <c r="C216" s="44" t="s">
        <v>840</v>
      </c>
      <c r="D216" s="45" t="s">
        <v>841</v>
      </c>
      <c r="E216" s="45" t="s">
        <v>842</v>
      </c>
      <c r="F216" s="45" t="s">
        <v>843</v>
      </c>
      <c r="G216" s="45" t="s">
        <v>844</v>
      </c>
      <c r="H216" s="45" t="s">
        <v>848</v>
      </c>
      <c r="I216" s="45" t="s">
        <v>849</v>
      </c>
      <c r="J216" s="46">
        <f t="shared" si="11"/>
        <v>0.5</v>
      </c>
    </row>
    <row r="217" spans="1:10" s="51" customFormat="1">
      <c r="A217" s="41" t="s">
        <v>850</v>
      </c>
      <c r="B217" s="48" t="s">
        <v>839</v>
      </c>
      <c r="C217" s="48" t="s">
        <v>840</v>
      </c>
      <c r="D217" s="49" t="s">
        <v>841</v>
      </c>
      <c r="E217" s="49" t="s">
        <v>842</v>
      </c>
      <c r="F217" s="49" t="s">
        <v>851</v>
      </c>
      <c r="G217" s="49" t="s">
        <v>852</v>
      </c>
      <c r="H217" s="49" t="s">
        <v>853</v>
      </c>
      <c r="I217" s="49" t="s">
        <v>854</v>
      </c>
      <c r="J217" s="50">
        <f t="shared" si="11"/>
        <v>0.5</v>
      </c>
    </row>
    <row r="218" spans="1:10" s="47" customFormat="1">
      <c r="A218" s="41" t="s">
        <v>855</v>
      </c>
      <c r="B218" s="44" t="s">
        <v>839</v>
      </c>
      <c r="C218" s="44" t="s">
        <v>840</v>
      </c>
      <c r="D218" s="45" t="s">
        <v>841</v>
      </c>
      <c r="E218" s="45" t="s">
        <v>842</v>
      </c>
      <c r="F218" s="45" t="s">
        <v>851</v>
      </c>
      <c r="G218" s="45" t="s">
        <v>852</v>
      </c>
      <c r="H218" s="45" t="s">
        <v>856</v>
      </c>
      <c r="I218" s="45" t="s">
        <v>857</v>
      </c>
      <c r="J218" s="46">
        <f t="shared" si="11"/>
        <v>0.5</v>
      </c>
    </row>
    <row r="219" spans="1:10" s="51" customFormat="1">
      <c r="A219" s="44" t="s">
        <v>858</v>
      </c>
      <c r="B219" s="48" t="s">
        <v>839</v>
      </c>
      <c r="C219" s="48" t="s">
        <v>840</v>
      </c>
      <c r="D219" s="49" t="s">
        <v>841</v>
      </c>
      <c r="E219" s="49" t="s">
        <v>842</v>
      </c>
      <c r="F219" s="49" t="s">
        <v>859</v>
      </c>
      <c r="G219" s="49" t="s">
        <v>860</v>
      </c>
      <c r="H219" s="49" t="s">
        <v>861</v>
      </c>
      <c r="I219" s="49" t="s">
        <v>862</v>
      </c>
      <c r="J219" s="50">
        <f t="shared" si="11"/>
        <v>0.5</v>
      </c>
    </row>
    <row r="220" spans="1:10" s="47" customFormat="1">
      <c r="A220" s="52" t="s">
        <v>863</v>
      </c>
      <c r="B220" s="44" t="s">
        <v>839</v>
      </c>
      <c r="C220" s="44" t="s">
        <v>840</v>
      </c>
      <c r="D220" s="45" t="s">
        <v>841</v>
      </c>
      <c r="E220" s="45" t="s">
        <v>842</v>
      </c>
      <c r="F220" s="45" t="s">
        <v>859</v>
      </c>
      <c r="G220" s="45" t="s">
        <v>860</v>
      </c>
      <c r="H220" s="45" t="s">
        <v>864</v>
      </c>
      <c r="I220" s="45" t="s">
        <v>865</v>
      </c>
      <c r="J220" s="46">
        <f t="shared" si="11"/>
        <v>0.5</v>
      </c>
    </row>
  </sheetData>
  <phoneticPr fontId="8" type="noConversion"/>
  <pageMargins left="0.75" right="0.75" top="1" bottom="1" header="0.511811023622047" footer="0.511811023622047"/>
  <pageSetup paperSize="9" orientation="portrait" horizontalDpi="300" verticalDpi="300"/>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539B"/>
  </sheetPr>
  <dimension ref="A1:N220"/>
  <sheetViews>
    <sheetView zoomScaleNormal="100" workbookViewId="0">
      <pane ySplit="1" topLeftCell="A210" activePane="bottomLeft" state="frozen"/>
      <selection pane="bottomLeft" activeCell="G219" sqref="G219:G220"/>
    </sheetView>
  </sheetViews>
  <sheetFormatPr defaultColWidth="8.85546875" defaultRowHeight="14.45"/>
  <cols>
    <col min="1" max="1" width="9.7109375" style="11" customWidth="1"/>
    <col min="2" max="2" width="12.28515625" style="11" customWidth="1"/>
    <col min="3" max="3" width="8.5703125" style="11" customWidth="1"/>
    <col min="4" max="4" width="22" style="10" customWidth="1"/>
    <col min="5" max="5" width="10.5703125" style="11" customWidth="1"/>
    <col min="6" max="6" width="11" style="11" customWidth="1"/>
    <col min="7" max="7" width="55" customWidth="1"/>
    <col min="8" max="8" width="61.140625" style="9" customWidth="1"/>
    <col min="9" max="9" width="40" style="6" customWidth="1"/>
    <col min="10" max="10" width="11" hidden="1" customWidth="1"/>
    <col min="11" max="12" width="9" hidden="1" customWidth="1"/>
    <col min="13" max="13" width="23.28515625" customWidth="1"/>
    <col min="14" max="14" width="17.28515625" bestFit="1" customWidth="1"/>
  </cols>
  <sheetData>
    <row r="1" spans="1:13" ht="45" customHeight="1">
      <c r="A1" s="5" t="s">
        <v>866</v>
      </c>
      <c r="B1" s="5" t="s">
        <v>867</v>
      </c>
      <c r="C1" s="5" t="s">
        <v>1</v>
      </c>
      <c r="D1" s="1" t="s">
        <v>868</v>
      </c>
      <c r="E1" s="5" t="s">
        <v>3</v>
      </c>
      <c r="F1" s="5" t="s">
        <v>5</v>
      </c>
      <c r="G1" s="1" t="s">
        <v>869</v>
      </c>
      <c r="H1" s="5" t="s">
        <v>870</v>
      </c>
      <c r="I1" s="5" t="s">
        <v>871</v>
      </c>
      <c r="J1" s="1" t="s">
        <v>872</v>
      </c>
      <c r="K1" s="1" t="s">
        <v>873</v>
      </c>
      <c r="L1" s="1" t="s">
        <v>874</v>
      </c>
    </row>
    <row r="2" spans="1:13" ht="76.900000000000006" customHeight="1">
      <c r="A2" s="13" t="s">
        <v>875</v>
      </c>
      <c r="B2" s="22" t="s">
        <v>10</v>
      </c>
      <c r="C2" s="21" t="s">
        <v>11</v>
      </c>
      <c r="D2" s="15" t="s">
        <v>876</v>
      </c>
      <c r="E2" s="12">
        <v>1</v>
      </c>
      <c r="F2" s="13" t="s">
        <v>877</v>
      </c>
      <c r="G2" s="2" t="s">
        <v>878</v>
      </c>
      <c r="H2" s="18" t="s">
        <v>879</v>
      </c>
      <c r="I2" s="25" t="s">
        <v>880</v>
      </c>
      <c r="J2" s="3" t="s">
        <v>881</v>
      </c>
      <c r="K2" s="4">
        <f>COUNTIFS(Relacion_Doc_Criterio!$A:$A,A2,Relacion_Doc_Criterio!$D:$D,"&lt;&gt;")</f>
        <v>1</v>
      </c>
      <c r="L2" s="4" t="e">
        <f>COUNTIFS(Relacion_Doc_Criterio!$A:$A,A2,Relacion_Doc_Criterio!$D:$D,"&lt;&gt;",Relacion_Doc_Criterio!#REF!,"Principal")</f>
        <v>#REF!</v>
      </c>
      <c r="M2" s="10"/>
    </row>
    <row r="3" spans="1:13" ht="92.45" customHeight="1">
      <c r="A3" s="13" t="s">
        <v>882</v>
      </c>
      <c r="B3" s="22" t="s">
        <v>19</v>
      </c>
      <c r="C3" s="12" t="s">
        <v>11</v>
      </c>
      <c r="D3" s="16" t="s">
        <v>876</v>
      </c>
      <c r="E3" s="12">
        <v>1</v>
      </c>
      <c r="F3" s="13" t="s">
        <v>877</v>
      </c>
      <c r="G3" s="2" t="s">
        <v>883</v>
      </c>
      <c r="H3" s="18" t="s">
        <v>884</v>
      </c>
      <c r="I3" s="25" t="s">
        <v>880</v>
      </c>
      <c r="J3" s="3" t="s">
        <v>881</v>
      </c>
      <c r="K3" s="4">
        <f>COUNTIFS(Relacion_Doc_Criterio!$A:$A,A3,Relacion_Doc_Criterio!$D:$D,"&lt;&gt;")</f>
        <v>1</v>
      </c>
      <c r="L3" s="4" t="e">
        <f>COUNTIFS(Relacion_Doc_Criterio!$A:$A,A3,Relacion_Doc_Criterio!$D:$D,"&lt;&gt;",Relacion_Doc_Criterio!#REF!,"Principal")</f>
        <v>#REF!</v>
      </c>
      <c r="M3" s="10"/>
    </row>
    <row r="4" spans="1:13" ht="91.9" customHeight="1">
      <c r="A4" s="13" t="s">
        <v>885</v>
      </c>
      <c r="B4" s="22" t="s">
        <v>22</v>
      </c>
      <c r="C4" s="12" t="s">
        <v>11</v>
      </c>
      <c r="D4" s="15" t="s">
        <v>876</v>
      </c>
      <c r="E4" s="12">
        <v>1</v>
      </c>
      <c r="F4" s="13" t="s">
        <v>877</v>
      </c>
      <c r="G4" s="2" t="s">
        <v>886</v>
      </c>
      <c r="H4" s="19" t="s">
        <v>887</v>
      </c>
      <c r="I4" s="25" t="s">
        <v>880</v>
      </c>
      <c r="J4" s="3" t="s">
        <v>881</v>
      </c>
      <c r="K4" s="4">
        <f>COUNTIFS(Relacion_Doc_Criterio!$A:$A,A4,Relacion_Doc_Criterio!$D:$D,"&lt;&gt;")</f>
        <v>1</v>
      </c>
      <c r="L4" s="4" t="e">
        <f>COUNTIFS(Relacion_Doc_Criterio!$A:$A,A4,Relacion_Doc_Criterio!$D:$D,"&lt;&gt;",Relacion_Doc_Criterio!#REF!,"Principal")</f>
        <v>#REF!</v>
      </c>
      <c r="M4" s="10"/>
    </row>
    <row r="5" spans="1:13" ht="168" customHeight="1">
      <c r="A5" s="13" t="s">
        <v>888</v>
      </c>
      <c r="B5" s="22" t="s">
        <v>25</v>
      </c>
      <c r="C5" s="12" t="s">
        <v>11</v>
      </c>
      <c r="D5" s="15" t="s">
        <v>876</v>
      </c>
      <c r="E5" s="12">
        <v>1</v>
      </c>
      <c r="F5" s="13" t="s">
        <v>889</v>
      </c>
      <c r="G5" s="2" t="s">
        <v>890</v>
      </c>
      <c r="H5" s="19" t="s">
        <v>891</v>
      </c>
      <c r="I5" s="25" t="s">
        <v>880</v>
      </c>
      <c r="J5" s="3" t="s">
        <v>881</v>
      </c>
      <c r="K5" s="4">
        <f>COUNTIFS(Relacion_Doc_Criterio!$A:$A,A5,Relacion_Doc_Criterio!$D:$D,"&lt;&gt;")</f>
        <v>1</v>
      </c>
      <c r="L5" s="4" t="e">
        <f>COUNTIFS(Relacion_Doc_Criterio!$A:$A,A5,Relacion_Doc_Criterio!$D:$D,"&lt;&gt;",Relacion_Doc_Criterio!#REF!,"Principal")</f>
        <v>#REF!</v>
      </c>
      <c r="M5" s="10"/>
    </row>
    <row r="6" spans="1:13" ht="94.9" customHeight="1">
      <c r="A6" s="13" t="s">
        <v>892</v>
      </c>
      <c r="B6" s="22" t="s">
        <v>30</v>
      </c>
      <c r="C6" s="12" t="s">
        <v>11</v>
      </c>
      <c r="D6" s="15" t="s">
        <v>876</v>
      </c>
      <c r="E6" s="12">
        <v>1</v>
      </c>
      <c r="F6" s="13" t="s">
        <v>889</v>
      </c>
      <c r="G6" s="2" t="s">
        <v>893</v>
      </c>
      <c r="H6" s="19" t="s">
        <v>894</v>
      </c>
      <c r="I6" s="25" t="s">
        <v>880</v>
      </c>
      <c r="J6" s="3" t="s">
        <v>881</v>
      </c>
      <c r="K6" s="4">
        <f>COUNTIFS(Relacion_Doc_Criterio!$A:$A,A6,Relacion_Doc_Criterio!$D:$D,"&lt;&gt;")</f>
        <v>1</v>
      </c>
      <c r="L6" s="4" t="e">
        <f>COUNTIFS(Relacion_Doc_Criterio!$A:$A,A6,Relacion_Doc_Criterio!$D:$D,"&lt;&gt;",Relacion_Doc_Criterio!#REF!,"Principal")</f>
        <v>#REF!</v>
      </c>
      <c r="M6" s="10"/>
    </row>
    <row r="7" spans="1:13" ht="39.6">
      <c r="A7" s="13" t="s">
        <v>895</v>
      </c>
      <c r="B7" s="22" t="s">
        <v>33</v>
      </c>
      <c r="C7" s="12" t="s">
        <v>11</v>
      </c>
      <c r="D7" s="15" t="s">
        <v>876</v>
      </c>
      <c r="E7" s="12">
        <v>1</v>
      </c>
      <c r="F7" s="13" t="s">
        <v>896</v>
      </c>
      <c r="G7" s="2" t="s">
        <v>897</v>
      </c>
      <c r="H7" s="19" t="s">
        <v>898</v>
      </c>
      <c r="I7" s="25" t="s">
        <v>880</v>
      </c>
      <c r="J7" s="3" t="s">
        <v>881</v>
      </c>
      <c r="K7" s="4">
        <f>COUNTIFS(Relacion_Doc_Criterio!$A:$A,A7,Relacion_Doc_Criterio!$D:$D,"&lt;&gt;")</f>
        <v>1</v>
      </c>
      <c r="L7" s="4" t="e">
        <f>COUNTIFS(Relacion_Doc_Criterio!$A:$A,A7,Relacion_Doc_Criterio!$D:$D,"&lt;&gt;",Relacion_Doc_Criterio!#REF!,"Principal")</f>
        <v>#REF!</v>
      </c>
      <c r="M7" s="10"/>
    </row>
    <row r="8" spans="1:13" ht="99.6" customHeight="1">
      <c r="A8" s="13" t="s">
        <v>899</v>
      </c>
      <c r="B8" s="22" t="s">
        <v>38</v>
      </c>
      <c r="C8" s="12" t="s">
        <v>11</v>
      </c>
      <c r="D8" s="15" t="s">
        <v>876</v>
      </c>
      <c r="E8" s="12">
        <v>1</v>
      </c>
      <c r="F8" s="13" t="s">
        <v>896</v>
      </c>
      <c r="G8" s="2" t="s">
        <v>900</v>
      </c>
      <c r="H8" s="19" t="s">
        <v>901</v>
      </c>
      <c r="I8" s="25" t="s">
        <v>880</v>
      </c>
      <c r="J8" s="3" t="s">
        <v>881</v>
      </c>
      <c r="K8" s="4">
        <f>COUNTIFS(Relacion_Doc_Criterio!$A:$A,A8,Relacion_Doc_Criterio!$D:$D,"&lt;&gt;")</f>
        <v>1</v>
      </c>
      <c r="L8" s="4" t="e">
        <f>COUNTIFS(Relacion_Doc_Criterio!$A:$A,A8,Relacion_Doc_Criterio!$D:$D,"&lt;&gt;",Relacion_Doc_Criterio!#REF!,"Principal")</f>
        <v>#REF!</v>
      </c>
      <c r="M8" s="10"/>
    </row>
    <row r="9" spans="1:13" ht="39.6">
      <c r="A9" s="13" t="s">
        <v>902</v>
      </c>
      <c r="B9" s="22" t="s">
        <v>41</v>
      </c>
      <c r="C9" s="12" t="s">
        <v>11</v>
      </c>
      <c r="D9" s="15" t="s">
        <v>876</v>
      </c>
      <c r="E9" s="12">
        <v>1</v>
      </c>
      <c r="F9" s="13" t="s">
        <v>903</v>
      </c>
      <c r="G9" s="2" t="s">
        <v>904</v>
      </c>
      <c r="H9" s="19" t="s">
        <v>905</v>
      </c>
      <c r="I9" s="25" t="s">
        <v>880</v>
      </c>
      <c r="J9" s="3" t="s">
        <v>881</v>
      </c>
      <c r="K9" s="4">
        <f>COUNTIFS(Relacion_Doc_Criterio!$A:$A,A9,Relacion_Doc_Criterio!$D:$D,"&lt;&gt;")</f>
        <v>1</v>
      </c>
      <c r="L9" s="4" t="e">
        <f>COUNTIFS(Relacion_Doc_Criterio!$A:$A,A9,Relacion_Doc_Criterio!$D:$D,"&lt;&gt;",Relacion_Doc_Criterio!#REF!,"Principal")</f>
        <v>#REF!</v>
      </c>
      <c r="M9" s="10"/>
    </row>
    <row r="10" spans="1:13" ht="39.6">
      <c r="A10" s="13" t="s">
        <v>906</v>
      </c>
      <c r="B10" s="22" t="s">
        <v>46</v>
      </c>
      <c r="C10" s="12" t="s">
        <v>11</v>
      </c>
      <c r="D10" s="15" t="s">
        <v>876</v>
      </c>
      <c r="E10" s="12">
        <v>1</v>
      </c>
      <c r="F10" s="13" t="s">
        <v>903</v>
      </c>
      <c r="G10" s="2" t="s">
        <v>907</v>
      </c>
      <c r="H10" s="19" t="s">
        <v>908</v>
      </c>
      <c r="I10" s="25" t="s">
        <v>880</v>
      </c>
      <c r="J10" s="3" t="s">
        <v>881</v>
      </c>
      <c r="K10" s="4">
        <f>COUNTIFS(Relacion_Doc_Criterio!$A:$A,A10,Relacion_Doc_Criterio!$D:$D,"&lt;&gt;")</f>
        <v>1</v>
      </c>
      <c r="L10" s="4" t="e">
        <f>COUNTIFS(Relacion_Doc_Criterio!$A:$A,A10,Relacion_Doc_Criterio!$D:$D,"&lt;&gt;",Relacion_Doc_Criterio!#REF!,"Principal")</f>
        <v>#REF!</v>
      </c>
      <c r="M10" s="10"/>
    </row>
    <row r="11" spans="1:13" ht="75" customHeight="1">
      <c r="A11" s="13" t="s">
        <v>909</v>
      </c>
      <c r="B11" s="22" t="s">
        <v>51</v>
      </c>
      <c r="C11" s="12" t="s">
        <v>11</v>
      </c>
      <c r="D11" s="15" t="s">
        <v>876</v>
      </c>
      <c r="E11" s="12">
        <v>1</v>
      </c>
      <c r="F11" s="13" t="s">
        <v>903</v>
      </c>
      <c r="G11" s="2" t="s">
        <v>910</v>
      </c>
      <c r="H11" s="19" t="s">
        <v>911</v>
      </c>
      <c r="I11" s="25" t="s">
        <v>880</v>
      </c>
      <c r="J11" s="3" t="s">
        <v>881</v>
      </c>
      <c r="K11" s="4">
        <f>COUNTIFS(Relacion_Doc_Criterio!$A:$A,A11,Relacion_Doc_Criterio!$D:$D,"&lt;&gt;")</f>
        <v>1</v>
      </c>
      <c r="L11" s="4" t="e">
        <f>COUNTIFS(Relacion_Doc_Criterio!$A:$A,A11,Relacion_Doc_Criterio!$D:$D,"&lt;&gt;",Relacion_Doc_Criterio!#REF!,"Principal")</f>
        <v>#REF!</v>
      </c>
      <c r="M11" s="10"/>
    </row>
    <row r="12" spans="1:13" ht="63.6" customHeight="1">
      <c r="A12" s="13" t="s">
        <v>912</v>
      </c>
      <c r="B12" s="22" t="s">
        <v>54</v>
      </c>
      <c r="C12" s="12" t="s">
        <v>55</v>
      </c>
      <c r="D12" s="15" t="s">
        <v>913</v>
      </c>
      <c r="E12" s="12">
        <v>2</v>
      </c>
      <c r="F12" s="13" t="s">
        <v>914</v>
      </c>
      <c r="G12" s="2" t="s">
        <v>915</v>
      </c>
      <c r="H12" s="19" t="s">
        <v>916</v>
      </c>
      <c r="I12" s="25" t="s">
        <v>880</v>
      </c>
      <c r="J12" s="3" t="s">
        <v>881</v>
      </c>
      <c r="K12" s="4">
        <f>COUNTIFS(Relacion_Doc_Criterio!$A:$A,A12,Relacion_Doc_Criterio!$D:$D,"&lt;&gt;")</f>
        <v>1</v>
      </c>
      <c r="L12" s="4" t="e">
        <f>COUNTIFS(Relacion_Doc_Criterio!$A:$A,A12,Relacion_Doc_Criterio!$D:$D,"&lt;&gt;",Relacion_Doc_Criterio!#REF!,"Principal")</f>
        <v>#REF!</v>
      </c>
      <c r="M12" s="10"/>
    </row>
    <row r="13" spans="1:13" ht="49.15" customHeight="1">
      <c r="A13" s="13" t="s">
        <v>917</v>
      </c>
      <c r="B13" s="22" t="s">
        <v>63</v>
      </c>
      <c r="C13" s="12" t="s">
        <v>55</v>
      </c>
      <c r="D13" s="15" t="s">
        <v>913</v>
      </c>
      <c r="E13" s="12">
        <v>2</v>
      </c>
      <c r="F13" s="13" t="s">
        <v>914</v>
      </c>
      <c r="G13" s="2" t="s">
        <v>918</v>
      </c>
      <c r="H13" s="19" t="s">
        <v>919</v>
      </c>
      <c r="I13" s="25" t="s">
        <v>880</v>
      </c>
      <c r="J13" s="3" t="s">
        <v>881</v>
      </c>
      <c r="K13" s="4">
        <f>COUNTIFS(Relacion_Doc_Criterio!$A:$A,A13,Relacion_Doc_Criterio!$D:$D,"&lt;&gt;")</f>
        <v>1</v>
      </c>
      <c r="L13" s="4" t="e">
        <f>COUNTIFS(Relacion_Doc_Criterio!$A:$A,A13,Relacion_Doc_Criterio!$D:$D,"&lt;&gt;",Relacion_Doc_Criterio!#REF!,"Principal")</f>
        <v>#REF!</v>
      </c>
      <c r="M13" s="10"/>
    </row>
    <row r="14" spans="1:13" ht="61.15" customHeight="1">
      <c r="A14" s="13" t="s">
        <v>920</v>
      </c>
      <c r="B14" s="22" t="s">
        <v>66</v>
      </c>
      <c r="C14" s="12" t="s">
        <v>55</v>
      </c>
      <c r="D14" s="15" t="s">
        <v>913</v>
      </c>
      <c r="E14" s="12">
        <v>2</v>
      </c>
      <c r="F14" s="13" t="s">
        <v>914</v>
      </c>
      <c r="G14" s="2" t="s">
        <v>921</v>
      </c>
      <c r="H14" s="19" t="s">
        <v>922</v>
      </c>
      <c r="I14" s="25" t="s">
        <v>880</v>
      </c>
      <c r="J14" s="3" t="s">
        <v>881</v>
      </c>
      <c r="K14" s="4">
        <f>COUNTIFS(Relacion_Doc_Criterio!$A:$A,A14,Relacion_Doc_Criterio!$D:$D,"&lt;&gt;")</f>
        <v>1</v>
      </c>
      <c r="L14" s="4" t="e">
        <f>COUNTIFS(Relacion_Doc_Criterio!$A:$A,A14,Relacion_Doc_Criterio!$D:$D,"&lt;&gt;",Relacion_Doc_Criterio!#REF!,"Principal")</f>
        <v>#REF!</v>
      </c>
      <c r="M14" s="10"/>
    </row>
    <row r="15" spans="1:13" ht="52.9">
      <c r="A15" s="13" t="s">
        <v>923</v>
      </c>
      <c r="B15" s="22" t="s">
        <v>69</v>
      </c>
      <c r="C15" s="12" t="s">
        <v>55</v>
      </c>
      <c r="D15" s="15" t="s">
        <v>913</v>
      </c>
      <c r="E15" s="12">
        <v>2</v>
      </c>
      <c r="F15" s="13" t="s">
        <v>924</v>
      </c>
      <c r="G15" s="2" t="s">
        <v>925</v>
      </c>
      <c r="H15" s="19" t="s">
        <v>926</v>
      </c>
      <c r="I15" s="25" t="s">
        <v>880</v>
      </c>
      <c r="J15" s="3" t="s">
        <v>881</v>
      </c>
      <c r="K15" s="4">
        <f>COUNTIFS(Relacion_Doc_Criterio!$A:$A,A15,Relacion_Doc_Criterio!$D:$D,"&lt;&gt;")</f>
        <v>1</v>
      </c>
      <c r="L15" s="4" t="e">
        <f>COUNTIFS(Relacion_Doc_Criterio!$A:$A,A15,Relacion_Doc_Criterio!$D:$D,"&lt;&gt;",Relacion_Doc_Criterio!#REF!,"Principal")</f>
        <v>#REF!</v>
      </c>
      <c r="M15" s="10"/>
    </row>
    <row r="16" spans="1:13" ht="72" customHeight="1">
      <c r="A16" s="13" t="s">
        <v>927</v>
      </c>
      <c r="B16" s="22" t="s">
        <v>74</v>
      </c>
      <c r="C16" s="12" t="s">
        <v>55</v>
      </c>
      <c r="D16" s="15" t="s">
        <v>913</v>
      </c>
      <c r="E16" s="12">
        <v>2</v>
      </c>
      <c r="F16" s="13" t="s">
        <v>924</v>
      </c>
      <c r="G16" s="2" t="s">
        <v>928</v>
      </c>
      <c r="H16" s="19" t="s">
        <v>929</v>
      </c>
      <c r="I16" s="25" t="s">
        <v>880</v>
      </c>
      <c r="J16" s="3" t="s">
        <v>881</v>
      </c>
      <c r="K16" s="4">
        <f>COUNTIFS(Relacion_Doc_Criterio!$A:$A,A16,Relacion_Doc_Criterio!$D:$D,"&lt;&gt;")</f>
        <v>1</v>
      </c>
      <c r="L16" s="4" t="e">
        <f>COUNTIFS(Relacion_Doc_Criterio!$A:$A,A16,Relacion_Doc_Criterio!$D:$D,"&lt;&gt;",Relacion_Doc_Criterio!#REF!,"Principal")</f>
        <v>#REF!</v>
      </c>
      <c r="M16" s="10"/>
    </row>
    <row r="17" spans="1:13" ht="110.45" customHeight="1">
      <c r="A17" s="13" t="s">
        <v>930</v>
      </c>
      <c r="B17" s="22" t="s">
        <v>77</v>
      </c>
      <c r="C17" s="12" t="s">
        <v>55</v>
      </c>
      <c r="D17" s="15" t="s">
        <v>913</v>
      </c>
      <c r="E17" s="12">
        <v>2</v>
      </c>
      <c r="F17" s="13" t="s">
        <v>924</v>
      </c>
      <c r="G17" s="20" t="s">
        <v>931</v>
      </c>
      <c r="H17" s="19" t="s">
        <v>932</v>
      </c>
      <c r="I17" s="25" t="s">
        <v>880</v>
      </c>
      <c r="J17" s="3" t="s">
        <v>881</v>
      </c>
      <c r="K17" s="4">
        <f>COUNTIFS(Relacion_Doc_Criterio!$A:$A,A17,Relacion_Doc_Criterio!$D:$D,"&lt;&gt;")</f>
        <v>1</v>
      </c>
      <c r="L17" s="4" t="e">
        <f>COUNTIFS(Relacion_Doc_Criterio!$A:$A,A17,Relacion_Doc_Criterio!$D:$D,"&lt;&gt;",Relacion_Doc_Criterio!#REF!,"Principal")</f>
        <v>#REF!</v>
      </c>
      <c r="M17" s="10"/>
    </row>
    <row r="18" spans="1:13" ht="84.6" customHeight="1">
      <c r="A18" s="13" t="s">
        <v>933</v>
      </c>
      <c r="B18" s="22" t="s">
        <v>80</v>
      </c>
      <c r="C18" s="12" t="s">
        <v>55</v>
      </c>
      <c r="D18" s="15" t="s">
        <v>913</v>
      </c>
      <c r="E18" s="12">
        <v>2</v>
      </c>
      <c r="F18" s="13" t="s">
        <v>934</v>
      </c>
      <c r="G18" s="2" t="s">
        <v>935</v>
      </c>
      <c r="H18" s="19" t="s">
        <v>936</v>
      </c>
      <c r="I18" s="25" t="s">
        <v>880</v>
      </c>
      <c r="J18" s="3" t="s">
        <v>881</v>
      </c>
      <c r="K18" s="4">
        <f>COUNTIFS(Relacion_Doc_Criterio!$A:$A,A18,Relacion_Doc_Criterio!$D:$D,"&lt;&gt;")</f>
        <v>1</v>
      </c>
      <c r="L18" s="4" t="e">
        <f>COUNTIFS(Relacion_Doc_Criterio!$A:$A,A18,Relacion_Doc_Criterio!$D:$D,"&lt;&gt;",Relacion_Doc_Criterio!#REF!,"Principal")</f>
        <v>#REF!</v>
      </c>
      <c r="M18" s="10"/>
    </row>
    <row r="19" spans="1:13" ht="48" customHeight="1">
      <c r="A19" s="13" t="s">
        <v>937</v>
      </c>
      <c r="B19" s="22" t="s">
        <v>85</v>
      </c>
      <c r="C19" s="12" t="s">
        <v>55</v>
      </c>
      <c r="D19" s="15" t="s">
        <v>913</v>
      </c>
      <c r="E19" s="12">
        <v>2</v>
      </c>
      <c r="F19" s="13" t="s">
        <v>934</v>
      </c>
      <c r="G19" s="20" t="s">
        <v>938</v>
      </c>
      <c r="H19" s="19" t="s">
        <v>939</v>
      </c>
      <c r="I19" s="25" t="s">
        <v>880</v>
      </c>
      <c r="J19" s="3" t="s">
        <v>881</v>
      </c>
      <c r="K19" s="4">
        <f>COUNTIFS(Relacion_Doc_Criterio!$A:$A,A19,Relacion_Doc_Criterio!$D:$D,"&lt;&gt;")</f>
        <v>1</v>
      </c>
      <c r="L19" s="4" t="e">
        <f>COUNTIFS(Relacion_Doc_Criterio!$A:$A,A19,Relacion_Doc_Criterio!$D:$D,"&lt;&gt;",Relacion_Doc_Criterio!#REF!,"Principal")</f>
        <v>#REF!</v>
      </c>
      <c r="M19" s="10"/>
    </row>
    <row r="20" spans="1:13" ht="88.15" customHeight="1">
      <c r="A20" s="13" t="s">
        <v>940</v>
      </c>
      <c r="B20" s="22" t="s">
        <v>88</v>
      </c>
      <c r="C20" s="12" t="s">
        <v>55</v>
      </c>
      <c r="D20" s="15" t="s">
        <v>913</v>
      </c>
      <c r="E20" s="12">
        <v>2</v>
      </c>
      <c r="F20" s="13" t="s">
        <v>934</v>
      </c>
      <c r="G20" s="2" t="s">
        <v>941</v>
      </c>
      <c r="H20" s="19" t="s">
        <v>942</v>
      </c>
      <c r="I20" s="25" t="s">
        <v>880</v>
      </c>
      <c r="J20" s="3" t="s">
        <v>881</v>
      </c>
      <c r="K20" s="4">
        <f>COUNTIFS(Relacion_Doc_Criterio!$A:$A,A20,Relacion_Doc_Criterio!$D:$D,"&lt;&gt;")</f>
        <v>1</v>
      </c>
      <c r="L20" s="4" t="e">
        <f>COUNTIFS(Relacion_Doc_Criterio!$A:$A,A20,Relacion_Doc_Criterio!$D:$D,"&lt;&gt;",Relacion_Doc_Criterio!#REF!,"Principal")</f>
        <v>#REF!</v>
      </c>
      <c r="M20" s="10"/>
    </row>
    <row r="21" spans="1:13" ht="71.45" customHeight="1">
      <c r="A21" s="13" t="s">
        <v>943</v>
      </c>
      <c r="B21" s="22" t="s">
        <v>91</v>
      </c>
      <c r="C21" s="12" t="s">
        <v>55</v>
      </c>
      <c r="D21" s="15" t="s">
        <v>913</v>
      </c>
      <c r="E21" s="12">
        <v>2</v>
      </c>
      <c r="F21" s="13" t="s">
        <v>934</v>
      </c>
      <c r="G21" s="2" t="s">
        <v>944</v>
      </c>
      <c r="H21" s="19" t="s">
        <v>945</v>
      </c>
      <c r="I21" s="25" t="s">
        <v>880</v>
      </c>
      <c r="J21" s="3" t="s">
        <v>881</v>
      </c>
      <c r="K21" s="4">
        <f>COUNTIFS(Relacion_Doc_Criterio!$A:$A,A21,Relacion_Doc_Criterio!$D:$D,"&lt;&gt;")</f>
        <v>1</v>
      </c>
      <c r="L21" s="4" t="e">
        <f>COUNTIFS(Relacion_Doc_Criterio!$A:$A,A21,Relacion_Doc_Criterio!$D:$D,"&lt;&gt;",Relacion_Doc_Criterio!#REF!,"Principal")</f>
        <v>#REF!</v>
      </c>
      <c r="M21" s="10"/>
    </row>
    <row r="22" spans="1:13" ht="72" customHeight="1">
      <c r="A22" s="13" t="s">
        <v>946</v>
      </c>
      <c r="B22" s="22" t="s">
        <v>94</v>
      </c>
      <c r="C22" s="12" t="s">
        <v>55</v>
      </c>
      <c r="D22" s="15" t="s">
        <v>913</v>
      </c>
      <c r="E22" s="12">
        <v>2</v>
      </c>
      <c r="F22" s="13" t="s">
        <v>947</v>
      </c>
      <c r="G22" s="2" t="s">
        <v>948</v>
      </c>
      <c r="H22" s="19" t="s">
        <v>949</v>
      </c>
      <c r="I22" s="25" t="s">
        <v>880</v>
      </c>
      <c r="J22" s="3" t="s">
        <v>950</v>
      </c>
      <c r="K22" s="4">
        <f>COUNTIFS(Relacion_Doc_Criterio!$A:$A,A22,Relacion_Doc_Criterio!$D:$D,"&lt;&gt;")</f>
        <v>1</v>
      </c>
      <c r="L22" s="4" t="e">
        <f>COUNTIFS(Relacion_Doc_Criterio!$A:$A,A22,Relacion_Doc_Criterio!$D:$D,"&lt;&gt;",Relacion_Doc_Criterio!#REF!,"Principal")</f>
        <v>#REF!</v>
      </c>
      <c r="M22" s="10"/>
    </row>
    <row r="23" spans="1:13" ht="71.45" customHeight="1">
      <c r="A23" s="13" t="s">
        <v>951</v>
      </c>
      <c r="B23" s="22" t="s">
        <v>99</v>
      </c>
      <c r="C23" s="12" t="s">
        <v>55</v>
      </c>
      <c r="D23" s="15" t="s">
        <v>913</v>
      </c>
      <c r="E23" s="12">
        <v>2</v>
      </c>
      <c r="F23" s="13" t="s">
        <v>947</v>
      </c>
      <c r="G23" s="2" t="s">
        <v>952</v>
      </c>
      <c r="H23" s="19" t="s">
        <v>953</v>
      </c>
      <c r="I23" s="25" t="s">
        <v>880</v>
      </c>
      <c r="J23" s="3" t="s">
        <v>950</v>
      </c>
      <c r="K23" s="4">
        <f>COUNTIFS(Relacion_Doc_Criterio!$A:$A,A23,Relacion_Doc_Criterio!$D:$D,"&lt;&gt;")</f>
        <v>1</v>
      </c>
      <c r="L23" s="4" t="e">
        <f>COUNTIFS(Relacion_Doc_Criterio!$A:$A,A23,Relacion_Doc_Criterio!$D:$D,"&lt;&gt;",Relacion_Doc_Criterio!#REF!,"Principal")</f>
        <v>#REF!</v>
      </c>
      <c r="M23" s="10"/>
    </row>
    <row r="24" spans="1:13" ht="64.150000000000006" customHeight="1">
      <c r="A24" s="13" t="s">
        <v>954</v>
      </c>
      <c r="B24" s="22" t="s">
        <v>102</v>
      </c>
      <c r="C24" s="12" t="s">
        <v>55</v>
      </c>
      <c r="D24" s="15" t="s">
        <v>913</v>
      </c>
      <c r="E24" s="12">
        <v>2</v>
      </c>
      <c r="F24" s="13" t="s">
        <v>947</v>
      </c>
      <c r="G24" s="2" t="s">
        <v>955</v>
      </c>
      <c r="H24" s="19" t="s">
        <v>956</v>
      </c>
      <c r="I24" s="25" t="s">
        <v>880</v>
      </c>
      <c r="J24" s="3" t="s">
        <v>950</v>
      </c>
      <c r="K24" s="4">
        <f>COUNTIFS(Relacion_Doc_Criterio!$A:$A,A24,Relacion_Doc_Criterio!$D:$D,"&lt;&gt;")</f>
        <v>1</v>
      </c>
      <c r="L24" s="4" t="e">
        <f>COUNTIFS(Relacion_Doc_Criterio!$A:$A,A24,Relacion_Doc_Criterio!$D:$D,"&lt;&gt;",Relacion_Doc_Criterio!#REF!,"Principal")</f>
        <v>#REF!</v>
      </c>
      <c r="M24" s="10"/>
    </row>
    <row r="25" spans="1:13" ht="130.9" customHeight="1">
      <c r="A25" s="13" t="s">
        <v>957</v>
      </c>
      <c r="B25" s="22" t="s">
        <v>105</v>
      </c>
      <c r="C25" s="12" t="s">
        <v>55</v>
      </c>
      <c r="D25" s="15" t="s">
        <v>913</v>
      </c>
      <c r="E25" s="12">
        <v>3</v>
      </c>
      <c r="F25" s="13" t="s">
        <v>958</v>
      </c>
      <c r="G25" s="2" t="s">
        <v>959</v>
      </c>
      <c r="H25" s="19" t="s">
        <v>960</v>
      </c>
      <c r="I25" s="25" t="s">
        <v>880</v>
      </c>
      <c r="J25" s="3" t="s">
        <v>950</v>
      </c>
      <c r="K25" s="4">
        <f>COUNTIFS(Relacion_Doc_Criterio!$A:$A,A25,Relacion_Doc_Criterio!$D:$D,"&lt;&gt;")</f>
        <v>1</v>
      </c>
      <c r="L25" s="4" t="e">
        <f>COUNTIFS(Relacion_Doc_Criterio!$A:$A,A25,Relacion_Doc_Criterio!$D:$D,"&lt;&gt;",Relacion_Doc_Criterio!#REF!,"Principal")</f>
        <v>#REF!</v>
      </c>
      <c r="M25" s="10"/>
    </row>
    <row r="26" spans="1:13" ht="96.6" customHeight="1">
      <c r="A26" s="13" t="s">
        <v>961</v>
      </c>
      <c r="B26" s="22" t="s">
        <v>112</v>
      </c>
      <c r="C26" s="12" t="s">
        <v>55</v>
      </c>
      <c r="D26" s="15" t="s">
        <v>913</v>
      </c>
      <c r="E26" s="12">
        <v>3</v>
      </c>
      <c r="F26" s="13" t="s">
        <v>962</v>
      </c>
      <c r="G26" s="2" t="s">
        <v>963</v>
      </c>
      <c r="H26" s="19" t="s">
        <v>964</v>
      </c>
      <c r="I26" s="27" t="s">
        <v>965</v>
      </c>
      <c r="J26" s="3" t="s">
        <v>950</v>
      </c>
      <c r="K26" s="4">
        <f>COUNTIFS(Relacion_Doc_Criterio!$A:$A,A26,Relacion_Doc_Criterio!$D:$D,"&lt;&gt;")</f>
        <v>1</v>
      </c>
      <c r="L26" s="4" t="e">
        <f>COUNTIFS(Relacion_Doc_Criterio!$A:$A,A26,Relacion_Doc_Criterio!$D:$D,"&lt;&gt;",Relacion_Doc_Criterio!#REF!,"Principal")</f>
        <v>#REF!</v>
      </c>
    </row>
    <row r="27" spans="1:13" ht="97.9" customHeight="1">
      <c r="A27" s="13" t="s">
        <v>966</v>
      </c>
      <c r="B27" s="22" t="s">
        <v>117</v>
      </c>
      <c r="C27" s="12" t="s">
        <v>55</v>
      </c>
      <c r="D27" s="15" t="s">
        <v>913</v>
      </c>
      <c r="E27" s="12">
        <v>3</v>
      </c>
      <c r="F27" s="13" t="s">
        <v>962</v>
      </c>
      <c r="G27" s="2" t="s">
        <v>967</v>
      </c>
      <c r="H27" s="19" t="s">
        <v>968</v>
      </c>
      <c r="I27" s="27" t="s">
        <v>880</v>
      </c>
      <c r="J27" s="3" t="s">
        <v>950</v>
      </c>
      <c r="K27" s="4">
        <f>COUNTIFS(Relacion_Doc_Criterio!$A:$A,A27,Relacion_Doc_Criterio!$D:$D,"&lt;&gt;")</f>
        <v>1</v>
      </c>
      <c r="L27" s="4" t="e">
        <f>COUNTIFS(Relacion_Doc_Criterio!$A:$A,A27,Relacion_Doc_Criterio!$D:$D,"&lt;&gt;",Relacion_Doc_Criterio!#REF!,"Principal")</f>
        <v>#REF!</v>
      </c>
    </row>
    <row r="28" spans="1:13" ht="61.9" customHeight="1">
      <c r="A28" s="13" t="s">
        <v>969</v>
      </c>
      <c r="B28" s="22" t="s">
        <v>120</v>
      </c>
      <c r="C28" s="12" t="s">
        <v>55</v>
      </c>
      <c r="D28" s="15" t="s">
        <v>913</v>
      </c>
      <c r="E28" s="12">
        <v>3</v>
      </c>
      <c r="F28" s="13" t="s">
        <v>962</v>
      </c>
      <c r="G28" s="2" t="s">
        <v>970</v>
      </c>
      <c r="H28" s="19" t="s">
        <v>971</v>
      </c>
      <c r="I28" s="27" t="s">
        <v>965</v>
      </c>
      <c r="J28" s="3" t="s">
        <v>950</v>
      </c>
      <c r="K28" s="4">
        <f>COUNTIFS(Relacion_Doc_Criterio!$A:$A,A28,Relacion_Doc_Criterio!$D:$D,"&lt;&gt;")</f>
        <v>1</v>
      </c>
      <c r="L28" s="4" t="e">
        <f>COUNTIFS(Relacion_Doc_Criterio!$A:$A,A28,Relacion_Doc_Criterio!$D:$D,"&lt;&gt;",Relacion_Doc_Criterio!#REF!,"Principal")</f>
        <v>#REF!</v>
      </c>
    </row>
    <row r="29" spans="1:13" ht="39.6">
      <c r="A29" s="13" t="s">
        <v>972</v>
      </c>
      <c r="B29" s="22" t="s">
        <v>123</v>
      </c>
      <c r="C29" s="12" t="s">
        <v>55</v>
      </c>
      <c r="D29" s="15" t="s">
        <v>913</v>
      </c>
      <c r="E29" s="12">
        <v>3</v>
      </c>
      <c r="F29" s="13" t="s">
        <v>973</v>
      </c>
      <c r="G29" s="2" t="s">
        <v>974</v>
      </c>
      <c r="H29" s="19" t="s">
        <v>975</v>
      </c>
      <c r="I29" s="27" t="s">
        <v>965</v>
      </c>
      <c r="J29" s="3" t="s">
        <v>950</v>
      </c>
      <c r="K29" s="4">
        <f>COUNTIFS(Relacion_Doc_Criterio!$A:$A,A29,Relacion_Doc_Criterio!$D:$D,"&lt;&gt;")</f>
        <v>1</v>
      </c>
      <c r="L29" s="4" t="e">
        <f>COUNTIFS(Relacion_Doc_Criterio!$A:$A,A29,Relacion_Doc_Criterio!$D:$D,"&lt;&gt;",Relacion_Doc_Criterio!#REF!,"Principal")</f>
        <v>#REF!</v>
      </c>
    </row>
    <row r="30" spans="1:13" ht="69" customHeight="1">
      <c r="A30" s="13" t="s">
        <v>976</v>
      </c>
      <c r="B30" s="22" t="s">
        <v>128</v>
      </c>
      <c r="C30" s="12" t="s">
        <v>55</v>
      </c>
      <c r="D30" s="15" t="s">
        <v>913</v>
      </c>
      <c r="E30" s="12">
        <v>3</v>
      </c>
      <c r="F30" s="13" t="s">
        <v>973</v>
      </c>
      <c r="G30" s="2" t="s">
        <v>977</v>
      </c>
      <c r="H30" s="19" t="s">
        <v>978</v>
      </c>
      <c r="I30" s="27" t="s">
        <v>965</v>
      </c>
      <c r="J30" s="3" t="s">
        <v>950</v>
      </c>
      <c r="K30" s="4">
        <f>COUNTIFS(Relacion_Doc_Criterio!$A:$A,A30,Relacion_Doc_Criterio!$D:$D,"&lt;&gt;")</f>
        <v>1</v>
      </c>
      <c r="L30" s="4" t="e">
        <f>COUNTIFS(Relacion_Doc_Criterio!$A:$A,A30,Relacion_Doc_Criterio!$D:$D,"&lt;&gt;",Relacion_Doc_Criterio!#REF!,"Principal")</f>
        <v>#REF!</v>
      </c>
    </row>
    <row r="31" spans="1:13" ht="84.6" customHeight="1">
      <c r="A31" s="13" t="s">
        <v>979</v>
      </c>
      <c r="B31" s="22" t="s">
        <v>131</v>
      </c>
      <c r="C31" s="12" t="s">
        <v>55</v>
      </c>
      <c r="D31" s="15" t="s">
        <v>913</v>
      </c>
      <c r="E31" s="12">
        <v>3</v>
      </c>
      <c r="F31" s="13" t="s">
        <v>973</v>
      </c>
      <c r="G31" s="2" t="s">
        <v>980</v>
      </c>
      <c r="H31" s="19" t="s">
        <v>981</v>
      </c>
      <c r="I31" s="27" t="s">
        <v>965</v>
      </c>
      <c r="J31" s="3" t="s">
        <v>950</v>
      </c>
      <c r="K31" s="4">
        <f>COUNTIFS(Relacion_Doc_Criterio!$A:$A,A31,Relacion_Doc_Criterio!$D:$D,"&lt;&gt;")</f>
        <v>1</v>
      </c>
      <c r="L31" s="4" t="e">
        <f>COUNTIFS(Relacion_Doc_Criterio!$A:$A,A31,Relacion_Doc_Criterio!$D:$D,"&lt;&gt;",Relacion_Doc_Criterio!#REF!,"Principal")</f>
        <v>#REF!</v>
      </c>
    </row>
    <row r="32" spans="1:13" ht="59.45" customHeight="1">
      <c r="A32" s="13" t="s">
        <v>982</v>
      </c>
      <c r="B32" s="22" t="s">
        <v>134</v>
      </c>
      <c r="C32" s="12" t="s">
        <v>55</v>
      </c>
      <c r="D32" s="15" t="s">
        <v>913</v>
      </c>
      <c r="E32" s="12">
        <v>3</v>
      </c>
      <c r="F32" s="13" t="s">
        <v>973</v>
      </c>
      <c r="G32" s="2" t="s">
        <v>983</v>
      </c>
      <c r="H32" s="19" t="s">
        <v>984</v>
      </c>
      <c r="I32" s="27" t="s">
        <v>965</v>
      </c>
      <c r="J32" s="3" t="s">
        <v>950</v>
      </c>
      <c r="K32" s="4">
        <f>COUNTIFS(Relacion_Doc_Criterio!$A:$A,A32,Relacion_Doc_Criterio!$D:$D,"&lt;&gt;")</f>
        <v>1</v>
      </c>
      <c r="L32" s="4" t="e">
        <f>COUNTIFS(Relacion_Doc_Criterio!$A:$A,A32,Relacion_Doc_Criterio!$D:$D,"&lt;&gt;",Relacion_Doc_Criterio!#REF!,"Principal")</f>
        <v>#REF!</v>
      </c>
    </row>
    <row r="33" spans="1:14" ht="73.150000000000006" customHeight="1">
      <c r="A33" s="13" t="s">
        <v>985</v>
      </c>
      <c r="B33" s="22" t="s">
        <v>137</v>
      </c>
      <c r="C33" s="12" t="s">
        <v>55</v>
      </c>
      <c r="D33" s="15" t="s">
        <v>913</v>
      </c>
      <c r="E33" s="12">
        <v>3</v>
      </c>
      <c r="F33" s="13" t="s">
        <v>986</v>
      </c>
      <c r="G33" s="2" t="s">
        <v>987</v>
      </c>
      <c r="H33" s="19" t="s">
        <v>988</v>
      </c>
      <c r="I33" s="27" t="s">
        <v>880</v>
      </c>
      <c r="J33" s="3" t="s">
        <v>950</v>
      </c>
      <c r="K33" s="4">
        <f>COUNTIFS(Relacion_Doc_Criterio!$A:$A,A33,Relacion_Doc_Criterio!$D:$D,"&lt;&gt;")</f>
        <v>1</v>
      </c>
      <c r="L33" s="4" t="e">
        <f>COUNTIFS(Relacion_Doc_Criterio!$A:$A,A33,Relacion_Doc_Criterio!$D:$D,"&lt;&gt;",Relacion_Doc_Criterio!#REF!,"Principal")</f>
        <v>#REF!</v>
      </c>
      <c r="M33" s="10"/>
    </row>
    <row r="34" spans="1:14" ht="66">
      <c r="A34" s="13" t="s">
        <v>989</v>
      </c>
      <c r="B34" s="22" t="s">
        <v>142</v>
      </c>
      <c r="C34" s="12" t="s">
        <v>55</v>
      </c>
      <c r="D34" s="15" t="s">
        <v>913</v>
      </c>
      <c r="E34" s="12">
        <v>3</v>
      </c>
      <c r="F34" s="13" t="s">
        <v>986</v>
      </c>
      <c r="G34" s="2" t="s">
        <v>990</v>
      </c>
      <c r="H34" s="19" t="s">
        <v>991</v>
      </c>
      <c r="I34" s="27" t="s">
        <v>880</v>
      </c>
      <c r="J34" s="3" t="s">
        <v>950</v>
      </c>
      <c r="K34" s="4">
        <f>COUNTIFS(Relacion_Doc_Criterio!$A:$A,A34,Relacion_Doc_Criterio!$D:$D,"&lt;&gt;")</f>
        <v>1</v>
      </c>
      <c r="L34" s="4" t="e">
        <f>COUNTIFS(Relacion_Doc_Criterio!$A:$A,A34,Relacion_Doc_Criterio!$D:$D,"&lt;&gt;",Relacion_Doc_Criterio!#REF!,"Principal")</f>
        <v>#REF!</v>
      </c>
      <c r="M34" s="10"/>
    </row>
    <row r="35" spans="1:14" ht="91.9" customHeight="1">
      <c r="A35" s="13" t="s">
        <v>992</v>
      </c>
      <c r="B35" s="22" t="s">
        <v>145</v>
      </c>
      <c r="C35" s="12" t="s">
        <v>146</v>
      </c>
      <c r="D35" s="15" t="s">
        <v>993</v>
      </c>
      <c r="E35" s="12">
        <v>4</v>
      </c>
      <c r="F35" s="13" t="s">
        <v>994</v>
      </c>
      <c r="G35" s="2" t="s">
        <v>995</v>
      </c>
      <c r="H35" s="19" t="s">
        <v>996</v>
      </c>
      <c r="I35" s="27" t="s">
        <v>880</v>
      </c>
      <c r="J35" s="3" t="s">
        <v>950</v>
      </c>
      <c r="K35" s="4">
        <f>COUNTIFS(Relacion_Doc_Criterio!$A:$A,A35,Relacion_Doc_Criterio!$D:$D,"&lt;&gt;")</f>
        <v>1</v>
      </c>
      <c r="L35" s="4" t="e">
        <f>COUNTIFS(Relacion_Doc_Criterio!$A:$A,A35,Relacion_Doc_Criterio!$D:$D,"&lt;&gt;",Relacion_Doc_Criterio!#REF!,"Principal")</f>
        <v>#REF!</v>
      </c>
      <c r="M35" s="10"/>
      <c r="N35" s="11"/>
    </row>
    <row r="36" spans="1:14" ht="73.900000000000006" customHeight="1">
      <c r="A36" s="13" t="s">
        <v>997</v>
      </c>
      <c r="B36" s="22" t="s">
        <v>154</v>
      </c>
      <c r="C36" s="12" t="s">
        <v>146</v>
      </c>
      <c r="D36" s="15" t="s">
        <v>993</v>
      </c>
      <c r="E36" s="12">
        <v>4</v>
      </c>
      <c r="F36" s="13" t="s">
        <v>994</v>
      </c>
      <c r="G36" s="2" t="s">
        <v>998</v>
      </c>
      <c r="H36" s="19" t="s">
        <v>999</v>
      </c>
      <c r="I36" s="27" t="s">
        <v>880</v>
      </c>
      <c r="J36" s="3" t="s">
        <v>950</v>
      </c>
      <c r="K36" s="4">
        <f>COUNTIFS(Relacion_Doc_Criterio!$A:$A,A36,Relacion_Doc_Criterio!$D:$D,"&lt;&gt;")</f>
        <v>1</v>
      </c>
      <c r="L36" s="4" t="e">
        <f>COUNTIFS(Relacion_Doc_Criterio!$A:$A,A36,Relacion_Doc_Criterio!$D:$D,"&lt;&gt;",Relacion_Doc_Criterio!#REF!,"Principal")</f>
        <v>#REF!</v>
      </c>
      <c r="M36" s="10"/>
    </row>
    <row r="37" spans="1:14" ht="52.9">
      <c r="A37" s="13" t="s">
        <v>1000</v>
      </c>
      <c r="B37" s="22" t="s">
        <v>157</v>
      </c>
      <c r="C37" s="12" t="s">
        <v>146</v>
      </c>
      <c r="D37" s="15" t="s">
        <v>993</v>
      </c>
      <c r="E37" s="12">
        <v>4</v>
      </c>
      <c r="F37" s="13" t="s">
        <v>994</v>
      </c>
      <c r="G37" s="2" t="s">
        <v>1001</v>
      </c>
      <c r="H37" s="19" t="s">
        <v>1002</v>
      </c>
      <c r="I37" s="27" t="s">
        <v>880</v>
      </c>
      <c r="J37" s="3" t="s">
        <v>950</v>
      </c>
      <c r="K37" s="4">
        <f>COUNTIFS(Relacion_Doc_Criterio!$A:$A,A37,Relacion_Doc_Criterio!$D:$D,"&lt;&gt;")</f>
        <v>1</v>
      </c>
      <c r="L37" s="4" t="e">
        <f>COUNTIFS(Relacion_Doc_Criterio!$A:$A,A37,Relacion_Doc_Criterio!$D:$D,"&lt;&gt;",Relacion_Doc_Criterio!#REF!,"Principal")</f>
        <v>#REF!</v>
      </c>
      <c r="M37" s="10"/>
    </row>
    <row r="38" spans="1:14" ht="129.6" customHeight="1">
      <c r="A38" s="13" t="s">
        <v>1003</v>
      </c>
      <c r="B38" s="22" t="s">
        <v>160</v>
      </c>
      <c r="C38" s="12" t="s">
        <v>146</v>
      </c>
      <c r="D38" s="15" t="s">
        <v>993</v>
      </c>
      <c r="E38" s="12">
        <v>4</v>
      </c>
      <c r="F38" s="13" t="s">
        <v>1004</v>
      </c>
      <c r="G38" s="2" t="s">
        <v>1005</v>
      </c>
      <c r="H38" s="19" t="s">
        <v>1006</v>
      </c>
      <c r="I38" s="27" t="s">
        <v>965</v>
      </c>
      <c r="J38" s="3" t="s">
        <v>950</v>
      </c>
      <c r="K38" s="4">
        <f>COUNTIFS(Relacion_Doc_Criterio!$A:$A,A38,Relacion_Doc_Criterio!$D:$D,"&lt;&gt;")</f>
        <v>1</v>
      </c>
      <c r="L38" s="4" t="e">
        <f>COUNTIFS(Relacion_Doc_Criterio!$A:$A,A38,Relacion_Doc_Criterio!$D:$D,"&lt;&gt;",Relacion_Doc_Criterio!#REF!,"Principal")</f>
        <v>#REF!</v>
      </c>
    </row>
    <row r="39" spans="1:14" ht="112.15" customHeight="1">
      <c r="A39" s="13" t="s">
        <v>1007</v>
      </c>
      <c r="B39" s="22" t="s">
        <v>165</v>
      </c>
      <c r="C39" s="12" t="s">
        <v>146</v>
      </c>
      <c r="D39" s="15" t="s">
        <v>993</v>
      </c>
      <c r="E39" s="12">
        <v>4</v>
      </c>
      <c r="F39" s="13" t="s">
        <v>1004</v>
      </c>
      <c r="G39" s="2" t="s">
        <v>1008</v>
      </c>
      <c r="H39" s="19" t="s">
        <v>1009</v>
      </c>
      <c r="I39" s="27" t="s">
        <v>965</v>
      </c>
      <c r="J39" s="3" t="s">
        <v>950</v>
      </c>
      <c r="K39" s="4">
        <f>COUNTIFS(Relacion_Doc_Criterio!$A:$A,A39,Relacion_Doc_Criterio!$D:$D,"&lt;&gt;")</f>
        <v>1</v>
      </c>
      <c r="L39" s="4" t="e">
        <f>COUNTIFS(Relacion_Doc_Criterio!$A:$A,A39,Relacion_Doc_Criterio!$D:$D,"&lt;&gt;",Relacion_Doc_Criterio!#REF!,"Principal")</f>
        <v>#REF!</v>
      </c>
    </row>
    <row r="40" spans="1:14" ht="126.6" customHeight="1">
      <c r="A40" s="13" t="s">
        <v>1010</v>
      </c>
      <c r="B40" s="22" t="s">
        <v>168</v>
      </c>
      <c r="C40" s="12" t="s">
        <v>146</v>
      </c>
      <c r="D40" s="15" t="s">
        <v>993</v>
      </c>
      <c r="E40" s="12">
        <v>4</v>
      </c>
      <c r="F40" s="13" t="s">
        <v>1004</v>
      </c>
      <c r="G40" s="2" t="s">
        <v>1011</v>
      </c>
      <c r="H40" s="19" t="s">
        <v>1012</v>
      </c>
      <c r="I40" s="27" t="s">
        <v>965</v>
      </c>
      <c r="J40" s="3" t="s">
        <v>950</v>
      </c>
      <c r="K40" s="4">
        <f>COUNTIFS(Relacion_Doc_Criterio!$A:$A,A40,Relacion_Doc_Criterio!$D:$D,"&lt;&gt;")</f>
        <v>1</v>
      </c>
      <c r="L40" s="4" t="e">
        <f>COUNTIFS(Relacion_Doc_Criterio!$A:$A,A40,Relacion_Doc_Criterio!$D:$D,"&lt;&gt;",Relacion_Doc_Criterio!#REF!,"Principal")</f>
        <v>#REF!</v>
      </c>
    </row>
    <row r="41" spans="1:14" ht="74.45" customHeight="1">
      <c r="A41" s="13" t="s">
        <v>1013</v>
      </c>
      <c r="B41" s="22" t="s">
        <v>171</v>
      </c>
      <c r="C41" s="12" t="s">
        <v>146</v>
      </c>
      <c r="D41" s="15" t="s">
        <v>993</v>
      </c>
      <c r="E41" s="12">
        <v>4</v>
      </c>
      <c r="F41" s="13" t="s">
        <v>1004</v>
      </c>
      <c r="G41" s="2" t="s">
        <v>1014</v>
      </c>
      <c r="H41" s="19" t="s">
        <v>1015</v>
      </c>
      <c r="I41" s="27" t="s">
        <v>965</v>
      </c>
      <c r="J41" s="3" t="s">
        <v>950</v>
      </c>
      <c r="K41" s="4">
        <f>COUNTIFS(Relacion_Doc_Criterio!$A:$A,A41,Relacion_Doc_Criterio!$D:$D,"&lt;&gt;")</f>
        <v>1</v>
      </c>
      <c r="L41" s="4" t="e">
        <f>COUNTIFS(Relacion_Doc_Criterio!$A:$A,A41,Relacion_Doc_Criterio!$D:$D,"&lt;&gt;",Relacion_Doc_Criterio!#REF!,"Principal")</f>
        <v>#REF!</v>
      </c>
    </row>
    <row r="42" spans="1:14" ht="69" customHeight="1">
      <c r="A42" s="13" t="s">
        <v>1016</v>
      </c>
      <c r="B42" s="22" t="s">
        <v>174</v>
      </c>
      <c r="C42" s="12" t="s">
        <v>146</v>
      </c>
      <c r="D42" s="15" t="s">
        <v>993</v>
      </c>
      <c r="E42" s="12">
        <v>4</v>
      </c>
      <c r="F42" s="13" t="s">
        <v>1004</v>
      </c>
      <c r="G42" s="2" t="s">
        <v>1017</v>
      </c>
      <c r="H42" s="19" t="s">
        <v>1018</v>
      </c>
      <c r="I42" s="27" t="s">
        <v>880</v>
      </c>
      <c r="J42" s="3" t="s">
        <v>950</v>
      </c>
      <c r="K42" s="4">
        <f>COUNTIFS(Relacion_Doc_Criterio!$A:$A,A42,Relacion_Doc_Criterio!$D:$D,"&lt;&gt;")</f>
        <v>1</v>
      </c>
      <c r="L42" s="4" t="e">
        <f>COUNTIFS(Relacion_Doc_Criterio!$A:$A,A42,Relacion_Doc_Criterio!$D:$D,"&lt;&gt;",Relacion_Doc_Criterio!#REF!,"Principal")</f>
        <v>#REF!</v>
      </c>
    </row>
    <row r="43" spans="1:14" ht="59.45" customHeight="1">
      <c r="A43" s="13" t="s">
        <v>1019</v>
      </c>
      <c r="B43" s="22" t="s">
        <v>177</v>
      </c>
      <c r="C43" s="12" t="s">
        <v>146</v>
      </c>
      <c r="D43" s="15" t="s">
        <v>993</v>
      </c>
      <c r="E43" s="12">
        <v>4</v>
      </c>
      <c r="F43" s="13" t="s">
        <v>1020</v>
      </c>
      <c r="G43" s="2" t="s">
        <v>1021</v>
      </c>
      <c r="H43" s="19" t="s">
        <v>1022</v>
      </c>
      <c r="I43" s="27" t="s">
        <v>880</v>
      </c>
      <c r="J43" s="3" t="s">
        <v>950</v>
      </c>
      <c r="K43" s="4">
        <f>COUNTIFS(Relacion_Doc_Criterio!$A:$A,A43,Relacion_Doc_Criterio!$D:$D,"&lt;&gt;")</f>
        <v>1</v>
      </c>
      <c r="L43" s="4" t="e">
        <f>COUNTIFS(Relacion_Doc_Criterio!$A:$A,A43,Relacion_Doc_Criterio!$D:$D,"&lt;&gt;",Relacion_Doc_Criterio!#REF!,"Principal")</f>
        <v>#REF!</v>
      </c>
      <c r="M43" s="10"/>
    </row>
    <row r="44" spans="1:14" ht="99.6" customHeight="1">
      <c r="A44" s="13" t="s">
        <v>1023</v>
      </c>
      <c r="B44" s="22" t="s">
        <v>182</v>
      </c>
      <c r="C44" s="12" t="s">
        <v>146</v>
      </c>
      <c r="D44" s="15" t="s">
        <v>993</v>
      </c>
      <c r="E44" s="12">
        <v>4</v>
      </c>
      <c r="F44" s="13" t="s">
        <v>1020</v>
      </c>
      <c r="G44" s="2" t="s">
        <v>1024</v>
      </c>
      <c r="H44" s="19" t="s">
        <v>1025</v>
      </c>
      <c r="I44" s="27" t="s">
        <v>880</v>
      </c>
      <c r="J44" s="3" t="s">
        <v>950</v>
      </c>
      <c r="K44" s="4">
        <f>COUNTIFS(Relacion_Doc_Criterio!$A:$A,A44,Relacion_Doc_Criterio!$D:$D,"&lt;&gt;")</f>
        <v>1</v>
      </c>
      <c r="L44" s="4" t="e">
        <f>COUNTIFS(Relacion_Doc_Criterio!$A:$A,A44,Relacion_Doc_Criterio!$D:$D,"&lt;&gt;",Relacion_Doc_Criterio!#REF!,"Principal")</f>
        <v>#REF!</v>
      </c>
      <c r="M44" s="10"/>
    </row>
    <row r="45" spans="1:14" ht="52.9">
      <c r="A45" s="13" t="s">
        <v>1026</v>
      </c>
      <c r="B45" s="22" t="s">
        <v>185</v>
      </c>
      <c r="C45" s="12" t="s">
        <v>146</v>
      </c>
      <c r="D45" s="15" t="s">
        <v>993</v>
      </c>
      <c r="E45" s="12">
        <v>4</v>
      </c>
      <c r="F45" s="13" t="s">
        <v>1027</v>
      </c>
      <c r="G45" s="2" t="s">
        <v>1028</v>
      </c>
      <c r="H45" s="19" t="s">
        <v>1029</v>
      </c>
      <c r="I45" s="27" t="s">
        <v>880</v>
      </c>
      <c r="J45" s="3" t="s">
        <v>950</v>
      </c>
      <c r="K45" s="4">
        <f>COUNTIFS(Relacion_Doc_Criterio!$A:$A,A45,Relacion_Doc_Criterio!$D:$D,"&lt;&gt;")</f>
        <v>1</v>
      </c>
      <c r="L45" s="4" t="e">
        <f>COUNTIFS(Relacion_Doc_Criterio!$A:$A,A45,Relacion_Doc_Criterio!$D:$D,"&lt;&gt;",Relacion_Doc_Criterio!#REF!,"Principal")</f>
        <v>#REF!</v>
      </c>
      <c r="M45" s="10"/>
    </row>
    <row r="46" spans="1:14" ht="52.9">
      <c r="A46" s="13" t="s">
        <v>1030</v>
      </c>
      <c r="B46" s="22" t="s">
        <v>190</v>
      </c>
      <c r="C46" s="12" t="s">
        <v>146</v>
      </c>
      <c r="D46" s="15" t="s">
        <v>993</v>
      </c>
      <c r="E46" s="12">
        <v>4</v>
      </c>
      <c r="F46" s="13" t="s">
        <v>1027</v>
      </c>
      <c r="G46" s="2" t="s">
        <v>1031</v>
      </c>
      <c r="H46" s="19" t="s">
        <v>1032</v>
      </c>
      <c r="I46" s="27" t="s">
        <v>880</v>
      </c>
      <c r="J46" s="3" t="s">
        <v>950</v>
      </c>
      <c r="K46" s="4">
        <f>COUNTIFS(Relacion_Doc_Criterio!$A:$A,A46,Relacion_Doc_Criterio!$D:$D,"&lt;&gt;")</f>
        <v>1</v>
      </c>
      <c r="L46" s="4" t="e">
        <f>COUNTIFS(Relacion_Doc_Criterio!$A:$A,A46,Relacion_Doc_Criterio!$D:$D,"&lt;&gt;",Relacion_Doc_Criterio!#REF!,"Principal")</f>
        <v>#REF!</v>
      </c>
      <c r="M46" s="10"/>
    </row>
    <row r="47" spans="1:14" ht="92.45">
      <c r="A47" s="13" t="s">
        <v>1033</v>
      </c>
      <c r="B47" s="22" t="s">
        <v>193</v>
      </c>
      <c r="C47" s="12" t="s">
        <v>146</v>
      </c>
      <c r="D47" s="15" t="s">
        <v>993</v>
      </c>
      <c r="E47" s="12">
        <v>4</v>
      </c>
      <c r="F47" s="13" t="s">
        <v>1034</v>
      </c>
      <c r="G47" s="2" t="s">
        <v>1035</v>
      </c>
      <c r="H47" s="19" t="s">
        <v>1036</v>
      </c>
      <c r="I47" s="27" t="s">
        <v>880</v>
      </c>
      <c r="J47" s="3" t="s">
        <v>950</v>
      </c>
      <c r="K47" s="4">
        <f>COUNTIFS(Relacion_Doc_Criterio!$A:$A,A47,Relacion_Doc_Criterio!$D:$D,"&lt;&gt;")</f>
        <v>1</v>
      </c>
      <c r="L47" s="4" t="e">
        <f>COUNTIFS(Relacion_Doc_Criterio!$A:$A,A47,Relacion_Doc_Criterio!$D:$D,"&lt;&gt;",Relacion_Doc_Criterio!#REF!,"Principal")</f>
        <v>#REF!</v>
      </c>
      <c r="M47" s="10"/>
    </row>
    <row r="48" spans="1:14" ht="55.9" customHeight="1">
      <c r="A48" s="13" t="s">
        <v>1037</v>
      </c>
      <c r="B48" s="22" t="s">
        <v>198</v>
      </c>
      <c r="C48" s="12" t="s">
        <v>146</v>
      </c>
      <c r="D48" s="15" t="s">
        <v>993</v>
      </c>
      <c r="E48" s="12">
        <v>4</v>
      </c>
      <c r="F48" s="13" t="s">
        <v>1034</v>
      </c>
      <c r="G48" s="2" t="s">
        <v>1038</v>
      </c>
      <c r="H48" s="19" t="s">
        <v>1039</v>
      </c>
      <c r="I48" s="27" t="s">
        <v>880</v>
      </c>
      <c r="J48" s="3" t="s">
        <v>950</v>
      </c>
      <c r="K48" s="4">
        <f>COUNTIFS(Relacion_Doc_Criterio!$A:$A,A48,Relacion_Doc_Criterio!$D:$D,"&lt;&gt;")</f>
        <v>1</v>
      </c>
      <c r="L48" s="4" t="e">
        <f>COUNTIFS(Relacion_Doc_Criterio!$A:$A,A48,Relacion_Doc_Criterio!$D:$D,"&lt;&gt;",Relacion_Doc_Criterio!#REF!,"Principal")</f>
        <v>#REF!</v>
      </c>
      <c r="M48" s="10"/>
    </row>
    <row r="49" spans="1:13" ht="130.15" customHeight="1">
      <c r="A49" s="13" t="s">
        <v>1040</v>
      </c>
      <c r="B49" s="22" t="s">
        <v>201</v>
      </c>
      <c r="C49" s="12" t="s">
        <v>146</v>
      </c>
      <c r="D49" s="15" t="s">
        <v>993</v>
      </c>
      <c r="E49" s="12">
        <v>4</v>
      </c>
      <c r="F49" s="13" t="s">
        <v>1041</v>
      </c>
      <c r="G49" s="2" t="s">
        <v>1042</v>
      </c>
      <c r="H49" s="19" t="s">
        <v>1043</v>
      </c>
      <c r="I49" s="27" t="s">
        <v>880</v>
      </c>
      <c r="J49" s="3" t="s">
        <v>950</v>
      </c>
      <c r="K49" s="4">
        <f>COUNTIFS(Relacion_Doc_Criterio!$A:$A,A49,Relacion_Doc_Criterio!$D:$D,"&lt;&gt;")</f>
        <v>1</v>
      </c>
      <c r="L49" s="4" t="e">
        <f>COUNTIFS(Relacion_Doc_Criterio!$A:$A,A49,Relacion_Doc_Criterio!$D:$D,"&lt;&gt;",Relacion_Doc_Criterio!#REF!,"Principal")</f>
        <v>#REF!</v>
      </c>
      <c r="M49" s="10"/>
    </row>
    <row r="50" spans="1:13" ht="92.45">
      <c r="A50" s="13" t="s">
        <v>1044</v>
      </c>
      <c r="B50" s="22" t="s">
        <v>206</v>
      </c>
      <c r="C50" s="12" t="s">
        <v>146</v>
      </c>
      <c r="D50" s="15" t="s">
        <v>993</v>
      </c>
      <c r="E50" s="12">
        <v>4</v>
      </c>
      <c r="F50" s="13" t="s">
        <v>1045</v>
      </c>
      <c r="G50" s="2" t="s">
        <v>1046</v>
      </c>
      <c r="H50" s="19" t="s">
        <v>1047</v>
      </c>
      <c r="I50" s="27" t="s">
        <v>880</v>
      </c>
      <c r="J50" s="3" t="s">
        <v>950</v>
      </c>
      <c r="K50" s="4">
        <f>COUNTIFS(Relacion_Doc_Criterio!$A:$A,A50,Relacion_Doc_Criterio!$D:$D,"&lt;&gt;")</f>
        <v>1</v>
      </c>
      <c r="L50" s="4" t="e">
        <f>COUNTIFS(Relacion_Doc_Criterio!$A:$A,A50,Relacion_Doc_Criterio!$D:$D,"&lt;&gt;",Relacion_Doc_Criterio!#REF!,"Principal")</f>
        <v>#REF!</v>
      </c>
    </row>
    <row r="51" spans="1:13" ht="79.150000000000006">
      <c r="A51" s="13" t="s">
        <v>1048</v>
      </c>
      <c r="B51" s="22" t="s">
        <v>211</v>
      </c>
      <c r="C51" s="12" t="s">
        <v>146</v>
      </c>
      <c r="D51" s="15" t="s">
        <v>993</v>
      </c>
      <c r="E51" s="12">
        <v>4</v>
      </c>
      <c r="F51" s="13" t="s">
        <v>1045</v>
      </c>
      <c r="G51" s="2" t="s">
        <v>1049</v>
      </c>
      <c r="H51" s="19" t="s">
        <v>1050</v>
      </c>
      <c r="I51" s="27" t="s">
        <v>880</v>
      </c>
      <c r="J51" s="3" t="s">
        <v>950</v>
      </c>
      <c r="K51" s="4">
        <f>COUNTIFS(Relacion_Doc_Criterio!$A:$A,A51,Relacion_Doc_Criterio!$D:$D,"&lt;&gt;")</f>
        <v>1</v>
      </c>
      <c r="L51" s="4" t="e">
        <f>COUNTIFS(Relacion_Doc_Criterio!$A:$A,A51,Relacion_Doc_Criterio!$D:$D,"&lt;&gt;",Relacion_Doc_Criterio!#REF!,"Principal")</f>
        <v>#REF!</v>
      </c>
    </row>
    <row r="52" spans="1:13" ht="61.15" customHeight="1">
      <c r="A52" s="13" t="s">
        <v>1051</v>
      </c>
      <c r="B52" s="22" t="s">
        <v>214</v>
      </c>
      <c r="C52" s="12" t="s">
        <v>146</v>
      </c>
      <c r="D52" s="15" t="s">
        <v>993</v>
      </c>
      <c r="E52" s="12">
        <v>4</v>
      </c>
      <c r="F52" s="13" t="s">
        <v>1045</v>
      </c>
      <c r="G52" s="2" t="s">
        <v>1052</v>
      </c>
      <c r="H52" s="19" t="s">
        <v>1053</v>
      </c>
      <c r="I52" s="27" t="s">
        <v>880</v>
      </c>
      <c r="J52" s="3" t="s">
        <v>950</v>
      </c>
      <c r="K52" s="4">
        <f>COUNTIFS(Relacion_Doc_Criterio!$A:$A,A52,Relacion_Doc_Criterio!$D:$D,"&lt;&gt;")</f>
        <v>1</v>
      </c>
      <c r="L52" s="4" t="e">
        <f>COUNTIFS(Relacion_Doc_Criterio!$A:$A,A52,Relacion_Doc_Criterio!$D:$D,"&lt;&gt;",Relacion_Doc_Criterio!#REF!,"Principal")</f>
        <v>#REF!</v>
      </c>
    </row>
    <row r="53" spans="1:13" ht="72" customHeight="1">
      <c r="A53" s="13" t="s">
        <v>1054</v>
      </c>
      <c r="B53" s="22" t="s">
        <v>217</v>
      </c>
      <c r="C53" s="12" t="s">
        <v>146</v>
      </c>
      <c r="D53" s="15" t="s">
        <v>993</v>
      </c>
      <c r="E53" s="12">
        <v>4</v>
      </c>
      <c r="F53" s="13" t="s">
        <v>1055</v>
      </c>
      <c r="G53" s="2" t="s">
        <v>1056</v>
      </c>
      <c r="H53" s="19" t="s">
        <v>1057</v>
      </c>
      <c r="I53" s="27" t="s">
        <v>880</v>
      </c>
      <c r="J53" s="3" t="s">
        <v>950</v>
      </c>
      <c r="K53" s="4">
        <f>COUNTIFS(Relacion_Doc_Criterio!$A:$A,A53,Relacion_Doc_Criterio!$D:$D,"&lt;&gt;")</f>
        <v>1</v>
      </c>
      <c r="L53" s="4" t="e">
        <f>COUNTIFS(Relacion_Doc_Criterio!$A:$A,A53,Relacion_Doc_Criterio!$D:$D,"&lt;&gt;",Relacion_Doc_Criterio!#REF!,"Principal")</f>
        <v>#REF!</v>
      </c>
      <c r="M53" s="10"/>
    </row>
    <row r="54" spans="1:13" ht="52.9">
      <c r="A54" s="13" t="s">
        <v>1058</v>
      </c>
      <c r="B54" s="22" t="s">
        <v>222</v>
      </c>
      <c r="C54" s="12" t="s">
        <v>146</v>
      </c>
      <c r="D54" s="15" t="s">
        <v>993</v>
      </c>
      <c r="E54" s="12">
        <v>4</v>
      </c>
      <c r="F54" s="13" t="s">
        <v>1055</v>
      </c>
      <c r="G54" s="2" t="s">
        <v>1059</v>
      </c>
      <c r="H54" s="19" t="s">
        <v>1060</v>
      </c>
      <c r="I54" s="27" t="s">
        <v>880</v>
      </c>
      <c r="J54" s="3" t="s">
        <v>950</v>
      </c>
      <c r="K54" s="4">
        <f>COUNTIFS(Relacion_Doc_Criterio!$A:$A,A54,Relacion_Doc_Criterio!$D:$D,"&lt;&gt;")</f>
        <v>1</v>
      </c>
      <c r="L54" s="4" t="e">
        <f>COUNTIFS(Relacion_Doc_Criterio!$A:$A,A54,Relacion_Doc_Criterio!$D:$D,"&lt;&gt;",Relacion_Doc_Criterio!#REF!,"Principal")</f>
        <v>#REF!</v>
      </c>
      <c r="M54" s="10"/>
    </row>
    <row r="55" spans="1:13" ht="57.6" customHeight="1">
      <c r="A55" s="13" t="s">
        <v>1061</v>
      </c>
      <c r="B55" s="22" t="s">
        <v>225</v>
      </c>
      <c r="C55" s="12" t="s">
        <v>146</v>
      </c>
      <c r="D55" s="15" t="s">
        <v>993</v>
      </c>
      <c r="E55" s="12">
        <v>4</v>
      </c>
      <c r="F55" s="13" t="s">
        <v>1055</v>
      </c>
      <c r="G55" s="2" t="s">
        <v>1062</v>
      </c>
      <c r="H55" s="19" t="s">
        <v>1063</v>
      </c>
      <c r="I55" s="27" t="s">
        <v>880</v>
      </c>
      <c r="J55" s="3" t="s">
        <v>950</v>
      </c>
      <c r="K55" s="4">
        <f>COUNTIFS(Relacion_Doc_Criterio!$A:$A,A55,Relacion_Doc_Criterio!$D:$D,"&lt;&gt;")</f>
        <v>1</v>
      </c>
      <c r="L55" s="4" t="e">
        <f>COUNTIFS(Relacion_Doc_Criterio!$A:$A,A55,Relacion_Doc_Criterio!$D:$D,"&lt;&gt;",Relacion_Doc_Criterio!#REF!,"Principal")</f>
        <v>#REF!</v>
      </c>
      <c r="M55" s="10"/>
    </row>
    <row r="56" spans="1:13" ht="52.9">
      <c r="A56" s="13" t="s">
        <v>1064</v>
      </c>
      <c r="B56" s="22" t="s">
        <v>228</v>
      </c>
      <c r="C56" s="12" t="s">
        <v>146</v>
      </c>
      <c r="D56" s="15" t="s">
        <v>993</v>
      </c>
      <c r="E56" s="12">
        <v>5</v>
      </c>
      <c r="F56" s="13" t="s">
        <v>1065</v>
      </c>
      <c r="G56" s="2" t="s">
        <v>1066</v>
      </c>
      <c r="H56" s="19" t="s">
        <v>1067</v>
      </c>
      <c r="I56" s="27" t="s">
        <v>965</v>
      </c>
      <c r="J56" s="3" t="s">
        <v>950</v>
      </c>
      <c r="K56" s="4">
        <f>COUNTIFS(Relacion_Doc_Criterio!$A:$A,A56,Relacion_Doc_Criterio!$D:$D,"&lt;&gt;")</f>
        <v>1</v>
      </c>
      <c r="L56" s="4" t="e">
        <f>COUNTIFS(Relacion_Doc_Criterio!$A:$A,A56,Relacion_Doc_Criterio!$D:$D,"&lt;&gt;",Relacion_Doc_Criterio!#REF!,"Principal")</f>
        <v>#REF!</v>
      </c>
    </row>
    <row r="57" spans="1:13" ht="55.9" customHeight="1">
      <c r="A57" s="13" t="s">
        <v>1068</v>
      </c>
      <c r="B57" s="22" t="s">
        <v>235</v>
      </c>
      <c r="C57" s="12" t="s">
        <v>146</v>
      </c>
      <c r="D57" s="15" t="s">
        <v>993</v>
      </c>
      <c r="E57" s="12">
        <v>5</v>
      </c>
      <c r="F57" s="13" t="s">
        <v>1065</v>
      </c>
      <c r="G57" s="2" t="s">
        <v>1069</v>
      </c>
      <c r="H57" s="19" t="s">
        <v>1070</v>
      </c>
      <c r="I57" s="27" t="s">
        <v>880</v>
      </c>
      <c r="J57" s="3" t="s">
        <v>950</v>
      </c>
      <c r="K57" s="4">
        <f>COUNTIFS(Relacion_Doc_Criterio!$A:$A,A57,Relacion_Doc_Criterio!$D:$D,"&lt;&gt;")</f>
        <v>1</v>
      </c>
      <c r="L57" s="4" t="e">
        <f>COUNTIFS(Relacion_Doc_Criterio!$A:$A,A57,Relacion_Doc_Criterio!$D:$D,"&lt;&gt;",Relacion_Doc_Criterio!#REF!,"Principal")</f>
        <v>#REF!</v>
      </c>
    </row>
    <row r="58" spans="1:13" ht="97.15" customHeight="1">
      <c r="A58" s="13" t="s">
        <v>1071</v>
      </c>
      <c r="B58" s="22" t="s">
        <v>238</v>
      </c>
      <c r="C58" s="12" t="s">
        <v>146</v>
      </c>
      <c r="D58" s="15" t="s">
        <v>993</v>
      </c>
      <c r="E58" s="12">
        <v>5</v>
      </c>
      <c r="F58" s="13" t="s">
        <v>1065</v>
      </c>
      <c r="G58" s="2" t="s">
        <v>1072</v>
      </c>
      <c r="H58" s="19" t="s">
        <v>1073</v>
      </c>
      <c r="I58" s="27" t="s">
        <v>880</v>
      </c>
      <c r="J58" s="3" t="s">
        <v>950</v>
      </c>
      <c r="K58" s="4">
        <f>COUNTIFS(Relacion_Doc_Criterio!$A:$A,A58,Relacion_Doc_Criterio!$D:$D,"&lt;&gt;")</f>
        <v>1</v>
      </c>
      <c r="L58" s="4" t="e">
        <f>COUNTIFS(Relacion_Doc_Criterio!$A:$A,A58,Relacion_Doc_Criterio!$D:$D,"&lt;&gt;",Relacion_Doc_Criterio!#REF!,"Principal")</f>
        <v>#REF!</v>
      </c>
    </row>
    <row r="59" spans="1:13" ht="115.15" customHeight="1">
      <c r="A59" s="13" t="s">
        <v>1074</v>
      </c>
      <c r="B59" s="22" t="s">
        <v>241</v>
      </c>
      <c r="C59" s="12" t="s">
        <v>146</v>
      </c>
      <c r="D59" s="15" t="s">
        <v>993</v>
      </c>
      <c r="E59" s="12">
        <v>5</v>
      </c>
      <c r="F59" s="13" t="s">
        <v>1075</v>
      </c>
      <c r="G59" s="2" t="s">
        <v>1076</v>
      </c>
      <c r="H59" s="19" t="s">
        <v>1077</v>
      </c>
      <c r="I59" s="27" t="s">
        <v>880</v>
      </c>
      <c r="J59" s="3" t="s">
        <v>950</v>
      </c>
      <c r="K59" s="4">
        <f>COUNTIFS(Relacion_Doc_Criterio!$A:$A,A59,Relacion_Doc_Criterio!$D:$D,"&lt;&gt;")</f>
        <v>1</v>
      </c>
      <c r="L59" s="4" t="e">
        <f>COUNTIFS(Relacion_Doc_Criterio!$A:$A,A59,Relacion_Doc_Criterio!$D:$D,"&lt;&gt;",Relacion_Doc_Criterio!#REF!,"Principal")</f>
        <v>#REF!</v>
      </c>
      <c r="M59" s="10"/>
    </row>
    <row r="60" spans="1:13" ht="66">
      <c r="A60" s="13" t="s">
        <v>1078</v>
      </c>
      <c r="B60" s="22" t="s">
        <v>246</v>
      </c>
      <c r="C60" s="12" t="s">
        <v>146</v>
      </c>
      <c r="D60" s="15" t="s">
        <v>993</v>
      </c>
      <c r="E60" s="12">
        <v>5</v>
      </c>
      <c r="F60" s="13" t="s">
        <v>1075</v>
      </c>
      <c r="G60" s="2" t="s">
        <v>1079</v>
      </c>
      <c r="H60" s="19" t="s">
        <v>1080</v>
      </c>
      <c r="I60" s="27" t="s">
        <v>880</v>
      </c>
      <c r="J60" s="3" t="s">
        <v>950</v>
      </c>
      <c r="K60" s="4">
        <f>COUNTIFS(Relacion_Doc_Criterio!$A:$A,A60,Relacion_Doc_Criterio!$D:$D,"&lt;&gt;")</f>
        <v>1</v>
      </c>
      <c r="L60" s="4" t="e">
        <f>COUNTIFS(Relacion_Doc_Criterio!$A:$A,A60,Relacion_Doc_Criterio!$D:$D,"&lt;&gt;",Relacion_Doc_Criterio!#REF!,"Principal")</f>
        <v>#REF!</v>
      </c>
      <c r="M60" s="10"/>
    </row>
    <row r="61" spans="1:13" ht="81.599999999999994" customHeight="1">
      <c r="A61" s="13" t="s">
        <v>1081</v>
      </c>
      <c r="B61" s="22" t="s">
        <v>249</v>
      </c>
      <c r="C61" s="12" t="s">
        <v>146</v>
      </c>
      <c r="D61" s="15" t="s">
        <v>993</v>
      </c>
      <c r="E61" s="12">
        <v>5</v>
      </c>
      <c r="F61" s="13" t="s">
        <v>1082</v>
      </c>
      <c r="G61" s="2" t="s">
        <v>1083</v>
      </c>
      <c r="H61" s="19" t="s">
        <v>1084</v>
      </c>
      <c r="I61" s="27" t="s">
        <v>880</v>
      </c>
      <c r="J61" s="3" t="s">
        <v>950</v>
      </c>
      <c r="K61" s="4">
        <f>COUNTIFS(Relacion_Doc_Criterio!$A:$A,A61,Relacion_Doc_Criterio!$D:$D,"&lt;&gt;")</f>
        <v>1</v>
      </c>
      <c r="L61" s="4" t="e">
        <f>COUNTIFS(Relacion_Doc_Criterio!$A:$A,A61,Relacion_Doc_Criterio!$D:$D,"&lt;&gt;",Relacion_Doc_Criterio!#REF!,"Principal")</f>
        <v>#REF!</v>
      </c>
      <c r="M61" s="10"/>
    </row>
    <row r="62" spans="1:13" ht="55.15" customHeight="1">
      <c r="A62" s="13" t="s">
        <v>1085</v>
      </c>
      <c r="B62" s="22" t="s">
        <v>254</v>
      </c>
      <c r="C62" s="12" t="s">
        <v>146</v>
      </c>
      <c r="D62" s="15" t="s">
        <v>993</v>
      </c>
      <c r="E62" s="12">
        <v>5</v>
      </c>
      <c r="F62" s="13" t="s">
        <v>1082</v>
      </c>
      <c r="G62" s="2" t="s">
        <v>1086</v>
      </c>
      <c r="H62" s="19" t="s">
        <v>1087</v>
      </c>
      <c r="I62" s="27" t="s">
        <v>880</v>
      </c>
      <c r="J62" s="3" t="s">
        <v>950</v>
      </c>
      <c r="K62" s="4">
        <f>COUNTIFS(Relacion_Doc_Criterio!$A:$A,A62,Relacion_Doc_Criterio!$D:$D,"&lt;&gt;")</f>
        <v>1</v>
      </c>
      <c r="L62" s="4" t="e">
        <f>COUNTIFS(Relacion_Doc_Criterio!$A:$A,A62,Relacion_Doc_Criterio!$D:$D,"&lt;&gt;",Relacion_Doc_Criterio!#REF!,"Principal")</f>
        <v>#REF!</v>
      </c>
      <c r="M62" s="10"/>
    </row>
    <row r="63" spans="1:13" ht="52.9">
      <c r="A63" s="13" t="s">
        <v>1088</v>
      </c>
      <c r="B63" s="22" t="s">
        <v>257</v>
      </c>
      <c r="C63" s="12" t="s">
        <v>146</v>
      </c>
      <c r="D63" s="15" t="s">
        <v>993</v>
      </c>
      <c r="E63" s="12">
        <v>5</v>
      </c>
      <c r="F63" s="13" t="s">
        <v>1082</v>
      </c>
      <c r="G63" s="2" t="s">
        <v>1089</v>
      </c>
      <c r="H63" s="19" t="s">
        <v>1090</v>
      </c>
      <c r="I63" s="27" t="s">
        <v>880</v>
      </c>
      <c r="J63" s="3" t="s">
        <v>950</v>
      </c>
      <c r="K63" s="4">
        <f>COUNTIFS(Relacion_Doc_Criterio!$A:$A,A63,Relacion_Doc_Criterio!$D:$D,"&lt;&gt;")</f>
        <v>1</v>
      </c>
      <c r="L63" s="4" t="e">
        <f>COUNTIFS(Relacion_Doc_Criterio!$A:$A,A63,Relacion_Doc_Criterio!$D:$D,"&lt;&gt;",Relacion_Doc_Criterio!#REF!,"Principal")</f>
        <v>#REF!</v>
      </c>
      <c r="M63" s="10"/>
    </row>
    <row r="64" spans="1:13" ht="84" customHeight="1">
      <c r="A64" s="13" t="s">
        <v>1091</v>
      </c>
      <c r="B64" s="22" t="s">
        <v>260</v>
      </c>
      <c r="C64" s="12" t="s">
        <v>146</v>
      </c>
      <c r="D64" s="15" t="s">
        <v>993</v>
      </c>
      <c r="E64" s="12">
        <v>5</v>
      </c>
      <c r="F64" s="13" t="s">
        <v>1092</v>
      </c>
      <c r="G64" s="2" t="s">
        <v>1093</v>
      </c>
      <c r="H64" s="19" t="s">
        <v>1094</v>
      </c>
      <c r="I64" s="27" t="s">
        <v>880</v>
      </c>
      <c r="J64" s="3" t="s">
        <v>950</v>
      </c>
      <c r="K64" s="4">
        <f>COUNTIFS(Relacion_Doc_Criterio!$A:$A,A64,Relacion_Doc_Criterio!$D:$D,"&lt;&gt;")</f>
        <v>1</v>
      </c>
      <c r="L64" s="4" t="e">
        <f>COUNTIFS(Relacion_Doc_Criterio!$A:$A,A64,Relacion_Doc_Criterio!$D:$D,"&lt;&gt;",Relacion_Doc_Criterio!#REF!,"Principal")</f>
        <v>#REF!</v>
      </c>
      <c r="M64" s="10"/>
    </row>
    <row r="65" spans="1:13" ht="52.9">
      <c r="A65" s="13" t="s">
        <v>1095</v>
      </c>
      <c r="B65" s="22" t="s">
        <v>265</v>
      </c>
      <c r="C65" s="12" t="s">
        <v>146</v>
      </c>
      <c r="D65" s="15" t="s">
        <v>993</v>
      </c>
      <c r="E65" s="12">
        <v>5</v>
      </c>
      <c r="F65" s="13" t="s">
        <v>1092</v>
      </c>
      <c r="G65" s="2" t="s">
        <v>1096</v>
      </c>
      <c r="H65" s="19" t="s">
        <v>1097</v>
      </c>
      <c r="I65" s="27" t="s">
        <v>880</v>
      </c>
      <c r="J65" s="3" t="s">
        <v>950</v>
      </c>
      <c r="K65" s="4">
        <f>COUNTIFS(Relacion_Doc_Criterio!$A:$A,A65,Relacion_Doc_Criterio!$D:$D,"&lt;&gt;")</f>
        <v>1</v>
      </c>
      <c r="L65" s="4" t="e">
        <f>COUNTIFS(Relacion_Doc_Criterio!$A:$A,A65,Relacion_Doc_Criterio!$D:$D,"&lt;&gt;",Relacion_Doc_Criterio!#REF!,"Principal")</f>
        <v>#REF!</v>
      </c>
      <c r="M65" s="10"/>
    </row>
    <row r="66" spans="1:13" ht="84.6" customHeight="1">
      <c r="A66" s="13" t="s">
        <v>1098</v>
      </c>
      <c r="B66" s="22" t="s">
        <v>268</v>
      </c>
      <c r="C66" s="12" t="s">
        <v>146</v>
      </c>
      <c r="D66" s="15" t="s">
        <v>993</v>
      </c>
      <c r="E66" s="12">
        <v>5</v>
      </c>
      <c r="F66" s="13" t="s">
        <v>1099</v>
      </c>
      <c r="G66" s="2" t="s">
        <v>1100</v>
      </c>
      <c r="H66" s="19" t="s">
        <v>1101</v>
      </c>
      <c r="I66" s="27" t="s">
        <v>880</v>
      </c>
      <c r="J66" s="3" t="s">
        <v>950</v>
      </c>
      <c r="K66" s="4">
        <f>COUNTIFS(Relacion_Doc_Criterio!$A:$A,A66,Relacion_Doc_Criterio!$D:$D,"&lt;&gt;")</f>
        <v>1</v>
      </c>
      <c r="L66" s="4" t="e">
        <f>COUNTIFS(Relacion_Doc_Criterio!$A:$A,A66,Relacion_Doc_Criterio!$D:$D,"&lt;&gt;",Relacion_Doc_Criterio!#REF!,"Principal")</f>
        <v>#REF!</v>
      </c>
      <c r="M66" s="10"/>
    </row>
    <row r="67" spans="1:13" ht="70.150000000000006" customHeight="1">
      <c r="A67" s="13" t="s">
        <v>1102</v>
      </c>
      <c r="B67" s="22" t="s">
        <v>273</v>
      </c>
      <c r="C67" s="12" t="s">
        <v>146</v>
      </c>
      <c r="D67" s="15" t="s">
        <v>993</v>
      </c>
      <c r="E67" s="12">
        <v>5</v>
      </c>
      <c r="F67" s="13" t="s">
        <v>1103</v>
      </c>
      <c r="G67" s="2" t="s">
        <v>1104</v>
      </c>
      <c r="H67" s="19" t="s">
        <v>1105</v>
      </c>
      <c r="I67" s="27" t="s">
        <v>880</v>
      </c>
      <c r="J67" s="3" t="s">
        <v>950</v>
      </c>
      <c r="K67" s="4">
        <f>COUNTIFS(Relacion_Doc_Criterio!$A:$A,A67,Relacion_Doc_Criterio!$D:$D,"&lt;&gt;")</f>
        <v>1</v>
      </c>
      <c r="L67" s="4" t="e">
        <f>COUNTIFS(Relacion_Doc_Criterio!$A:$A,A67,Relacion_Doc_Criterio!$D:$D,"&lt;&gt;",Relacion_Doc_Criterio!#REF!,"Principal")</f>
        <v>#REF!</v>
      </c>
      <c r="M67" s="10"/>
    </row>
    <row r="68" spans="1:13" ht="72.599999999999994" customHeight="1">
      <c r="A68" s="13" t="s">
        <v>1106</v>
      </c>
      <c r="B68" s="22" t="s">
        <v>278</v>
      </c>
      <c r="C68" s="12" t="s">
        <v>146</v>
      </c>
      <c r="D68" s="15" t="s">
        <v>993</v>
      </c>
      <c r="E68" s="12">
        <v>5</v>
      </c>
      <c r="F68" s="13" t="s">
        <v>1103</v>
      </c>
      <c r="G68" s="2" t="s">
        <v>1107</v>
      </c>
      <c r="H68" s="19" t="s">
        <v>1108</v>
      </c>
      <c r="I68" s="27" t="s">
        <v>880</v>
      </c>
      <c r="J68" s="3" t="s">
        <v>950</v>
      </c>
      <c r="K68" s="4">
        <f>COUNTIFS(Relacion_Doc_Criterio!$A:$A,A68,Relacion_Doc_Criterio!$D:$D,"&lt;&gt;")</f>
        <v>1</v>
      </c>
      <c r="L68" s="4" t="e">
        <f>COUNTIFS(Relacion_Doc_Criterio!$A:$A,A68,Relacion_Doc_Criterio!$D:$D,"&lt;&gt;",Relacion_Doc_Criterio!#REF!,"Principal")</f>
        <v>#REF!</v>
      </c>
      <c r="M68" s="10"/>
    </row>
    <row r="69" spans="1:13" ht="52.9">
      <c r="A69" s="13" t="s">
        <v>1109</v>
      </c>
      <c r="B69" s="22" t="s">
        <v>281</v>
      </c>
      <c r="C69" s="12" t="s">
        <v>146</v>
      </c>
      <c r="D69" s="15" t="s">
        <v>993</v>
      </c>
      <c r="E69" s="12">
        <v>5</v>
      </c>
      <c r="F69" s="13" t="s">
        <v>1103</v>
      </c>
      <c r="G69" s="2" t="s">
        <v>1110</v>
      </c>
      <c r="H69" s="19" t="s">
        <v>1111</v>
      </c>
      <c r="I69" s="27" t="s">
        <v>880</v>
      </c>
      <c r="J69" s="3" t="s">
        <v>950</v>
      </c>
      <c r="K69" s="4">
        <f>COUNTIFS(Relacion_Doc_Criterio!$A:$A,A69,Relacion_Doc_Criterio!$D:$D,"&lt;&gt;")</f>
        <v>1</v>
      </c>
      <c r="L69" s="4" t="e">
        <f>COUNTIFS(Relacion_Doc_Criterio!$A:$A,A69,Relacion_Doc_Criterio!$D:$D,"&lt;&gt;",Relacion_Doc_Criterio!#REF!,"Principal")</f>
        <v>#REF!</v>
      </c>
      <c r="M69" s="10"/>
    </row>
    <row r="70" spans="1:13" ht="56.45" customHeight="1">
      <c r="A70" s="13" t="s">
        <v>1112</v>
      </c>
      <c r="B70" s="22" t="s">
        <v>284</v>
      </c>
      <c r="C70" s="12" t="s">
        <v>146</v>
      </c>
      <c r="D70" s="15" t="s">
        <v>993</v>
      </c>
      <c r="E70" s="12">
        <v>5</v>
      </c>
      <c r="F70" s="13" t="s">
        <v>1113</v>
      </c>
      <c r="G70" s="2" t="s">
        <v>1114</v>
      </c>
      <c r="H70" s="19" t="s">
        <v>1115</v>
      </c>
      <c r="I70" s="27" t="s">
        <v>965</v>
      </c>
      <c r="J70" s="3" t="s">
        <v>950</v>
      </c>
      <c r="K70" s="4">
        <f>COUNTIFS(Relacion_Doc_Criterio!$A:$A,A70,Relacion_Doc_Criterio!$D:$D,"&lt;&gt;")</f>
        <v>1</v>
      </c>
      <c r="L70" s="4" t="e">
        <f>COUNTIFS(Relacion_Doc_Criterio!$A:$A,A70,Relacion_Doc_Criterio!$D:$D,"&lt;&gt;",Relacion_Doc_Criterio!#REF!,"Principal")</f>
        <v>#REF!</v>
      </c>
    </row>
    <row r="71" spans="1:13" ht="70.900000000000006" customHeight="1">
      <c r="A71" s="13" t="s">
        <v>1116</v>
      </c>
      <c r="B71" s="22" t="s">
        <v>289</v>
      </c>
      <c r="C71" s="12" t="s">
        <v>146</v>
      </c>
      <c r="D71" s="15" t="s">
        <v>993</v>
      </c>
      <c r="E71" s="12">
        <v>5</v>
      </c>
      <c r="F71" s="13" t="s">
        <v>1113</v>
      </c>
      <c r="G71" s="2" t="s">
        <v>1117</v>
      </c>
      <c r="H71" s="19" t="s">
        <v>1118</v>
      </c>
      <c r="I71" s="27" t="s">
        <v>965</v>
      </c>
      <c r="J71" s="3" t="s">
        <v>950</v>
      </c>
      <c r="K71" s="4">
        <f>COUNTIFS(Relacion_Doc_Criterio!$A:$A,A71,Relacion_Doc_Criterio!$D:$D,"&lt;&gt;")</f>
        <v>1</v>
      </c>
      <c r="L71" s="4" t="e">
        <f>COUNTIFS(Relacion_Doc_Criterio!$A:$A,A71,Relacion_Doc_Criterio!$D:$D,"&lt;&gt;",Relacion_Doc_Criterio!#REF!,"Principal")</f>
        <v>#REF!</v>
      </c>
    </row>
    <row r="72" spans="1:13" ht="58.15" customHeight="1">
      <c r="A72" s="13" t="s">
        <v>1119</v>
      </c>
      <c r="B72" s="22" t="s">
        <v>292</v>
      </c>
      <c r="C72" s="12" t="s">
        <v>146</v>
      </c>
      <c r="D72" s="15" t="s">
        <v>993</v>
      </c>
      <c r="E72" s="12">
        <v>5</v>
      </c>
      <c r="F72" s="13" t="s">
        <v>1113</v>
      </c>
      <c r="G72" s="2" t="s">
        <v>1120</v>
      </c>
      <c r="H72" s="19" t="s">
        <v>1121</v>
      </c>
      <c r="I72" s="27" t="s">
        <v>965</v>
      </c>
      <c r="J72" s="3" t="s">
        <v>950</v>
      </c>
      <c r="K72" s="4">
        <f>COUNTIFS(Relacion_Doc_Criterio!$A:$A,A72,Relacion_Doc_Criterio!$D:$D,"&lt;&gt;")</f>
        <v>1</v>
      </c>
      <c r="L72" s="4" t="e">
        <f>COUNTIFS(Relacion_Doc_Criterio!$A:$A,A72,Relacion_Doc_Criterio!$D:$D,"&lt;&gt;",Relacion_Doc_Criterio!#REF!,"Principal")</f>
        <v>#REF!</v>
      </c>
    </row>
    <row r="73" spans="1:13" ht="85.9" customHeight="1">
      <c r="A73" s="13" t="s">
        <v>1122</v>
      </c>
      <c r="B73" s="22" t="s">
        <v>295</v>
      </c>
      <c r="C73" s="12" t="s">
        <v>146</v>
      </c>
      <c r="D73" s="15" t="s">
        <v>993</v>
      </c>
      <c r="E73" s="12">
        <v>5</v>
      </c>
      <c r="F73" s="13" t="s">
        <v>1113</v>
      </c>
      <c r="G73" s="2" t="s">
        <v>1114</v>
      </c>
      <c r="H73" s="19" t="s">
        <v>1123</v>
      </c>
      <c r="I73" s="27" t="s">
        <v>880</v>
      </c>
      <c r="J73" s="3" t="s">
        <v>950</v>
      </c>
      <c r="K73" s="4">
        <f>COUNTIFS(Relacion_Doc_Criterio!$A:$A,A73,Relacion_Doc_Criterio!$D:$D,"&lt;&gt;")</f>
        <v>1</v>
      </c>
      <c r="L73" s="4" t="e">
        <f>COUNTIFS(Relacion_Doc_Criterio!$A:$A,A73,Relacion_Doc_Criterio!$D:$D,"&lt;&gt;",Relacion_Doc_Criterio!#REF!,"Principal")</f>
        <v>#REF!</v>
      </c>
    </row>
    <row r="74" spans="1:13" ht="52.9">
      <c r="A74" s="13" t="s">
        <v>1124</v>
      </c>
      <c r="B74" s="22" t="s">
        <v>298</v>
      </c>
      <c r="C74" s="12" t="s">
        <v>146</v>
      </c>
      <c r="D74" s="15" t="s">
        <v>993</v>
      </c>
      <c r="E74" s="12">
        <v>5</v>
      </c>
      <c r="F74" s="13" t="s">
        <v>1113</v>
      </c>
      <c r="G74" s="2" t="s">
        <v>1125</v>
      </c>
      <c r="H74" s="19" t="s">
        <v>1126</v>
      </c>
      <c r="I74" s="27" t="s">
        <v>880</v>
      </c>
      <c r="J74" s="3" t="s">
        <v>950</v>
      </c>
      <c r="K74" s="4">
        <f>COUNTIFS(Relacion_Doc_Criterio!$A:$A,A74,Relacion_Doc_Criterio!$D:$D,"&lt;&gt;")</f>
        <v>1</v>
      </c>
      <c r="L74" s="4" t="e">
        <f>COUNTIFS(Relacion_Doc_Criterio!$A:$A,A74,Relacion_Doc_Criterio!$D:$D,"&lt;&gt;",Relacion_Doc_Criterio!#REF!,"Principal")</f>
        <v>#REF!</v>
      </c>
    </row>
    <row r="75" spans="1:13" ht="52.9">
      <c r="A75" s="13" t="s">
        <v>1127</v>
      </c>
      <c r="B75" s="22" t="s">
        <v>301</v>
      </c>
      <c r="C75" s="12" t="s">
        <v>146</v>
      </c>
      <c r="D75" s="15" t="s">
        <v>993</v>
      </c>
      <c r="E75" s="12">
        <v>5</v>
      </c>
      <c r="F75" s="13" t="s">
        <v>1113</v>
      </c>
      <c r="G75" s="2" t="s">
        <v>1128</v>
      </c>
      <c r="H75" s="19" t="s">
        <v>1129</v>
      </c>
      <c r="I75" s="27" t="s">
        <v>880</v>
      </c>
      <c r="J75" s="3" t="s">
        <v>950</v>
      </c>
      <c r="K75" s="4">
        <f>COUNTIFS(Relacion_Doc_Criterio!$A:$A,A75,Relacion_Doc_Criterio!$D:$D,"&lt;&gt;")</f>
        <v>1</v>
      </c>
      <c r="L75" s="4" t="e">
        <f>COUNTIFS(Relacion_Doc_Criterio!$A:$A,A75,Relacion_Doc_Criterio!$D:$D,"&lt;&gt;",Relacion_Doc_Criterio!#REF!,"Principal")</f>
        <v>#REF!</v>
      </c>
    </row>
    <row r="76" spans="1:13" ht="52.9">
      <c r="A76" s="13" t="s">
        <v>1130</v>
      </c>
      <c r="B76" s="22" t="s">
        <v>304</v>
      </c>
      <c r="C76" s="12" t="s">
        <v>146</v>
      </c>
      <c r="D76" s="15" t="s">
        <v>993</v>
      </c>
      <c r="E76" s="12">
        <v>5</v>
      </c>
      <c r="F76" s="13" t="s">
        <v>1131</v>
      </c>
      <c r="G76" s="2" t="s">
        <v>1132</v>
      </c>
      <c r="H76" s="19" t="s">
        <v>1133</v>
      </c>
      <c r="I76" s="27" t="s">
        <v>880</v>
      </c>
      <c r="J76" s="3" t="s">
        <v>950</v>
      </c>
      <c r="K76" s="4">
        <f>COUNTIFS(Relacion_Doc_Criterio!$A:$A,A76,Relacion_Doc_Criterio!$D:$D,"&lt;&gt;")</f>
        <v>1</v>
      </c>
      <c r="L76" s="4" t="e">
        <f>COUNTIFS(Relacion_Doc_Criterio!$A:$A,A76,Relacion_Doc_Criterio!$D:$D,"&lt;&gt;",Relacion_Doc_Criterio!#REF!,"Principal")</f>
        <v>#REF!</v>
      </c>
      <c r="M76" s="10"/>
    </row>
    <row r="77" spans="1:13" ht="52.9">
      <c r="A77" s="13" t="s">
        <v>1134</v>
      </c>
      <c r="B77" s="22" t="s">
        <v>309</v>
      </c>
      <c r="C77" s="12" t="s">
        <v>146</v>
      </c>
      <c r="D77" s="15" t="s">
        <v>993</v>
      </c>
      <c r="E77" s="12">
        <v>5</v>
      </c>
      <c r="F77" s="13" t="s">
        <v>1131</v>
      </c>
      <c r="G77" s="2" t="s">
        <v>1135</v>
      </c>
      <c r="H77" s="19" t="s">
        <v>1136</v>
      </c>
      <c r="I77" s="27" t="s">
        <v>880</v>
      </c>
      <c r="J77" s="3" t="s">
        <v>950</v>
      </c>
      <c r="K77" s="4">
        <f>COUNTIFS(Relacion_Doc_Criterio!$A:$A,A77,Relacion_Doc_Criterio!$D:$D,"&lt;&gt;")</f>
        <v>1</v>
      </c>
      <c r="L77" s="4" t="e">
        <f>COUNTIFS(Relacion_Doc_Criterio!$A:$A,A77,Relacion_Doc_Criterio!$D:$D,"&lt;&gt;",Relacion_Doc_Criterio!#REF!,"Principal")</f>
        <v>#REF!</v>
      </c>
      <c r="M77" s="10"/>
    </row>
    <row r="78" spans="1:13" ht="125.45" customHeight="1">
      <c r="A78" s="13" t="s">
        <v>1137</v>
      </c>
      <c r="B78" s="22" t="s">
        <v>312</v>
      </c>
      <c r="C78" s="12" t="s">
        <v>146</v>
      </c>
      <c r="D78" s="15" t="s">
        <v>993</v>
      </c>
      <c r="E78" s="12">
        <v>6</v>
      </c>
      <c r="F78" s="13" t="s">
        <v>1138</v>
      </c>
      <c r="G78" s="2" t="s">
        <v>1139</v>
      </c>
      <c r="H78" s="19" t="s">
        <v>1140</v>
      </c>
      <c r="I78" s="27" t="s">
        <v>880</v>
      </c>
      <c r="J78" s="3" t="s">
        <v>950</v>
      </c>
      <c r="K78" s="4">
        <f>COUNTIFS(Relacion_Doc_Criterio!$A:$A,A78,Relacion_Doc_Criterio!$D:$D,"&lt;&gt;")</f>
        <v>1</v>
      </c>
      <c r="L78" s="4" t="e">
        <f>COUNTIFS(Relacion_Doc_Criterio!$A:$A,A78,Relacion_Doc_Criterio!$D:$D,"&lt;&gt;",Relacion_Doc_Criterio!#REF!,"Principal")</f>
        <v>#REF!</v>
      </c>
      <c r="M78" s="10"/>
    </row>
    <row r="79" spans="1:13" ht="64.150000000000006" customHeight="1">
      <c r="A79" s="13" t="s">
        <v>1141</v>
      </c>
      <c r="B79" s="22" t="s">
        <v>319</v>
      </c>
      <c r="C79" s="12" t="s">
        <v>146</v>
      </c>
      <c r="D79" s="15" t="s">
        <v>993</v>
      </c>
      <c r="E79" s="12">
        <v>6</v>
      </c>
      <c r="F79" s="13" t="s">
        <v>1138</v>
      </c>
      <c r="G79" s="2" t="s">
        <v>1142</v>
      </c>
      <c r="H79" s="20" t="s">
        <v>1143</v>
      </c>
      <c r="I79" s="27" t="s">
        <v>880</v>
      </c>
      <c r="J79" s="3" t="s">
        <v>950</v>
      </c>
      <c r="K79" s="4">
        <f>COUNTIFS(Relacion_Doc_Criterio!$A:$A,A79,Relacion_Doc_Criterio!$D:$D,"&lt;&gt;")</f>
        <v>1</v>
      </c>
      <c r="L79" s="4" t="e">
        <f>COUNTIFS(Relacion_Doc_Criterio!$A:$A,A79,Relacion_Doc_Criterio!$D:$D,"&lt;&gt;",Relacion_Doc_Criterio!#REF!,"Principal")</f>
        <v>#REF!</v>
      </c>
      <c r="M79" s="10"/>
    </row>
    <row r="80" spans="1:13" ht="113.45" customHeight="1">
      <c r="A80" s="13" t="s">
        <v>1144</v>
      </c>
      <c r="B80" s="22" t="s">
        <v>322</v>
      </c>
      <c r="C80" s="12" t="s">
        <v>146</v>
      </c>
      <c r="D80" s="15" t="s">
        <v>993</v>
      </c>
      <c r="E80" s="12">
        <v>6</v>
      </c>
      <c r="F80" s="13" t="s">
        <v>1138</v>
      </c>
      <c r="G80" s="2" t="s">
        <v>1145</v>
      </c>
      <c r="H80" s="19" t="s">
        <v>1146</v>
      </c>
      <c r="I80" s="27" t="s">
        <v>880</v>
      </c>
      <c r="J80" s="3" t="s">
        <v>950</v>
      </c>
      <c r="K80" s="4">
        <f>COUNTIFS(Relacion_Doc_Criterio!$A:$A,A80,Relacion_Doc_Criterio!$D:$D,"&lt;&gt;")</f>
        <v>1</v>
      </c>
      <c r="L80" s="4" t="e">
        <f>COUNTIFS(Relacion_Doc_Criterio!$A:$A,A80,Relacion_Doc_Criterio!$D:$D,"&lt;&gt;",Relacion_Doc_Criterio!#REF!,"Principal")</f>
        <v>#REF!</v>
      </c>
      <c r="M80" s="10"/>
    </row>
    <row r="81" spans="1:13" ht="116.45" customHeight="1">
      <c r="A81" s="13" t="s">
        <v>1147</v>
      </c>
      <c r="B81" s="22" t="s">
        <v>325</v>
      </c>
      <c r="C81" s="12" t="s">
        <v>146</v>
      </c>
      <c r="D81" s="15" t="s">
        <v>993</v>
      </c>
      <c r="E81" s="12">
        <v>6</v>
      </c>
      <c r="F81" s="13" t="s">
        <v>1138</v>
      </c>
      <c r="G81" s="2" t="s">
        <v>1148</v>
      </c>
      <c r="H81" s="19" t="s">
        <v>1149</v>
      </c>
      <c r="I81" s="27" t="s">
        <v>880</v>
      </c>
      <c r="J81" s="3" t="s">
        <v>950</v>
      </c>
      <c r="K81" s="4">
        <f>COUNTIFS(Relacion_Doc_Criterio!$A:$A,A81,Relacion_Doc_Criterio!$D:$D,"&lt;&gt;")</f>
        <v>1</v>
      </c>
      <c r="L81" s="4" t="e">
        <f>COUNTIFS(Relacion_Doc_Criterio!$A:$A,A81,Relacion_Doc_Criterio!$D:$D,"&lt;&gt;",Relacion_Doc_Criterio!#REF!,"Principal")</f>
        <v>#REF!</v>
      </c>
      <c r="M81" s="10"/>
    </row>
    <row r="82" spans="1:13" ht="52.9">
      <c r="A82" s="13" t="s">
        <v>1150</v>
      </c>
      <c r="B82" s="22" t="s">
        <v>328</v>
      </c>
      <c r="C82" s="12" t="s">
        <v>146</v>
      </c>
      <c r="D82" s="15" t="s">
        <v>993</v>
      </c>
      <c r="E82" s="12">
        <v>6</v>
      </c>
      <c r="F82" s="13" t="s">
        <v>1151</v>
      </c>
      <c r="G82" s="2" t="s">
        <v>1152</v>
      </c>
      <c r="H82" s="19" t="s">
        <v>1153</v>
      </c>
      <c r="I82" s="27" t="s">
        <v>880</v>
      </c>
      <c r="J82" s="3" t="s">
        <v>950</v>
      </c>
      <c r="K82" s="4">
        <f>COUNTIFS(Relacion_Doc_Criterio!$A:$A,A82,Relacion_Doc_Criterio!$D:$D,"&lt;&gt;")</f>
        <v>1</v>
      </c>
      <c r="L82" s="4" t="e">
        <f>COUNTIFS(Relacion_Doc_Criterio!$A:$A,A82,Relacion_Doc_Criterio!$D:$D,"&lt;&gt;",Relacion_Doc_Criterio!#REF!,"Principal")</f>
        <v>#REF!</v>
      </c>
      <c r="M82" s="10"/>
    </row>
    <row r="83" spans="1:13" ht="72.599999999999994" customHeight="1">
      <c r="A83" s="13" t="s">
        <v>1154</v>
      </c>
      <c r="B83" s="22" t="s">
        <v>333</v>
      </c>
      <c r="C83" s="12" t="s">
        <v>146</v>
      </c>
      <c r="D83" s="15" t="s">
        <v>993</v>
      </c>
      <c r="E83" s="12">
        <v>6</v>
      </c>
      <c r="F83" s="13" t="s">
        <v>1151</v>
      </c>
      <c r="G83" s="2" t="s">
        <v>1155</v>
      </c>
      <c r="H83" s="19" t="s">
        <v>1156</v>
      </c>
      <c r="I83" s="27" t="s">
        <v>880</v>
      </c>
      <c r="J83" s="3" t="s">
        <v>950</v>
      </c>
      <c r="K83" s="4">
        <f>COUNTIFS(Relacion_Doc_Criterio!$A:$A,A83,Relacion_Doc_Criterio!$D:$D,"&lt;&gt;")</f>
        <v>1</v>
      </c>
      <c r="L83" s="4" t="e">
        <f>COUNTIFS(Relacion_Doc_Criterio!$A:$A,A83,Relacion_Doc_Criterio!$D:$D,"&lt;&gt;",Relacion_Doc_Criterio!#REF!,"Principal")</f>
        <v>#REF!</v>
      </c>
      <c r="M83" s="10"/>
    </row>
    <row r="84" spans="1:13" ht="118.9">
      <c r="A84" s="13" t="s">
        <v>1157</v>
      </c>
      <c r="B84" s="22" t="s">
        <v>336</v>
      </c>
      <c r="C84" s="12" t="s">
        <v>146</v>
      </c>
      <c r="D84" s="15" t="s">
        <v>993</v>
      </c>
      <c r="E84" s="12">
        <v>6</v>
      </c>
      <c r="F84" s="13" t="s">
        <v>1158</v>
      </c>
      <c r="G84" s="2" t="s">
        <v>1159</v>
      </c>
      <c r="H84" s="19" t="s">
        <v>1160</v>
      </c>
      <c r="I84" s="27" t="s">
        <v>880</v>
      </c>
      <c r="J84" s="3" t="s">
        <v>950</v>
      </c>
      <c r="K84" s="4">
        <f>COUNTIFS(Relacion_Doc_Criterio!$A:$A,A84,Relacion_Doc_Criterio!$D:$D,"&lt;&gt;")</f>
        <v>1</v>
      </c>
      <c r="L84" s="4" t="e">
        <f>COUNTIFS(Relacion_Doc_Criterio!$A:$A,A84,Relacion_Doc_Criterio!$D:$D,"&lt;&gt;",Relacion_Doc_Criterio!#REF!,"Principal")</f>
        <v>#REF!</v>
      </c>
      <c r="M84" s="10"/>
    </row>
    <row r="85" spans="1:13" ht="52.9">
      <c r="A85" s="13" t="s">
        <v>1161</v>
      </c>
      <c r="B85" s="22" t="s">
        <v>341</v>
      </c>
      <c r="C85" s="12" t="s">
        <v>146</v>
      </c>
      <c r="D85" s="15" t="s">
        <v>993</v>
      </c>
      <c r="E85" s="12">
        <v>6</v>
      </c>
      <c r="F85" s="13" t="s">
        <v>1158</v>
      </c>
      <c r="G85" s="2" t="s">
        <v>1162</v>
      </c>
      <c r="H85" s="19" t="s">
        <v>1163</v>
      </c>
      <c r="I85" s="27" t="s">
        <v>880</v>
      </c>
      <c r="J85" s="3" t="s">
        <v>950</v>
      </c>
      <c r="K85" s="4">
        <f>COUNTIFS(Relacion_Doc_Criterio!$A:$A,A85,Relacion_Doc_Criterio!$D:$D,"&lt;&gt;")</f>
        <v>1</v>
      </c>
      <c r="L85" s="4" t="e">
        <f>COUNTIFS(Relacion_Doc_Criterio!$A:$A,A85,Relacion_Doc_Criterio!$D:$D,"&lt;&gt;",Relacion_Doc_Criterio!#REF!,"Principal")</f>
        <v>#REF!</v>
      </c>
      <c r="M85" s="10"/>
    </row>
    <row r="86" spans="1:13" ht="97.9" customHeight="1">
      <c r="A86" s="13" t="s">
        <v>1164</v>
      </c>
      <c r="B86" s="22" t="s">
        <v>344</v>
      </c>
      <c r="C86" s="12" t="s">
        <v>146</v>
      </c>
      <c r="D86" s="15" t="s">
        <v>993</v>
      </c>
      <c r="E86" s="12">
        <v>6</v>
      </c>
      <c r="F86" s="13" t="s">
        <v>1165</v>
      </c>
      <c r="G86" s="2" t="s">
        <v>1166</v>
      </c>
      <c r="H86" s="19" t="s">
        <v>1167</v>
      </c>
      <c r="I86" s="27" t="s">
        <v>880</v>
      </c>
      <c r="J86" s="3" t="s">
        <v>950</v>
      </c>
      <c r="K86" s="4">
        <f>COUNTIFS(Relacion_Doc_Criterio!$A:$A,A86,Relacion_Doc_Criterio!$D:$D,"&lt;&gt;")</f>
        <v>1</v>
      </c>
      <c r="L86" s="4" t="e">
        <f>COUNTIFS(Relacion_Doc_Criterio!$A:$A,A86,Relacion_Doc_Criterio!$D:$D,"&lt;&gt;",Relacion_Doc_Criterio!#REF!,"Principal")</f>
        <v>#REF!</v>
      </c>
      <c r="M86" s="10"/>
    </row>
    <row r="87" spans="1:13" ht="100.9" customHeight="1">
      <c r="A87" s="13" t="s">
        <v>1168</v>
      </c>
      <c r="B87" s="22" t="s">
        <v>349</v>
      </c>
      <c r="C87" s="12" t="s">
        <v>146</v>
      </c>
      <c r="D87" s="15" t="s">
        <v>993</v>
      </c>
      <c r="E87" s="12">
        <v>6</v>
      </c>
      <c r="F87" s="13" t="s">
        <v>1165</v>
      </c>
      <c r="G87" s="2" t="s">
        <v>1169</v>
      </c>
      <c r="H87" s="19" t="s">
        <v>1170</v>
      </c>
      <c r="I87" s="27" t="s">
        <v>880</v>
      </c>
      <c r="J87" s="3" t="s">
        <v>950</v>
      </c>
      <c r="K87" s="4">
        <f>COUNTIFS(Relacion_Doc_Criterio!$A:$A,A87,Relacion_Doc_Criterio!$D:$D,"&lt;&gt;")</f>
        <v>1</v>
      </c>
      <c r="L87" s="4" t="e">
        <f>COUNTIFS(Relacion_Doc_Criterio!$A:$A,A87,Relacion_Doc_Criterio!$D:$D,"&lt;&gt;",Relacion_Doc_Criterio!#REF!,"Principal")</f>
        <v>#REF!</v>
      </c>
      <c r="M87" s="10"/>
    </row>
    <row r="88" spans="1:13" ht="100.9" customHeight="1">
      <c r="A88" s="13" t="s">
        <v>1171</v>
      </c>
      <c r="B88" s="22" t="s">
        <v>352</v>
      </c>
      <c r="C88" s="12" t="s">
        <v>146</v>
      </c>
      <c r="D88" s="15" t="s">
        <v>993</v>
      </c>
      <c r="E88" s="12">
        <v>6</v>
      </c>
      <c r="F88" s="13" t="s">
        <v>1165</v>
      </c>
      <c r="G88" s="2" t="s">
        <v>1172</v>
      </c>
      <c r="H88" s="19" t="s">
        <v>1173</v>
      </c>
      <c r="I88" s="27" t="s">
        <v>880</v>
      </c>
      <c r="J88" s="3" t="s">
        <v>950</v>
      </c>
      <c r="K88" s="4">
        <f>COUNTIFS(Relacion_Doc_Criterio!$A:$A,A88,Relacion_Doc_Criterio!$D:$D,"&lt;&gt;")</f>
        <v>1</v>
      </c>
      <c r="L88" s="4" t="e">
        <f>COUNTIFS(Relacion_Doc_Criterio!$A:$A,A88,Relacion_Doc_Criterio!$D:$D,"&lt;&gt;",Relacion_Doc_Criterio!#REF!,"Principal")</f>
        <v>#REF!</v>
      </c>
      <c r="M88" s="10"/>
    </row>
    <row r="89" spans="1:13" ht="87.6" customHeight="1">
      <c r="A89" s="13" t="s">
        <v>1174</v>
      </c>
      <c r="B89" s="22" t="s">
        <v>355</v>
      </c>
      <c r="C89" s="12" t="s">
        <v>146</v>
      </c>
      <c r="D89" s="15" t="s">
        <v>993</v>
      </c>
      <c r="E89" s="12">
        <v>6</v>
      </c>
      <c r="F89" s="13" t="s">
        <v>1165</v>
      </c>
      <c r="G89" s="2" t="s">
        <v>1175</v>
      </c>
      <c r="H89" s="19" t="s">
        <v>1176</v>
      </c>
      <c r="I89" s="27" t="s">
        <v>880</v>
      </c>
      <c r="J89" s="3" t="s">
        <v>950</v>
      </c>
      <c r="K89" s="4">
        <f>COUNTIFS(Relacion_Doc_Criterio!$A:$A,A89,Relacion_Doc_Criterio!$D:$D,"&lt;&gt;")</f>
        <v>1</v>
      </c>
      <c r="L89" s="4" t="e">
        <f>COUNTIFS(Relacion_Doc_Criterio!$A:$A,A89,Relacion_Doc_Criterio!$D:$D,"&lt;&gt;",Relacion_Doc_Criterio!#REF!,"Principal")</f>
        <v>#REF!</v>
      </c>
      <c r="M89" s="10"/>
    </row>
    <row r="90" spans="1:13" ht="82.15" customHeight="1">
      <c r="A90" s="13" t="s">
        <v>1177</v>
      </c>
      <c r="B90" s="22" t="s">
        <v>358</v>
      </c>
      <c r="C90" s="12" t="s">
        <v>146</v>
      </c>
      <c r="D90" s="15" t="s">
        <v>993</v>
      </c>
      <c r="E90" s="12">
        <v>6</v>
      </c>
      <c r="F90" s="13" t="s">
        <v>1165</v>
      </c>
      <c r="G90" s="2" t="s">
        <v>1178</v>
      </c>
      <c r="H90" s="19" t="s">
        <v>1179</v>
      </c>
      <c r="I90" s="27" t="s">
        <v>880</v>
      </c>
      <c r="J90" s="3" t="s">
        <v>950</v>
      </c>
      <c r="K90" s="4">
        <f>COUNTIFS(Relacion_Doc_Criterio!$A:$A,A90,Relacion_Doc_Criterio!$D:$D,"&lt;&gt;")</f>
        <v>1</v>
      </c>
      <c r="L90" s="4" t="e">
        <f>COUNTIFS(Relacion_Doc_Criterio!$A:$A,A90,Relacion_Doc_Criterio!$D:$D,"&lt;&gt;",Relacion_Doc_Criterio!#REF!,"Principal")</f>
        <v>#REF!</v>
      </c>
      <c r="M90" s="10"/>
    </row>
    <row r="91" spans="1:13" ht="52.9">
      <c r="A91" s="13" t="s">
        <v>1180</v>
      </c>
      <c r="B91" s="22" t="s">
        <v>361</v>
      </c>
      <c r="C91" s="12" t="s">
        <v>146</v>
      </c>
      <c r="D91" s="15" t="s">
        <v>993</v>
      </c>
      <c r="E91" s="12">
        <v>6</v>
      </c>
      <c r="F91" s="13" t="s">
        <v>1181</v>
      </c>
      <c r="G91" s="2" t="s">
        <v>1182</v>
      </c>
      <c r="H91" s="19" t="s">
        <v>1183</v>
      </c>
      <c r="I91" s="27" t="s">
        <v>880</v>
      </c>
      <c r="J91" s="3" t="s">
        <v>950</v>
      </c>
      <c r="K91" s="4">
        <f>COUNTIFS(Relacion_Doc_Criterio!$A:$A,A91,Relacion_Doc_Criterio!$D:$D,"&lt;&gt;")</f>
        <v>1</v>
      </c>
      <c r="L91" s="4" t="e">
        <f>COUNTIFS(Relacion_Doc_Criterio!$A:$A,A91,Relacion_Doc_Criterio!$D:$D,"&lt;&gt;",Relacion_Doc_Criterio!#REF!,"Principal")</f>
        <v>#REF!</v>
      </c>
      <c r="M91" s="10"/>
    </row>
    <row r="92" spans="1:13" ht="129.6" customHeight="1">
      <c r="A92" s="13" t="s">
        <v>1184</v>
      </c>
      <c r="B92" s="22" t="s">
        <v>366</v>
      </c>
      <c r="C92" s="12" t="s">
        <v>146</v>
      </c>
      <c r="D92" s="15" t="s">
        <v>993</v>
      </c>
      <c r="E92" s="12">
        <v>6</v>
      </c>
      <c r="F92" s="13" t="s">
        <v>1181</v>
      </c>
      <c r="G92" s="2" t="s">
        <v>1185</v>
      </c>
      <c r="H92" s="19" t="s">
        <v>1186</v>
      </c>
      <c r="I92" s="27" t="s">
        <v>880</v>
      </c>
      <c r="J92" s="3" t="s">
        <v>950</v>
      </c>
      <c r="K92" s="4">
        <f>COUNTIFS(Relacion_Doc_Criterio!$A:$A,A92,Relacion_Doc_Criterio!$D:$D,"&lt;&gt;")</f>
        <v>1</v>
      </c>
      <c r="L92" s="4" t="e">
        <f>COUNTIFS(Relacion_Doc_Criterio!$A:$A,A92,Relacion_Doc_Criterio!$D:$D,"&lt;&gt;",Relacion_Doc_Criterio!#REF!,"Principal")</f>
        <v>#REF!</v>
      </c>
      <c r="M92" s="10"/>
    </row>
    <row r="93" spans="1:13" ht="52.9">
      <c r="A93" s="13" t="s">
        <v>1187</v>
      </c>
      <c r="B93" s="22" t="s">
        <v>369</v>
      </c>
      <c r="C93" s="12" t="s">
        <v>146</v>
      </c>
      <c r="D93" s="15" t="s">
        <v>993</v>
      </c>
      <c r="E93" s="12">
        <v>6</v>
      </c>
      <c r="F93" s="13" t="s">
        <v>1181</v>
      </c>
      <c r="G93" s="2" t="s">
        <v>1188</v>
      </c>
      <c r="H93" s="19" t="s">
        <v>1189</v>
      </c>
      <c r="I93" s="27" t="s">
        <v>880</v>
      </c>
      <c r="J93" s="3" t="s">
        <v>950</v>
      </c>
      <c r="K93" s="4">
        <f>COUNTIFS(Relacion_Doc_Criterio!$A:$A,A93,Relacion_Doc_Criterio!$D:$D,"&lt;&gt;")</f>
        <v>1</v>
      </c>
      <c r="L93" s="4" t="e">
        <f>COUNTIFS(Relacion_Doc_Criterio!$A:$A,A93,Relacion_Doc_Criterio!$D:$D,"&lt;&gt;",Relacion_Doc_Criterio!#REF!,"Principal")</f>
        <v>#REF!</v>
      </c>
      <c r="M93" s="10"/>
    </row>
    <row r="94" spans="1:13" ht="71.45" customHeight="1">
      <c r="A94" s="13" t="s">
        <v>1190</v>
      </c>
      <c r="B94" s="22" t="s">
        <v>372</v>
      </c>
      <c r="C94" s="12" t="s">
        <v>146</v>
      </c>
      <c r="D94" s="15" t="s">
        <v>993</v>
      </c>
      <c r="E94" s="12">
        <v>6</v>
      </c>
      <c r="F94" s="13" t="s">
        <v>1181</v>
      </c>
      <c r="G94" s="2" t="s">
        <v>1191</v>
      </c>
      <c r="H94" s="19" t="s">
        <v>1192</v>
      </c>
      <c r="I94" s="27" t="s">
        <v>880</v>
      </c>
      <c r="J94" s="3" t="s">
        <v>950</v>
      </c>
      <c r="K94" s="4">
        <f>COUNTIFS(Relacion_Doc_Criterio!$A:$A,A94,Relacion_Doc_Criterio!$D:$D,"&lt;&gt;")</f>
        <v>1</v>
      </c>
      <c r="L94" s="4" t="e">
        <f>COUNTIFS(Relacion_Doc_Criterio!$A:$A,A94,Relacion_Doc_Criterio!$D:$D,"&lt;&gt;",Relacion_Doc_Criterio!#REF!,"Principal")</f>
        <v>#REF!</v>
      </c>
      <c r="M94" s="10"/>
    </row>
    <row r="95" spans="1:13" ht="86.45" customHeight="1">
      <c r="A95" s="13" t="s">
        <v>1193</v>
      </c>
      <c r="B95" s="22" t="s">
        <v>375</v>
      </c>
      <c r="C95" s="12" t="s">
        <v>146</v>
      </c>
      <c r="D95" s="15" t="s">
        <v>993</v>
      </c>
      <c r="E95" s="12">
        <v>6</v>
      </c>
      <c r="F95" s="13" t="s">
        <v>1181</v>
      </c>
      <c r="G95" s="2" t="s">
        <v>1194</v>
      </c>
      <c r="H95" s="19" t="s">
        <v>1195</v>
      </c>
      <c r="I95" s="27" t="s">
        <v>880</v>
      </c>
      <c r="J95" s="3" t="s">
        <v>950</v>
      </c>
      <c r="K95" s="4">
        <f>COUNTIFS(Relacion_Doc_Criterio!$A:$A,A95,Relacion_Doc_Criterio!$D:$D,"&lt;&gt;")</f>
        <v>1</v>
      </c>
      <c r="L95" s="4" t="e">
        <f>COUNTIFS(Relacion_Doc_Criterio!$A:$A,A95,Relacion_Doc_Criterio!$D:$D,"&lt;&gt;",Relacion_Doc_Criterio!#REF!,"Principal")</f>
        <v>#REF!</v>
      </c>
      <c r="M95" s="10"/>
    </row>
    <row r="96" spans="1:13" ht="52.9">
      <c r="A96" s="13" t="s">
        <v>1196</v>
      </c>
      <c r="B96" s="22" t="s">
        <v>378</v>
      </c>
      <c r="C96" s="12" t="s">
        <v>146</v>
      </c>
      <c r="D96" s="15" t="s">
        <v>993</v>
      </c>
      <c r="E96" s="12">
        <v>6</v>
      </c>
      <c r="F96" s="13" t="s">
        <v>1181</v>
      </c>
      <c r="G96" s="2" t="s">
        <v>1197</v>
      </c>
      <c r="H96" s="19" t="s">
        <v>1198</v>
      </c>
      <c r="I96" s="27" t="s">
        <v>880</v>
      </c>
      <c r="J96" s="3" t="s">
        <v>950</v>
      </c>
      <c r="K96" s="4">
        <f>COUNTIFS(Relacion_Doc_Criterio!$A:$A,A96,Relacion_Doc_Criterio!$D:$D,"&lt;&gt;")</f>
        <v>1</v>
      </c>
      <c r="L96" s="4" t="e">
        <f>COUNTIFS(Relacion_Doc_Criterio!$A:$A,A96,Relacion_Doc_Criterio!$D:$D,"&lt;&gt;",Relacion_Doc_Criterio!#REF!,"Principal")</f>
        <v>#REF!</v>
      </c>
      <c r="M96" s="10"/>
    </row>
    <row r="97" spans="1:13" ht="130.15" customHeight="1">
      <c r="A97" s="13" t="s">
        <v>1199</v>
      </c>
      <c r="B97" s="22" t="s">
        <v>381</v>
      </c>
      <c r="C97" s="12" t="s">
        <v>146</v>
      </c>
      <c r="D97" s="15" t="s">
        <v>993</v>
      </c>
      <c r="E97" s="12">
        <v>6</v>
      </c>
      <c r="F97" s="13" t="s">
        <v>1200</v>
      </c>
      <c r="G97" s="2" t="s">
        <v>1201</v>
      </c>
      <c r="H97" s="19" t="s">
        <v>1202</v>
      </c>
      <c r="I97" s="27" t="s">
        <v>880</v>
      </c>
      <c r="J97" s="3" t="s">
        <v>950</v>
      </c>
      <c r="K97" s="4">
        <f>COUNTIFS(Relacion_Doc_Criterio!$A:$A,A97,Relacion_Doc_Criterio!$D:$D,"&lt;&gt;")</f>
        <v>1</v>
      </c>
      <c r="L97" s="4" t="e">
        <f>COUNTIFS(Relacion_Doc_Criterio!$A:$A,A97,Relacion_Doc_Criterio!$D:$D,"&lt;&gt;",Relacion_Doc_Criterio!#REF!,"Principal")</f>
        <v>#REF!</v>
      </c>
      <c r="M97" s="10"/>
    </row>
    <row r="98" spans="1:13" ht="61.9" customHeight="1">
      <c r="A98" s="13" t="s">
        <v>1203</v>
      </c>
      <c r="B98" s="22" t="s">
        <v>386</v>
      </c>
      <c r="C98" s="12" t="s">
        <v>146</v>
      </c>
      <c r="D98" s="15" t="s">
        <v>993</v>
      </c>
      <c r="E98" s="12">
        <v>6</v>
      </c>
      <c r="F98" s="13" t="s">
        <v>1200</v>
      </c>
      <c r="G98" s="2" t="s">
        <v>1204</v>
      </c>
      <c r="H98" s="19" t="s">
        <v>1205</v>
      </c>
      <c r="I98" s="27" t="s">
        <v>880</v>
      </c>
      <c r="J98" s="3" t="s">
        <v>950</v>
      </c>
      <c r="K98" s="4">
        <f>COUNTIFS(Relacion_Doc_Criterio!$A:$A,A98,Relacion_Doc_Criterio!$D:$D,"&lt;&gt;")</f>
        <v>1</v>
      </c>
      <c r="L98" s="4" t="e">
        <f>COUNTIFS(Relacion_Doc_Criterio!$A:$A,A98,Relacion_Doc_Criterio!$D:$D,"&lt;&gt;",Relacion_Doc_Criterio!#REF!,"Principal")</f>
        <v>#REF!</v>
      </c>
      <c r="M98" s="10"/>
    </row>
    <row r="99" spans="1:13" ht="126" customHeight="1">
      <c r="A99" s="13" t="s">
        <v>1206</v>
      </c>
      <c r="B99" s="22" t="s">
        <v>389</v>
      </c>
      <c r="C99" s="12" t="s">
        <v>146</v>
      </c>
      <c r="D99" s="15" t="s">
        <v>993</v>
      </c>
      <c r="E99" s="12">
        <v>7</v>
      </c>
      <c r="F99" s="13" t="s">
        <v>1207</v>
      </c>
      <c r="G99" s="2" t="s">
        <v>1208</v>
      </c>
      <c r="H99" s="19" t="s">
        <v>1209</v>
      </c>
      <c r="I99" s="27" t="s">
        <v>880</v>
      </c>
      <c r="J99" s="3" t="s">
        <v>950</v>
      </c>
      <c r="K99" s="4">
        <f>COUNTIFS(Relacion_Doc_Criterio!$A:$A,A99,Relacion_Doc_Criterio!$D:$D,"&lt;&gt;")</f>
        <v>1</v>
      </c>
      <c r="L99" s="4" t="e">
        <f>COUNTIFS(Relacion_Doc_Criterio!$A:$A,A99,Relacion_Doc_Criterio!$D:$D,"&lt;&gt;",Relacion_Doc_Criterio!#REF!,"Principal")</f>
        <v>#REF!</v>
      </c>
      <c r="M99" s="10"/>
    </row>
    <row r="100" spans="1:13" ht="52.9">
      <c r="A100" s="13" t="s">
        <v>1210</v>
      </c>
      <c r="B100" s="22" t="s">
        <v>396</v>
      </c>
      <c r="C100" s="12" t="s">
        <v>146</v>
      </c>
      <c r="D100" s="15" t="s">
        <v>993</v>
      </c>
      <c r="E100" s="12">
        <v>7</v>
      </c>
      <c r="F100" s="13" t="s">
        <v>1207</v>
      </c>
      <c r="G100" s="2" t="s">
        <v>1211</v>
      </c>
      <c r="H100" s="19" t="s">
        <v>1212</v>
      </c>
      <c r="I100" s="27" t="s">
        <v>880</v>
      </c>
      <c r="J100" s="3" t="s">
        <v>950</v>
      </c>
      <c r="K100" s="4">
        <f>COUNTIFS(Relacion_Doc_Criterio!$A:$A,A100,Relacion_Doc_Criterio!$D:$D,"&lt;&gt;")</f>
        <v>1</v>
      </c>
      <c r="L100" s="4" t="e">
        <f>COUNTIFS(Relacion_Doc_Criterio!$A:$A,A100,Relacion_Doc_Criterio!$D:$D,"&lt;&gt;",Relacion_Doc_Criterio!#REF!,"Principal")</f>
        <v>#REF!</v>
      </c>
      <c r="M100" s="10"/>
    </row>
    <row r="101" spans="1:13" ht="100.9" customHeight="1">
      <c r="A101" s="13" t="s">
        <v>1213</v>
      </c>
      <c r="B101" s="22" t="s">
        <v>399</v>
      </c>
      <c r="C101" s="12" t="s">
        <v>146</v>
      </c>
      <c r="D101" s="15" t="s">
        <v>993</v>
      </c>
      <c r="E101" s="12">
        <v>7</v>
      </c>
      <c r="F101" s="13" t="s">
        <v>1207</v>
      </c>
      <c r="G101" s="2" t="s">
        <v>1214</v>
      </c>
      <c r="H101" s="19" t="s">
        <v>1215</v>
      </c>
      <c r="I101" s="27" t="s">
        <v>880</v>
      </c>
      <c r="J101" s="3" t="s">
        <v>950</v>
      </c>
      <c r="K101" s="4">
        <f>COUNTIFS(Relacion_Doc_Criterio!$A:$A,A101,Relacion_Doc_Criterio!$D:$D,"&lt;&gt;")</f>
        <v>1</v>
      </c>
      <c r="L101" s="4" t="e">
        <f>COUNTIFS(Relacion_Doc_Criterio!$A:$A,A101,Relacion_Doc_Criterio!$D:$D,"&lt;&gt;",Relacion_Doc_Criterio!#REF!,"Principal")</f>
        <v>#REF!</v>
      </c>
      <c r="M101" s="10"/>
    </row>
    <row r="102" spans="1:13" ht="124.15" customHeight="1">
      <c r="A102" s="13" t="s">
        <v>1216</v>
      </c>
      <c r="B102" s="22" t="s">
        <v>402</v>
      </c>
      <c r="C102" s="12" t="s">
        <v>146</v>
      </c>
      <c r="D102" s="15" t="s">
        <v>993</v>
      </c>
      <c r="E102" s="12">
        <v>7</v>
      </c>
      <c r="F102" s="13" t="s">
        <v>1217</v>
      </c>
      <c r="G102" s="2" t="s">
        <v>1218</v>
      </c>
      <c r="H102" s="19" t="s">
        <v>1219</v>
      </c>
      <c r="I102" s="27" t="s">
        <v>880</v>
      </c>
      <c r="J102" s="3" t="s">
        <v>950</v>
      </c>
      <c r="K102" s="4">
        <f>COUNTIFS(Relacion_Doc_Criterio!$A:$A,A102,Relacion_Doc_Criterio!$D:$D,"&lt;&gt;")</f>
        <v>1</v>
      </c>
      <c r="L102" s="4" t="e">
        <f>COUNTIFS(Relacion_Doc_Criterio!$A:$A,A102,Relacion_Doc_Criterio!$D:$D,"&lt;&gt;",Relacion_Doc_Criterio!#REF!,"Principal")</f>
        <v>#REF!</v>
      </c>
      <c r="M102" s="10"/>
    </row>
    <row r="103" spans="1:13" ht="71.45" customHeight="1">
      <c r="A103" s="13" t="s">
        <v>1220</v>
      </c>
      <c r="B103" s="22" t="s">
        <v>407</v>
      </c>
      <c r="C103" s="12" t="s">
        <v>146</v>
      </c>
      <c r="D103" s="15" t="s">
        <v>993</v>
      </c>
      <c r="E103" s="12">
        <v>7</v>
      </c>
      <c r="F103" s="13" t="s">
        <v>1217</v>
      </c>
      <c r="G103" s="2" t="s">
        <v>1221</v>
      </c>
      <c r="H103" s="19" t="s">
        <v>1222</v>
      </c>
      <c r="I103" s="27" t="s">
        <v>880</v>
      </c>
      <c r="J103" s="3" t="s">
        <v>950</v>
      </c>
      <c r="K103" s="4">
        <f>COUNTIFS(Relacion_Doc_Criterio!$A:$A,A103,Relacion_Doc_Criterio!$D:$D,"&lt;&gt;")</f>
        <v>1</v>
      </c>
      <c r="L103" s="4" t="e">
        <f>COUNTIFS(Relacion_Doc_Criterio!$A:$A,A103,Relacion_Doc_Criterio!$D:$D,"&lt;&gt;",Relacion_Doc_Criterio!#REF!,"Principal")</f>
        <v>#REF!</v>
      </c>
      <c r="M103" s="10"/>
    </row>
    <row r="104" spans="1:13" ht="90" customHeight="1">
      <c r="A104" s="13" t="s">
        <v>1223</v>
      </c>
      <c r="B104" s="22" t="s">
        <v>410</v>
      </c>
      <c r="C104" s="12" t="s">
        <v>146</v>
      </c>
      <c r="D104" s="15" t="s">
        <v>993</v>
      </c>
      <c r="E104" s="12">
        <v>7</v>
      </c>
      <c r="F104" s="13" t="s">
        <v>1217</v>
      </c>
      <c r="G104" s="2" t="s">
        <v>1224</v>
      </c>
      <c r="H104" s="19" t="s">
        <v>1225</v>
      </c>
      <c r="I104" s="27" t="s">
        <v>880</v>
      </c>
      <c r="J104" s="3" t="s">
        <v>950</v>
      </c>
      <c r="K104" s="4">
        <f>COUNTIFS(Relacion_Doc_Criterio!$A:$A,A104,Relacion_Doc_Criterio!$D:$D,"&lt;&gt;")</f>
        <v>1</v>
      </c>
      <c r="L104" s="4" t="e">
        <f>COUNTIFS(Relacion_Doc_Criterio!$A:$A,A104,Relacion_Doc_Criterio!$D:$D,"&lt;&gt;",Relacion_Doc_Criterio!#REF!,"Principal")</f>
        <v>#REF!</v>
      </c>
      <c r="M104" s="10"/>
    </row>
    <row r="105" spans="1:13" ht="79.150000000000006">
      <c r="A105" s="13" t="s">
        <v>1226</v>
      </c>
      <c r="B105" s="22" t="s">
        <v>413</v>
      </c>
      <c r="C105" s="12" t="s">
        <v>146</v>
      </c>
      <c r="D105" s="15" t="s">
        <v>993</v>
      </c>
      <c r="E105" s="12">
        <v>7</v>
      </c>
      <c r="F105" s="13" t="s">
        <v>1227</v>
      </c>
      <c r="G105" s="2" t="s">
        <v>1228</v>
      </c>
      <c r="H105" s="19" t="s">
        <v>1229</v>
      </c>
      <c r="I105" s="27" t="s">
        <v>880</v>
      </c>
      <c r="J105" s="3" t="s">
        <v>950</v>
      </c>
      <c r="K105" s="4">
        <f>COUNTIFS(Relacion_Doc_Criterio!$A:$A,A105,Relacion_Doc_Criterio!$D:$D,"&lt;&gt;")</f>
        <v>1</v>
      </c>
      <c r="L105" s="4" t="e">
        <f>COUNTIFS(Relacion_Doc_Criterio!$A:$A,A105,Relacion_Doc_Criterio!$D:$D,"&lt;&gt;",Relacion_Doc_Criterio!#REF!,"Principal")</f>
        <v>#REF!</v>
      </c>
      <c r="M105" s="10"/>
    </row>
    <row r="106" spans="1:13" ht="78.599999999999994" customHeight="1">
      <c r="A106" s="13" t="s">
        <v>1230</v>
      </c>
      <c r="B106" s="22" t="s">
        <v>418</v>
      </c>
      <c r="C106" s="12" t="s">
        <v>146</v>
      </c>
      <c r="D106" s="15" t="s">
        <v>993</v>
      </c>
      <c r="E106" s="12">
        <v>7</v>
      </c>
      <c r="F106" s="13" t="s">
        <v>1227</v>
      </c>
      <c r="G106" s="2" t="s">
        <v>1231</v>
      </c>
      <c r="H106" s="19" t="s">
        <v>1232</v>
      </c>
      <c r="I106" s="27" t="s">
        <v>880</v>
      </c>
      <c r="J106" s="3" t="s">
        <v>950</v>
      </c>
      <c r="K106" s="4">
        <f>COUNTIFS(Relacion_Doc_Criterio!$A:$A,A106,Relacion_Doc_Criterio!$D:$D,"&lt;&gt;")</f>
        <v>1</v>
      </c>
      <c r="L106" s="4" t="e">
        <f>COUNTIFS(Relacion_Doc_Criterio!$A:$A,A106,Relacion_Doc_Criterio!$D:$D,"&lt;&gt;",Relacion_Doc_Criterio!#REF!,"Principal")</f>
        <v>#REF!</v>
      </c>
      <c r="M106" s="10"/>
    </row>
    <row r="107" spans="1:13" ht="103.9" customHeight="1">
      <c r="A107" s="13" t="s">
        <v>1233</v>
      </c>
      <c r="B107" s="22" t="s">
        <v>421</v>
      </c>
      <c r="C107" s="12" t="s">
        <v>146</v>
      </c>
      <c r="D107" s="15" t="s">
        <v>993</v>
      </c>
      <c r="E107" s="12">
        <v>7</v>
      </c>
      <c r="F107" s="13" t="s">
        <v>1227</v>
      </c>
      <c r="G107" s="2" t="s">
        <v>1234</v>
      </c>
      <c r="H107" s="19" t="s">
        <v>1235</v>
      </c>
      <c r="I107" s="27" t="s">
        <v>880</v>
      </c>
      <c r="J107" s="3" t="s">
        <v>950</v>
      </c>
      <c r="K107" s="4">
        <f>COUNTIFS(Relacion_Doc_Criterio!$A:$A,A107,Relacion_Doc_Criterio!$D:$D,"&lt;&gt;")</f>
        <v>1</v>
      </c>
      <c r="L107" s="4" t="e">
        <f>COUNTIFS(Relacion_Doc_Criterio!$A:$A,A107,Relacion_Doc_Criterio!$D:$D,"&lt;&gt;",Relacion_Doc_Criterio!#REF!,"Principal")</f>
        <v>#REF!</v>
      </c>
      <c r="M107" s="10"/>
    </row>
    <row r="108" spans="1:13" ht="73.900000000000006" customHeight="1">
      <c r="A108" s="13" t="s">
        <v>1236</v>
      </c>
      <c r="B108" s="22" t="s">
        <v>424</v>
      </c>
      <c r="C108" s="12" t="s">
        <v>146</v>
      </c>
      <c r="D108" s="15" t="s">
        <v>993</v>
      </c>
      <c r="E108" s="12">
        <v>7</v>
      </c>
      <c r="F108" s="13" t="s">
        <v>1237</v>
      </c>
      <c r="G108" s="2" t="s">
        <v>1238</v>
      </c>
      <c r="H108" s="19" t="s">
        <v>1239</v>
      </c>
      <c r="I108" s="27" t="s">
        <v>880</v>
      </c>
      <c r="J108" s="3" t="s">
        <v>950</v>
      </c>
      <c r="K108" s="4">
        <f>COUNTIFS(Relacion_Doc_Criterio!$A:$A,A108,Relacion_Doc_Criterio!$D:$D,"&lt;&gt;")</f>
        <v>1</v>
      </c>
      <c r="L108" s="4" t="e">
        <f>COUNTIFS(Relacion_Doc_Criterio!$A:$A,A108,Relacion_Doc_Criterio!$D:$D,"&lt;&gt;",Relacion_Doc_Criterio!#REF!,"Principal")</f>
        <v>#REF!</v>
      </c>
      <c r="M108" s="10"/>
    </row>
    <row r="109" spans="1:13" ht="78" customHeight="1">
      <c r="A109" s="13" t="s">
        <v>1240</v>
      </c>
      <c r="B109" s="22" t="s">
        <v>429</v>
      </c>
      <c r="C109" s="12" t="s">
        <v>146</v>
      </c>
      <c r="D109" s="15" t="s">
        <v>993</v>
      </c>
      <c r="E109" s="12">
        <v>7</v>
      </c>
      <c r="F109" s="13" t="s">
        <v>1237</v>
      </c>
      <c r="G109" s="2" t="s">
        <v>1241</v>
      </c>
      <c r="H109" s="19" t="s">
        <v>1242</v>
      </c>
      <c r="I109" s="27" t="s">
        <v>880</v>
      </c>
      <c r="J109" s="3" t="s">
        <v>950</v>
      </c>
      <c r="K109" s="4">
        <f>COUNTIFS(Relacion_Doc_Criterio!$A:$A,A109,Relacion_Doc_Criterio!$D:$D,"&lt;&gt;")</f>
        <v>1</v>
      </c>
      <c r="L109" s="4" t="e">
        <f>COUNTIFS(Relacion_Doc_Criterio!$A:$A,A109,Relacion_Doc_Criterio!$D:$D,"&lt;&gt;",Relacion_Doc_Criterio!#REF!,"Principal")</f>
        <v>#REF!</v>
      </c>
      <c r="M109" s="10"/>
    </row>
    <row r="110" spans="1:13" ht="52.9">
      <c r="A110" s="13" t="s">
        <v>1243</v>
      </c>
      <c r="B110" s="22" t="s">
        <v>432</v>
      </c>
      <c r="C110" s="12" t="s">
        <v>146</v>
      </c>
      <c r="D110" s="15" t="s">
        <v>993</v>
      </c>
      <c r="E110" s="12">
        <v>7</v>
      </c>
      <c r="F110" s="13" t="s">
        <v>1237</v>
      </c>
      <c r="G110" s="2" t="s">
        <v>1244</v>
      </c>
      <c r="H110" s="19" t="s">
        <v>1245</v>
      </c>
      <c r="I110" s="27" t="s">
        <v>880</v>
      </c>
      <c r="J110" s="3" t="s">
        <v>950</v>
      </c>
      <c r="K110" s="4">
        <f>COUNTIFS(Relacion_Doc_Criterio!$A:$A,A110,Relacion_Doc_Criterio!$D:$D,"&lt;&gt;")</f>
        <v>1</v>
      </c>
      <c r="L110" s="4" t="e">
        <f>COUNTIFS(Relacion_Doc_Criterio!$A:$A,A110,Relacion_Doc_Criterio!$D:$D,"&lt;&gt;",Relacion_Doc_Criterio!#REF!,"Principal")</f>
        <v>#REF!</v>
      </c>
      <c r="M110" s="10"/>
    </row>
    <row r="111" spans="1:13" ht="76.900000000000006" customHeight="1">
      <c r="A111" s="13" t="s">
        <v>1246</v>
      </c>
      <c r="B111" s="22" t="s">
        <v>435</v>
      </c>
      <c r="C111" s="12" t="s">
        <v>146</v>
      </c>
      <c r="D111" s="15" t="s">
        <v>993</v>
      </c>
      <c r="E111" s="12">
        <v>7</v>
      </c>
      <c r="F111" s="13" t="s">
        <v>1237</v>
      </c>
      <c r="G111" s="2" t="s">
        <v>1247</v>
      </c>
      <c r="H111" s="19" t="s">
        <v>1248</v>
      </c>
      <c r="I111" s="27" t="s">
        <v>880</v>
      </c>
      <c r="J111" s="3" t="s">
        <v>950</v>
      </c>
      <c r="K111" s="4">
        <f>COUNTIFS(Relacion_Doc_Criterio!$A:$A,A111,Relacion_Doc_Criterio!$D:$D,"&lt;&gt;")</f>
        <v>1</v>
      </c>
      <c r="L111" s="4" t="e">
        <f>COUNTIFS(Relacion_Doc_Criterio!$A:$A,A111,Relacion_Doc_Criterio!$D:$D,"&lt;&gt;",Relacion_Doc_Criterio!#REF!,"Principal")</f>
        <v>#REF!</v>
      </c>
      <c r="M111" s="10"/>
    </row>
    <row r="112" spans="1:13" ht="103.15" customHeight="1">
      <c r="A112" s="13" t="s">
        <v>1249</v>
      </c>
      <c r="B112" s="22" t="s">
        <v>438</v>
      </c>
      <c r="C112" s="12" t="s">
        <v>146</v>
      </c>
      <c r="D112" s="15" t="s">
        <v>993</v>
      </c>
      <c r="E112" s="12">
        <v>7</v>
      </c>
      <c r="F112" s="13" t="s">
        <v>1237</v>
      </c>
      <c r="G112" s="2" t="s">
        <v>1250</v>
      </c>
      <c r="H112" s="19" t="s">
        <v>1251</v>
      </c>
      <c r="I112" s="27" t="s">
        <v>880</v>
      </c>
      <c r="J112" s="3" t="s">
        <v>950</v>
      </c>
      <c r="K112" s="4">
        <f>COUNTIFS(Relacion_Doc_Criterio!$A:$A,A112,Relacion_Doc_Criterio!$D:$D,"&lt;&gt;")</f>
        <v>1</v>
      </c>
      <c r="L112" s="4" t="e">
        <f>COUNTIFS(Relacion_Doc_Criterio!$A:$A,A112,Relacion_Doc_Criterio!$D:$D,"&lt;&gt;",Relacion_Doc_Criterio!#REF!,"Principal")</f>
        <v>#REF!</v>
      </c>
      <c r="M112" s="10"/>
    </row>
    <row r="113" spans="1:13" ht="66">
      <c r="A113" s="13" t="s">
        <v>1252</v>
      </c>
      <c r="B113" s="22" t="s">
        <v>441</v>
      </c>
      <c r="C113" s="12" t="s">
        <v>146</v>
      </c>
      <c r="D113" s="15" t="s">
        <v>993</v>
      </c>
      <c r="E113" s="12">
        <v>7</v>
      </c>
      <c r="F113" s="13" t="s">
        <v>1253</v>
      </c>
      <c r="G113" s="2" t="s">
        <v>1254</v>
      </c>
      <c r="H113" s="19" t="s">
        <v>1255</v>
      </c>
      <c r="I113" s="27" t="s">
        <v>880</v>
      </c>
      <c r="J113" s="3" t="s">
        <v>950</v>
      </c>
      <c r="K113" s="4">
        <f>COUNTIFS(Relacion_Doc_Criterio!$A:$A,A113,Relacion_Doc_Criterio!$D:$D,"&lt;&gt;")</f>
        <v>1</v>
      </c>
      <c r="L113" s="4" t="e">
        <f>COUNTIFS(Relacion_Doc_Criterio!$A:$A,A113,Relacion_Doc_Criterio!$D:$D,"&lt;&gt;",Relacion_Doc_Criterio!#REF!,"Principal")</f>
        <v>#REF!</v>
      </c>
      <c r="M113" s="10"/>
    </row>
    <row r="114" spans="1:13" ht="52.9">
      <c r="A114" s="13" t="s">
        <v>1256</v>
      </c>
      <c r="B114" s="22" t="s">
        <v>446</v>
      </c>
      <c r="C114" s="12" t="s">
        <v>146</v>
      </c>
      <c r="D114" s="15" t="s">
        <v>993</v>
      </c>
      <c r="E114" s="12">
        <v>7</v>
      </c>
      <c r="F114" s="13" t="s">
        <v>1253</v>
      </c>
      <c r="G114" s="2" t="s">
        <v>1257</v>
      </c>
      <c r="H114" s="19" t="s">
        <v>1258</v>
      </c>
      <c r="I114" s="27" t="s">
        <v>880</v>
      </c>
      <c r="J114" s="3" t="s">
        <v>950</v>
      </c>
      <c r="K114" s="4">
        <f>COUNTIFS(Relacion_Doc_Criterio!$A:$A,A114,Relacion_Doc_Criterio!$D:$D,"&lt;&gt;")</f>
        <v>1</v>
      </c>
      <c r="L114" s="4" t="e">
        <f>COUNTIFS(Relacion_Doc_Criterio!$A:$A,A114,Relacion_Doc_Criterio!$D:$D,"&lt;&gt;",Relacion_Doc_Criterio!#REF!,"Principal")</f>
        <v>#REF!</v>
      </c>
      <c r="M114" s="10"/>
    </row>
    <row r="115" spans="1:13" ht="102" customHeight="1">
      <c r="A115" s="13" t="s">
        <v>1259</v>
      </c>
      <c r="B115" s="22" t="s">
        <v>449</v>
      </c>
      <c r="C115" s="12" t="s">
        <v>450</v>
      </c>
      <c r="D115" s="15" t="s">
        <v>1260</v>
      </c>
      <c r="E115" s="12">
        <v>8</v>
      </c>
      <c r="F115" s="13" t="s">
        <v>1261</v>
      </c>
      <c r="G115" s="2" t="s">
        <v>1262</v>
      </c>
      <c r="H115" s="19" t="s">
        <v>1263</v>
      </c>
      <c r="I115" s="27" t="s">
        <v>880</v>
      </c>
      <c r="J115" s="3" t="s">
        <v>950</v>
      </c>
      <c r="K115" s="4">
        <f>COUNTIFS(Relacion_Doc_Criterio!$A:$A,A115,Relacion_Doc_Criterio!$D:$D,"&lt;&gt;")</f>
        <v>1</v>
      </c>
      <c r="L115" s="4" t="e">
        <f>COUNTIFS(Relacion_Doc_Criterio!$A:$A,A115,Relacion_Doc_Criterio!$D:$D,"&lt;&gt;",Relacion_Doc_Criterio!#REF!,"Principal")</f>
        <v>#REF!</v>
      </c>
      <c r="M115" s="10"/>
    </row>
    <row r="116" spans="1:13" ht="48.6" customHeight="1">
      <c r="A116" s="13" t="s">
        <v>1264</v>
      </c>
      <c r="B116" s="22" t="s">
        <v>458</v>
      </c>
      <c r="C116" s="12" t="s">
        <v>450</v>
      </c>
      <c r="D116" s="15" t="s">
        <v>1260</v>
      </c>
      <c r="E116" s="12">
        <v>8</v>
      </c>
      <c r="F116" s="13" t="s">
        <v>1261</v>
      </c>
      <c r="G116" s="2" t="s">
        <v>1265</v>
      </c>
      <c r="H116" s="19" t="s">
        <v>1266</v>
      </c>
      <c r="I116" s="27" t="s">
        <v>880</v>
      </c>
      <c r="J116" s="3" t="s">
        <v>950</v>
      </c>
      <c r="K116" s="4">
        <f>COUNTIFS(Relacion_Doc_Criterio!$A:$A,A116,Relacion_Doc_Criterio!$D:$D,"&lt;&gt;")</f>
        <v>1</v>
      </c>
      <c r="L116" s="4" t="e">
        <f>COUNTIFS(Relacion_Doc_Criterio!$A:$A,A116,Relacion_Doc_Criterio!$D:$D,"&lt;&gt;",Relacion_Doc_Criterio!#REF!,"Principal")</f>
        <v>#REF!</v>
      </c>
      <c r="M116" s="10"/>
    </row>
    <row r="117" spans="1:13" ht="113.45" customHeight="1">
      <c r="A117" s="13" t="s">
        <v>1267</v>
      </c>
      <c r="B117" s="22" t="s">
        <v>461</v>
      </c>
      <c r="C117" s="12" t="s">
        <v>450</v>
      </c>
      <c r="D117" s="15" t="s">
        <v>1260</v>
      </c>
      <c r="E117" s="12">
        <v>8</v>
      </c>
      <c r="F117" s="13" t="s">
        <v>1268</v>
      </c>
      <c r="G117" s="2" t="s">
        <v>1269</v>
      </c>
      <c r="H117" s="19" t="s">
        <v>1270</v>
      </c>
      <c r="I117" s="27" t="s">
        <v>880</v>
      </c>
      <c r="J117" s="3" t="s">
        <v>950</v>
      </c>
      <c r="K117" s="4">
        <f>COUNTIFS(Relacion_Doc_Criterio!$A:$A,A117,Relacion_Doc_Criterio!$D:$D,"&lt;&gt;")</f>
        <v>1</v>
      </c>
      <c r="L117" s="4" t="e">
        <f>COUNTIFS(Relacion_Doc_Criterio!$A:$A,A117,Relacion_Doc_Criterio!$D:$D,"&lt;&gt;",Relacion_Doc_Criterio!#REF!,"Principal")</f>
        <v>#REF!</v>
      </c>
      <c r="M117" s="10"/>
    </row>
    <row r="118" spans="1:13" ht="52.9">
      <c r="A118" s="13" t="s">
        <v>1271</v>
      </c>
      <c r="B118" s="22" t="s">
        <v>466</v>
      </c>
      <c r="C118" s="12" t="s">
        <v>450</v>
      </c>
      <c r="D118" s="15" t="s">
        <v>1260</v>
      </c>
      <c r="E118" s="12">
        <v>8</v>
      </c>
      <c r="F118" s="13" t="s">
        <v>1268</v>
      </c>
      <c r="G118" s="2" t="s">
        <v>1272</v>
      </c>
      <c r="H118" s="19" t="s">
        <v>1273</v>
      </c>
      <c r="I118" s="27" t="s">
        <v>880</v>
      </c>
      <c r="J118" s="3" t="s">
        <v>950</v>
      </c>
      <c r="K118" s="4">
        <f>COUNTIFS(Relacion_Doc_Criterio!$A:$A,A118,Relacion_Doc_Criterio!$D:$D,"&lt;&gt;")</f>
        <v>1</v>
      </c>
      <c r="L118" s="4" t="e">
        <f>COUNTIFS(Relacion_Doc_Criterio!$A:$A,A118,Relacion_Doc_Criterio!$D:$D,"&lt;&gt;",Relacion_Doc_Criterio!#REF!,"Principal")</f>
        <v>#REF!</v>
      </c>
      <c r="M118" s="10"/>
    </row>
    <row r="119" spans="1:13" ht="59.45" customHeight="1">
      <c r="A119" s="13" t="s">
        <v>1274</v>
      </c>
      <c r="B119" s="22" t="s">
        <v>469</v>
      </c>
      <c r="C119" s="12" t="s">
        <v>450</v>
      </c>
      <c r="D119" s="15" t="s">
        <v>1260</v>
      </c>
      <c r="E119" s="12">
        <v>8</v>
      </c>
      <c r="F119" s="13" t="s">
        <v>1268</v>
      </c>
      <c r="G119" s="2" t="s">
        <v>1275</v>
      </c>
      <c r="H119" s="19" t="s">
        <v>1276</v>
      </c>
      <c r="I119" s="27" t="s">
        <v>880</v>
      </c>
      <c r="J119" s="3" t="s">
        <v>950</v>
      </c>
      <c r="K119" s="4">
        <f>COUNTIFS(Relacion_Doc_Criterio!$A:$A,A119,Relacion_Doc_Criterio!$D:$D,"&lt;&gt;")</f>
        <v>1</v>
      </c>
      <c r="L119" s="4" t="e">
        <f>COUNTIFS(Relacion_Doc_Criterio!$A:$A,A119,Relacion_Doc_Criterio!$D:$D,"&lt;&gt;",Relacion_Doc_Criterio!#REF!,"Principal")</f>
        <v>#REF!</v>
      </c>
      <c r="M119" s="10"/>
    </row>
    <row r="120" spans="1:13" ht="63" customHeight="1">
      <c r="A120" s="13" t="s">
        <v>1277</v>
      </c>
      <c r="B120" s="22" t="s">
        <v>472</v>
      </c>
      <c r="C120" s="12" t="s">
        <v>450</v>
      </c>
      <c r="D120" s="15" t="s">
        <v>1260</v>
      </c>
      <c r="E120" s="12">
        <v>8</v>
      </c>
      <c r="F120" s="13" t="s">
        <v>1268</v>
      </c>
      <c r="G120" s="2" t="s">
        <v>1278</v>
      </c>
      <c r="H120" s="19" t="s">
        <v>1279</v>
      </c>
      <c r="I120" s="27" t="s">
        <v>880</v>
      </c>
      <c r="J120" s="3" t="s">
        <v>950</v>
      </c>
      <c r="K120" s="4">
        <f>COUNTIFS(Relacion_Doc_Criterio!$A:$A,A120,Relacion_Doc_Criterio!$D:$D,"&lt;&gt;")</f>
        <v>1</v>
      </c>
      <c r="L120" s="4" t="e">
        <f>COUNTIFS(Relacion_Doc_Criterio!$A:$A,A120,Relacion_Doc_Criterio!$D:$D,"&lt;&gt;",Relacion_Doc_Criterio!#REF!,"Principal")</f>
        <v>#REF!</v>
      </c>
      <c r="M120" s="10"/>
    </row>
    <row r="121" spans="1:13" ht="76.900000000000006" customHeight="1">
      <c r="A121" s="13" t="s">
        <v>1280</v>
      </c>
      <c r="B121" s="22" t="s">
        <v>475</v>
      </c>
      <c r="C121" s="12" t="s">
        <v>450</v>
      </c>
      <c r="D121" s="15" t="s">
        <v>1260</v>
      </c>
      <c r="E121" s="12">
        <v>8</v>
      </c>
      <c r="F121" s="13" t="s">
        <v>1281</v>
      </c>
      <c r="G121" s="2" t="s">
        <v>1282</v>
      </c>
      <c r="H121" s="19" t="s">
        <v>1283</v>
      </c>
      <c r="I121" s="27" t="s">
        <v>880</v>
      </c>
      <c r="J121" s="3" t="s">
        <v>950</v>
      </c>
      <c r="K121" s="4">
        <f>COUNTIFS(Relacion_Doc_Criterio!$A:$A,A121,Relacion_Doc_Criterio!$D:$D,"&lt;&gt;")</f>
        <v>1</v>
      </c>
      <c r="L121" s="4" t="e">
        <f>COUNTIFS(Relacion_Doc_Criterio!$A:$A,A121,Relacion_Doc_Criterio!$D:$D,"&lt;&gt;",Relacion_Doc_Criterio!#REF!,"Principal")</f>
        <v>#REF!</v>
      </c>
      <c r="M121" s="10"/>
    </row>
    <row r="122" spans="1:13" ht="59.45" customHeight="1">
      <c r="A122" s="13" t="s">
        <v>1284</v>
      </c>
      <c r="B122" s="22" t="s">
        <v>480</v>
      </c>
      <c r="C122" s="12" t="s">
        <v>450</v>
      </c>
      <c r="D122" s="15" t="s">
        <v>1260</v>
      </c>
      <c r="E122" s="12">
        <v>8</v>
      </c>
      <c r="F122" s="13" t="s">
        <v>1281</v>
      </c>
      <c r="G122" s="2" t="s">
        <v>1285</v>
      </c>
      <c r="H122" s="19" t="s">
        <v>1286</v>
      </c>
      <c r="I122" s="27" t="s">
        <v>880</v>
      </c>
      <c r="J122" s="3" t="s">
        <v>950</v>
      </c>
      <c r="K122" s="4">
        <f>COUNTIFS(Relacion_Doc_Criterio!$A:$A,A122,Relacion_Doc_Criterio!$D:$D,"&lt;&gt;")</f>
        <v>1</v>
      </c>
      <c r="L122" s="4" t="e">
        <f>COUNTIFS(Relacion_Doc_Criterio!$A:$A,A122,Relacion_Doc_Criterio!$D:$D,"&lt;&gt;",Relacion_Doc_Criterio!#REF!,"Principal")</f>
        <v>#REF!</v>
      </c>
      <c r="M122" s="10"/>
    </row>
    <row r="123" spans="1:13" ht="39.6">
      <c r="A123" s="13" t="s">
        <v>1287</v>
      </c>
      <c r="B123" s="22" t="s">
        <v>483</v>
      </c>
      <c r="C123" s="12" t="s">
        <v>450</v>
      </c>
      <c r="D123" s="15" t="s">
        <v>1260</v>
      </c>
      <c r="E123" s="12">
        <v>8</v>
      </c>
      <c r="F123" s="13" t="s">
        <v>1281</v>
      </c>
      <c r="G123" s="2" t="s">
        <v>1288</v>
      </c>
      <c r="H123" s="19" t="s">
        <v>1289</v>
      </c>
      <c r="I123" s="27" t="s">
        <v>880</v>
      </c>
      <c r="J123" s="3" t="s">
        <v>950</v>
      </c>
      <c r="K123" s="4">
        <f>COUNTIFS(Relacion_Doc_Criterio!$A:$A,A123,Relacion_Doc_Criterio!$D:$D,"&lt;&gt;")</f>
        <v>1</v>
      </c>
      <c r="L123" s="4" t="e">
        <f>COUNTIFS(Relacion_Doc_Criterio!$A:$A,A123,Relacion_Doc_Criterio!$D:$D,"&lt;&gt;",Relacion_Doc_Criterio!#REF!,"Principal")</f>
        <v>#REF!</v>
      </c>
      <c r="M123" s="10"/>
    </row>
    <row r="124" spans="1:13" ht="72" customHeight="1">
      <c r="A124" s="13" t="s">
        <v>1290</v>
      </c>
      <c r="B124" s="22" t="s">
        <v>486</v>
      </c>
      <c r="C124" s="12" t="s">
        <v>450</v>
      </c>
      <c r="D124" s="15" t="s">
        <v>1260</v>
      </c>
      <c r="E124" s="12">
        <v>8</v>
      </c>
      <c r="F124" s="13" t="s">
        <v>1291</v>
      </c>
      <c r="G124" s="2" t="s">
        <v>1292</v>
      </c>
      <c r="H124" s="19" t="s">
        <v>1293</v>
      </c>
      <c r="I124" s="27" t="s">
        <v>880</v>
      </c>
      <c r="J124" s="3" t="s">
        <v>950</v>
      </c>
      <c r="K124" s="4">
        <f>COUNTIFS(Relacion_Doc_Criterio!$A:$A,A124,Relacion_Doc_Criterio!$D:$D,"&lt;&gt;")</f>
        <v>1</v>
      </c>
      <c r="L124" s="4" t="e">
        <f>COUNTIFS(Relacion_Doc_Criterio!$A:$A,A124,Relacion_Doc_Criterio!$D:$D,"&lt;&gt;",Relacion_Doc_Criterio!#REF!,"Principal")</f>
        <v>#REF!</v>
      </c>
      <c r="M124" s="10"/>
    </row>
    <row r="125" spans="1:13" ht="60.6" customHeight="1">
      <c r="A125" s="13" t="s">
        <v>1294</v>
      </c>
      <c r="B125" s="22" t="s">
        <v>491</v>
      </c>
      <c r="C125" s="12" t="s">
        <v>450</v>
      </c>
      <c r="D125" s="15" t="s">
        <v>1260</v>
      </c>
      <c r="E125" s="12">
        <v>8</v>
      </c>
      <c r="F125" s="13" t="s">
        <v>1291</v>
      </c>
      <c r="G125" s="2" t="s">
        <v>1295</v>
      </c>
      <c r="H125" s="19" t="s">
        <v>1296</v>
      </c>
      <c r="I125" s="27" t="s">
        <v>880</v>
      </c>
      <c r="J125" s="3" t="s">
        <v>950</v>
      </c>
      <c r="K125" s="4">
        <f>COUNTIFS(Relacion_Doc_Criterio!$A:$A,A125,Relacion_Doc_Criterio!$D:$D,"&lt;&gt;")</f>
        <v>1</v>
      </c>
      <c r="L125" s="4" t="e">
        <f>COUNTIFS(Relacion_Doc_Criterio!$A:$A,A125,Relacion_Doc_Criterio!$D:$D,"&lt;&gt;",Relacion_Doc_Criterio!#REF!,"Principal")</f>
        <v>#REF!</v>
      </c>
      <c r="M125" s="10"/>
    </row>
    <row r="126" spans="1:13" ht="66">
      <c r="A126" s="13" t="s">
        <v>1297</v>
      </c>
      <c r="B126" s="22" t="s">
        <v>494</v>
      </c>
      <c r="C126" s="12" t="s">
        <v>450</v>
      </c>
      <c r="D126" s="15" t="s">
        <v>1260</v>
      </c>
      <c r="E126" s="12">
        <v>8</v>
      </c>
      <c r="F126" s="13" t="s">
        <v>1291</v>
      </c>
      <c r="G126" s="2" t="s">
        <v>1298</v>
      </c>
      <c r="H126" s="19" t="s">
        <v>1299</v>
      </c>
      <c r="I126" s="27" t="s">
        <v>880</v>
      </c>
      <c r="J126" s="3" t="s">
        <v>950</v>
      </c>
      <c r="K126" s="4">
        <f>COUNTIFS(Relacion_Doc_Criterio!$A:$A,A126,Relacion_Doc_Criterio!$D:$D,"&lt;&gt;")</f>
        <v>1</v>
      </c>
      <c r="L126" s="4" t="e">
        <f>COUNTIFS(Relacion_Doc_Criterio!$A:$A,A126,Relacion_Doc_Criterio!$D:$D,"&lt;&gt;",Relacion_Doc_Criterio!#REF!,"Principal")</f>
        <v>#REF!</v>
      </c>
      <c r="M126" s="10"/>
    </row>
    <row r="127" spans="1:13" ht="65.45" customHeight="1">
      <c r="A127" s="13" t="s">
        <v>1300</v>
      </c>
      <c r="B127" s="22" t="s">
        <v>497</v>
      </c>
      <c r="C127" s="12" t="s">
        <v>450</v>
      </c>
      <c r="D127" s="15" t="s">
        <v>1260</v>
      </c>
      <c r="E127" s="12">
        <v>8</v>
      </c>
      <c r="F127" s="13" t="s">
        <v>1291</v>
      </c>
      <c r="G127" s="2" t="s">
        <v>1301</v>
      </c>
      <c r="H127" s="19" t="s">
        <v>1302</v>
      </c>
      <c r="I127" s="27" t="s">
        <v>880</v>
      </c>
      <c r="J127" s="3" t="s">
        <v>950</v>
      </c>
      <c r="K127" s="4">
        <f>COUNTIFS(Relacion_Doc_Criterio!$A:$A,A127,Relacion_Doc_Criterio!$D:$D,"&lt;&gt;")</f>
        <v>1</v>
      </c>
      <c r="L127" s="4" t="e">
        <f>COUNTIFS(Relacion_Doc_Criterio!$A:$A,A127,Relacion_Doc_Criterio!$D:$D,"&lt;&gt;",Relacion_Doc_Criterio!#REF!,"Principal")</f>
        <v>#REF!</v>
      </c>
      <c r="M127" s="10"/>
    </row>
    <row r="128" spans="1:13" ht="91.15" customHeight="1">
      <c r="A128" s="13" t="s">
        <v>1303</v>
      </c>
      <c r="B128" s="22" t="s">
        <v>500</v>
      </c>
      <c r="C128" s="12" t="s">
        <v>450</v>
      </c>
      <c r="D128" s="15" t="s">
        <v>1260</v>
      </c>
      <c r="E128" s="12">
        <v>8</v>
      </c>
      <c r="F128" s="13" t="s">
        <v>1304</v>
      </c>
      <c r="G128" s="2" t="s">
        <v>1305</v>
      </c>
      <c r="H128" s="19" t="s">
        <v>1306</v>
      </c>
      <c r="I128" s="27" t="s">
        <v>880</v>
      </c>
      <c r="J128" s="3" t="s">
        <v>950</v>
      </c>
      <c r="K128" s="4">
        <f>COUNTIFS(Relacion_Doc_Criterio!$A:$A,A128,Relacion_Doc_Criterio!$D:$D,"&lt;&gt;")</f>
        <v>1</v>
      </c>
      <c r="L128" s="4" t="e">
        <f>COUNTIFS(Relacion_Doc_Criterio!$A:$A,A128,Relacion_Doc_Criterio!$D:$D,"&lt;&gt;",Relacion_Doc_Criterio!#REF!,"Principal")</f>
        <v>#REF!</v>
      </c>
      <c r="M128" s="10"/>
    </row>
    <row r="129" spans="1:13" ht="56.45" customHeight="1">
      <c r="A129" s="13" t="s">
        <v>1307</v>
      </c>
      <c r="B129" s="22" t="s">
        <v>505</v>
      </c>
      <c r="C129" s="12" t="s">
        <v>450</v>
      </c>
      <c r="D129" s="15" t="s">
        <v>1260</v>
      </c>
      <c r="E129" s="12">
        <v>8</v>
      </c>
      <c r="F129" s="13" t="s">
        <v>1304</v>
      </c>
      <c r="G129" s="2" t="s">
        <v>1308</v>
      </c>
      <c r="H129" s="19" t="s">
        <v>1309</v>
      </c>
      <c r="I129" s="27" t="s">
        <v>880</v>
      </c>
      <c r="J129" s="3" t="s">
        <v>950</v>
      </c>
      <c r="K129" s="4">
        <f>COUNTIFS(Relacion_Doc_Criterio!$A:$A,A129,Relacion_Doc_Criterio!$D:$D,"&lt;&gt;")</f>
        <v>1</v>
      </c>
      <c r="L129" s="4" t="e">
        <f>COUNTIFS(Relacion_Doc_Criterio!$A:$A,A129,Relacion_Doc_Criterio!$D:$D,"&lt;&gt;",Relacion_Doc_Criterio!#REF!,"Principal")</f>
        <v>#REF!</v>
      </c>
      <c r="M129" s="10"/>
    </row>
    <row r="130" spans="1:13" ht="58.15" customHeight="1">
      <c r="A130" s="13" t="s">
        <v>1310</v>
      </c>
      <c r="B130" s="22" t="s">
        <v>508</v>
      </c>
      <c r="C130" s="12" t="s">
        <v>450</v>
      </c>
      <c r="D130" s="15" t="s">
        <v>1260</v>
      </c>
      <c r="E130" s="12">
        <v>8</v>
      </c>
      <c r="F130" s="13" t="s">
        <v>1304</v>
      </c>
      <c r="G130" s="2" t="s">
        <v>1311</v>
      </c>
      <c r="H130" s="19" t="s">
        <v>1312</v>
      </c>
      <c r="I130" s="27" t="s">
        <v>880</v>
      </c>
      <c r="J130" s="3" t="s">
        <v>950</v>
      </c>
      <c r="K130" s="4">
        <f>COUNTIFS(Relacion_Doc_Criterio!$A:$A,A130,Relacion_Doc_Criterio!$D:$D,"&lt;&gt;")</f>
        <v>1</v>
      </c>
      <c r="L130" s="4" t="e">
        <f>COUNTIFS(Relacion_Doc_Criterio!$A:$A,A130,Relacion_Doc_Criterio!$D:$D,"&lt;&gt;",Relacion_Doc_Criterio!#REF!,"Principal")</f>
        <v>#REF!</v>
      </c>
      <c r="M130" s="10"/>
    </row>
    <row r="131" spans="1:13" ht="60.6" customHeight="1">
      <c r="A131" s="13" t="s">
        <v>1313</v>
      </c>
      <c r="B131" s="22" t="s">
        <v>511</v>
      </c>
      <c r="C131" s="12" t="s">
        <v>450</v>
      </c>
      <c r="D131" s="15" t="s">
        <v>1260</v>
      </c>
      <c r="E131" s="12">
        <v>8</v>
      </c>
      <c r="F131" s="13" t="s">
        <v>1304</v>
      </c>
      <c r="G131" s="2" t="s">
        <v>1314</v>
      </c>
      <c r="H131" s="19" t="s">
        <v>1315</v>
      </c>
      <c r="I131" s="27" t="s">
        <v>880</v>
      </c>
      <c r="J131" s="3" t="s">
        <v>950</v>
      </c>
      <c r="K131" s="4">
        <f>COUNTIFS(Relacion_Doc_Criterio!$A:$A,A131,Relacion_Doc_Criterio!$D:$D,"&lt;&gt;")</f>
        <v>1</v>
      </c>
      <c r="L131" s="4" t="e">
        <f>COUNTIFS(Relacion_Doc_Criterio!$A:$A,A131,Relacion_Doc_Criterio!$D:$D,"&lt;&gt;",Relacion_Doc_Criterio!#REF!,"Principal")</f>
        <v>#REF!</v>
      </c>
      <c r="M131" s="10"/>
    </row>
    <row r="132" spans="1:13" ht="59.45" customHeight="1">
      <c r="A132" s="13" t="s">
        <v>1316</v>
      </c>
      <c r="B132" s="22" t="s">
        <v>514</v>
      </c>
      <c r="C132" s="12" t="s">
        <v>450</v>
      </c>
      <c r="D132" s="15" t="s">
        <v>1260</v>
      </c>
      <c r="E132" s="12">
        <v>8</v>
      </c>
      <c r="F132" s="13" t="s">
        <v>1304</v>
      </c>
      <c r="G132" s="2" t="s">
        <v>1317</v>
      </c>
      <c r="H132" s="19" t="s">
        <v>1318</v>
      </c>
      <c r="I132" s="27" t="s">
        <v>880</v>
      </c>
      <c r="J132" s="3" t="s">
        <v>950</v>
      </c>
      <c r="K132" s="4">
        <f>COUNTIFS(Relacion_Doc_Criterio!$A:$A,A132,Relacion_Doc_Criterio!$D:$D,"&lt;&gt;")</f>
        <v>1</v>
      </c>
      <c r="L132" s="4" t="e">
        <f>COUNTIFS(Relacion_Doc_Criterio!$A:$A,A132,Relacion_Doc_Criterio!$D:$D,"&lt;&gt;",Relacion_Doc_Criterio!#REF!,"Principal")</f>
        <v>#REF!</v>
      </c>
      <c r="M132" s="10"/>
    </row>
    <row r="133" spans="1:13" ht="92.45" customHeight="1">
      <c r="A133" s="13" t="s">
        <v>1319</v>
      </c>
      <c r="B133" s="22" t="s">
        <v>517</v>
      </c>
      <c r="C133" s="12" t="s">
        <v>450</v>
      </c>
      <c r="D133" s="15" t="s">
        <v>1260</v>
      </c>
      <c r="E133" s="12">
        <v>8</v>
      </c>
      <c r="F133" s="13" t="s">
        <v>1320</v>
      </c>
      <c r="G133" s="2" t="s">
        <v>1321</v>
      </c>
      <c r="H133" s="19" t="s">
        <v>1322</v>
      </c>
      <c r="I133" s="27" t="s">
        <v>880</v>
      </c>
      <c r="J133" s="3" t="s">
        <v>950</v>
      </c>
      <c r="K133" s="4">
        <f>COUNTIFS(Relacion_Doc_Criterio!$A:$A,A133,Relacion_Doc_Criterio!$D:$D,"&lt;&gt;")</f>
        <v>1</v>
      </c>
      <c r="L133" s="4" t="e">
        <f>COUNTIFS(Relacion_Doc_Criterio!$A:$A,A133,Relacion_Doc_Criterio!$D:$D,"&lt;&gt;",Relacion_Doc_Criterio!#REF!,"Principal")</f>
        <v>#REF!</v>
      </c>
      <c r="M133" s="10"/>
    </row>
    <row r="134" spans="1:13" ht="75" customHeight="1">
      <c r="A134" s="13" t="s">
        <v>1323</v>
      </c>
      <c r="B134" s="22" t="s">
        <v>522</v>
      </c>
      <c r="C134" s="12" t="s">
        <v>450</v>
      </c>
      <c r="D134" s="15" t="s">
        <v>1260</v>
      </c>
      <c r="E134" s="12">
        <v>8</v>
      </c>
      <c r="F134" s="13" t="s">
        <v>1320</v>
      </c>
      <c r="G134" s="2" t="s">
        <v>1324</v>
      </c>
      <c r="H134" s="19" t="s">
        <v>1325</v>
      </c>
      <c r="I134" s="27" t="s">
        <v>880</v>
      </c>
      <c r="J134" s="3" t="s">
        <v>950</v>
      </c>
      <c r="K134" s="4">
        <f>COUNTIFS(Relacion_Doc_Criterio!$A:$A,A134,Relacion_Doc_Criterio!$D:$D,"&lt;&gt;")</f>
        <v>1</v>
      </c>
      <c r="L134" s="4" t="e">
        <f>COUNTIFS(Relacion_Doc_Criterio!$A:$A,A134,Relacion_Doc_Criterio!$D:$D,"&lt;&gt;",Relacion_Doc_Criterio!#REF!,"Principal")</f>
        <v>#REF!</v>
      </c>
      <c r="M134" s="10"/>
    </row>
    <row r="135" spans="1:13" ht="76.150000000000006" customHeight="1">
      <c r="A135" s="13" t="s">
        <v>1326</v>
      </c>
      <c r="B135" s="22" t="s">
        <v>525</v>
      </c>
      <c r="C135" s="12" t="s">
        <v>450</v>
      </c>
      <c r="D135" s="15" t="s">
        <v>1260</v>
      </c>
      <c r="E135" s="12">
        <v>8</v>
      </c>
      <c r="F135" s="13" t="s">
        <v>1327</v>
      </c>
      <c r="G135" s="2" t="s">
        <v>1328</v>
      </c>
      <c r="H135" s="19" t="s">
        <v>1329</v>
      </c>
      <c r="I135" s="27" t="s">
        <v>880</v>
      </c>
      <c r="J135" s="3" t="s">
        <v>950</v>
      </c>
      <c r="K135" s="4">
        <f>COUNTIFS(Relacion_Doc_Criterio!$A:$A,A135,Relacion_Doc_Criterio!$D:$D,"&lt;&gt;")</f>
        <v>1</v>
      </c>
      <c r="L135" s="4" t="e">
        <f>COUNTIFS(Relacion_Doc_Criterio!$A:$A,A135,Relacion_Doc_Criterio!$D:$D,"&lt;&gt;",Relacion_Doc_Criterio!#REF!,"Principal")</f>
        <v>#REF!</v>
      </c>
      <c r="M135" s="10"/>
    </row>
    <row r="136" spans="1:13" ht="57.6" customHeight="1">
      <c r="A136" s="13" t="s">
        <v>1330</v>
      </c>
      <c r="B136" s="22" t="s">
        <v>530</v>
      </c>
      <c r="C136" s="12" t="s">
        <v>450</v>
      </c>
      <c r="D136" s="15" t="s">
        <v>1260</v>
      </c>
      <c r="E136" s="12">
        <v>8</v>
      </c>
      <c r="F136" s="13" t="s">
        <v>1327</v>
      </c>
      <c r="G136" s="2" t="s">
        <v>1331</v>
      </c>
      <c r="H136" s="19" t="s">
        <v>1332</v>
      </c>
      <c r="I136" s="27" t="s">
        <v>880</v>
      </c>
      <c r="J136" s="3" t="s">
        <v>950</v>
      </c>
      <c r="K136" s="4">
        <f>COUNTIFS(Relacion_Doc_Criterio!$A:$A,A136,Relacion_Doc_Criterio!$D:$D,"&lt;&gt;")</f>
        <v>1</v>
      </c>
      <c r="L136" s="4" t="e">
        <f>COUNTIFS(Relacion_Doc_Criterio!$A:$A,A136,Relacion_Doc_Criterio!$D:$D,"&lt;&gt;",Relacion_Doc_Criterio!#REF!,"Principal")</f>
        <v>#REF!</v>
      </c>
      <c r="M136" s="10"/>
    </row>
    <row r="137" spans="1:13" ht="61.15" customHeight="1">
      <c r="A137" s="13" t="s">
        <v>1333</v>
      </c>
      <c r="B137" s="22" t="s">
        <v>533</v>
      </c>
      <c r="C137" s="12" t="s">
        <v>450</v>
      </c>
      <c r="D137" s="15" t="s">
        <v>1260</v>
      </c>
      <c r="E137" s="12">
        <v>8</v>
      </c>
      <c r="F137" s="13" t="s">
        <v>1327</v>
      </c>
      <c r="G137" s="2" t="s">
        <v>1334</v>
      </c>
      <c r="H137" s="19" t="s">
        <v>1335</v>
      </c>
      <c r="I137" s="27" t="s">
        <v>880</v>
      </c>
      <c r="J137" s="3" t="s">
        <v>950</v>
      </c>
      <c r="K137" s="4">
        <f>COUNTIFS(Relacion_Doc_Criterio!$A:$A,A137,Relacion_Doc_Criterio!$D:$D,"&lt;&gt;")</f>
        <v>1</v>
      </c>
      <c r="L137" s="4" t="e">
        <f>COUNTIFS(Relacion_Doc_Criterio!$A:$A,A137,Relacion_Doc_Criterio!$D:$D,"&lt;&gt;",Relacion_Doc_Criterio!#REF!,"Principal")</f>
        <v>#REF!</v>
      </c>
      <c r="M137" s="10"/>
    </row>
    <row r="138" spans="1:13" ht="52.9">
      <c r="A138" s="13" t="s">
        <v>1336</v>
      </c>
      <c r="B138" s="22" t="s">
        <v>536</v>
      </c>
      <c r="C138" s="12" t="s">
        <v>450</v>
      </c>
      <c r="D138" s="15" t="s">
        <v>1260</v>
      </c>
      <c r="E138" s="12">
        <v>8</v>
      </c>
      <c r="F138" s="13" t="s">
        <v>1327</v>
      </c>
      <c r="G138" s="2" t="s">
        <v>1337</v>
      </c>
      <c r="H138" s="19" t="s">
        <v>1338</v>
      </c>
      <c r="I138" s="27" t="s">
        <v>880</v>
      </c>
      <c r="J138" s="3" t="s">
        <v>950</v>
      </c>
      <c r="K138" s="4">
        <f>COUNTIFS(Relacion_Doc_Criterio!$A:$A,A138,Relacion_Doc_Criterio!$D:$D,"&lt;&gt;")</f>
        <v>1</v>
      </c>
      <c r="L138" s="4" t="e">
        <f>COUNTIFS(Relacion_Doc_Criterio!$A:$A,A138,Relacion_Doc_Criterio!$D:$D,"&lt;&gt;",Relacion_Doc_Criterio!#REF!,"Principal")</f>
        <v>#REF!</v>
      </c>
      <c r="M138" s="10"/>
    </row>
    <row r="139" spans="1:13" ht="58.9" customHeight="1">
      <c r="A139" s="13" t="s">
        <v>1339</v>
      </c>
      <c r="B139" s="22" t="s">
        <v>539</v>
      </c>
      <c r="C139" s="12" t="s">
        <v>450</v>
      </c>
      <c r="D139" s="15" t="s">
        <v>1260</v>
      </c>
      <c r="E139" s="12">
        <v>8</v>
      </c>
      <c r="F139" s="13" t="s">
        <v>1327</v>
      </c>
      <c r="G139" s="2" t="s">
        <v>1340</v>
      </c>
      <c r="H139" s="19" t="s">
        <v>1341</v>
      </c>
      <c r="I139" s="27" t="s">
        <v>880</v>
      </c>
      <c r="J139" s="3" t="s">
        <v>950</v>
      </c>
      <c r="K139" s="4">
        <f>COUNTIFS(Relacion_Doc_Criterio!$A:$A,A139,Relacion_Doc_Criterio!$D:$D,"&lt;&gt;")</f>
        <v>1</v>
      </c>
      <c r="L139" s="4" t="e">
        <f>COUNTIFS(Relacion_Doc_Criterio!$A:$A,A139,Relacion_Doc_Criterio!$D:$D,"&lt;&gt;",Relacion_Doc_Criterio!#REF!,"Principal")</f>
        <v>#REF!</v>
      </c>
      <c r="M139" s="10"/>
    </row>
    <row r="140" spans="1:13" ht="73.900000000000006" customHeight="1">
      <c r="A140" s="13" t="s">
        <v>1342</v>
      </c>
      <c r="B140" s="22" t="s">
        <v>542</v>
      </c>
      <c r="C140" s="12" t="s">
        <v>450</v>
      </c>
      <c r="D140" s="15" t="s">
        <v>1260</v>
      </c>
      <c r="E140" s="12">
        <v>9</v>
      </c>
      <c r="F140" s="13" t="s">
        <v>1343</v>
      </c>
      <c r="G140" s="2" t="s">
        <v>1344</v>
      </c>
      <c r="H140" s="19" t="s">
        <v>1345</v>
      </c>
      <c r="I140" s="27" t="s">
        <v>880</v>
      </c>
      <c r="J140" s="3" t="s">
        <v>950</v>
      </c>
      <c r="K140" s="4">
        <f>COUNTIFS(Relacion_Doc_Criterio!$A:$A,A140,Relacion_Doc_Criterio!$D:$D,"&lt;&gt;")</f>
        <v>1</v>
      </c>
      <c r="L140" s="4" t="e">
        <f>COUNTIFS(Relacion_Doc_Criterio!$A:$A,A140,Relacion_Doc_Criterio!$D:$D,"&lt;&gt;",Relacion_Doc_Criterio!#REF!,"Principal")</f>
        <v>#REF!</v>
      </c>
      <c r="M140" s="10"/>
    </row>
    <row r="141" spans="1:13" ht="61.9" customHeight="1">
      <c r="A141" s="13" t="s">
        <v>1346</v>
      </c>
      <c r="B141" s="22" t="s">
        <v>549</v>
      </c>
      <c r="C141" s="12" t="s">
        <v>450</v>
      </c>
      <c r="D141" s="15" t="s">
        <v>1260</v>
      </c>
      <c r="E141" s="12">
        <v>9</v>
      </c>
      <c r="F141" s="13" t="s">
        <v>1343</v>
      </c>
      <c r="G141" s="2" t="s">
        <v>1347</v>
      </c>
      <c r="H141" s="19" t="s">
        <v>1348</v>
      </c>
      <c r="I141" s="27" t="s">
        <v>880</v>
      </c>
      <c r="J141" s="3" t="s">
        <v>950</v>
      </c>
      <c r="K141" s="4">
        <f>COUNTIFS(Relacion_Doc_Criterio!$A:$A,A141,Relacion_Doc_Criterio!$D:$D,"&lt;&gt;")</f>
        <v>1</v>
      </c>
      <c r="L141" s="4" t="e">
        <f>COUNTIFS(Relacion_Doc_Criterio!$A:$A,A141,Relacion_Doc_Criterio!$D:$D,"&lt;&gt;",Relacion_Doc_Criterio!#REF!,"Principal")</f>
        <v>#REF!</v>
      </c>
      <c r="M141" s="10"/>
    </row>
    <row r="142" spans="1:13" ht="39.6">
      <c r="A142" s="13" t="s">
        <v>1349</v>
      </c>
      <c r="B142" s="22" t="s">
        <v>552</v>
      </c>
      <c r="C142" s="12" t="s">
        <v>450</v>
      </c>
      <c r="D142" s="15" t="s">
        <v>1260</v>
      </c>
      <c r="E142" s="12">
        <v>9</v>
      </c>
      <c r="F142" s="13" t="s">
        <v>1343</v>
      </c>
      <c r="G142" s="2" t="s">
        <v>1350</v>
      </c>
      <c r="H142" s="19" t="s">
        <v>1351</v>
      </c>
      <c r="I142" s="27" t="s">
        <v>880</v>
      </c>
      <c r="J142" s="3" t="s">
        <v>950</v>
      </c>
      <c r="K142" s="4">
        <f>COUNTIFS(Relacion_Doc_Criterio!$A:$A,A142,Relacion_Doc_Criterio!$D:$D,"&lt;&gt;")</f>
        <v>1</v>
      </c>
      <c r="L142" s="4" t="e">
        <f>COUNTIFS(Relacion_Doc_Criterio!$A:$A,A142,Relacion_Doc_Criterio!$D:$D,"&lt;&gt;",Relacion_Doc_Criterio!#REF!,"Principal")</f>
        <v>#REF!</v>
      </c>
      <c r="M142" s="10"/>
    </row>
    <row r="143" spans="1:13" ht="45" customHeight="1">
      <c r="A143" s="13" t="s">
        <v>1352</v>
      </c>
      <c r="B143" s="22" t="s">
        <v>555</v>
      </c>
      <c r="C143" s="12" t="s">
        <v>450</v>
      </c>
      <c r="D143" s="15" t="s">
        <v>1260</v>
      </c>
      <c r="E143" s="12">
        <v>9</v>
      </c>
      <c r="F143" s="13" t="s">
        <v>1353</v>
      </c>
      <c r="G143" s="2" t="s">
        <v>1354</v>
      </c>
      <c r="H143" s="19" t="s">
        <v>1355</v>
      </c>
      <c r="I143" s="27" t="s">
        <v>880</v>
      </c>
      <c r="J143" s="3" t="s">
        <v>950</v>
      </c>
      <c r="K143" s="4">
        <f>COUNTIFS(Relacion_Doc_Criterio!$A:$A,A143,Relacion_Doc_Criterio!$D:$D,"&lt;&gt;")</f>
        <v>1</v>
      </c>
      <c r="L143" s="4" t="e">
        <f>COUNTIFS(Relacion_Doc_Criterio!$A:$A,A143,Relacion_Doc_Criterio!$D:$D,"&lt;&gt;",Relacion_Doc_Criterio!#REF!,"Principal")</f>
        <v>#REF!</v>
      </c>
      <c r="M143" s="10"/>
    </row>
    <row r="144" spans="1:13" ht="71.45" customHeight="1">
      <c r="A144" s="13" t="s">
        <v>1356</v>
      </c>
      <c r="B144" s="22" t="s">
        <v>560</v>
      </c>
      <c r="C144" s="12" t="s">
        <v>450</v>
      </c>
      <c r="D144" s="15" t="s">
        <v>1260</v>
      </c>
      <c r="E144" s="12">
        <v>9</v>
      </c>
      <c r="F144" s="13" t="s">
        <v>1353</v>
      </c>
      <c r="G144" s="2" t="s">
        <v>1357</v>
      </c>
      <c r="H144" s="19" t="s">
        <v>1358</v>
      </c>
      <c r="I144" s="27" t="s">
        <v>880</v>
      </c>
      <c r="J144" s="3" t="s">
        <v>950</v>
      </c>
      <c r="K144" s="4">
        <f>COUNTIFS(Relacion_Doc_Criterio!$A:$A,A144,Relacion_Doc_Criterio!$D:$D,"&lt;&gt;")</f>
        <v>1</v>
      </c>
      <c r="L144" s="4" t="e">
        <f>COUNTIFS(Relacion_Doc_Criterio!$A:$A,A144,Relacion_Doc_Criterio!$D:$D,"&lt;&gt;",Relacion_Doc_Criterio!#REF!,"Principal")</f>
        <v>#REF!</v>
      </c>
      <c r="M144" s="10"/>
    </row>
    <row r="145" spans="1:13" ht="43.15" customHeight="1">
      <c r="A145" s="13" t="s">
        <v>1359</v>
      </c>
      <c r="B145" s="22" t="s">
        <v>563</v>
      </c>
      <c r="C145" s="12" t="s">
        <v>450</v>
      </c>
      <c r="D145" s="15" t="s">
        <v>1260</v>
      </c>
      <c r="E145" s="12">
        <v>9</v>
      </c>
      <c r="F145" s="13" t="s">
        <v>1353</v>
      </c>
      <c r="G145" s="2" t="s">
        <v>1360</v>
      </c>
      <c r="H145" s="19" t="s">
        <v>1361</v>
      </c>
      <c r="I145" s="27" t="s">
        <v>880</v>
      </c>
      <c r="J145" s="3" t="s">
        <v>950</v>
      </c>
      <c r="K145" s="4">
        <f>COUNTIFS(Relacion_Doc_Criterio!$A:$A,A145,Relacion_Doc_Criterio!$D:$D,"&lt;&gt;")</f>
        <v>1</v>
      </c>
      <c r="L145" s="4" t="e">
        <f>COUNTIFS(Relacion_Doc_Criterio!$A:$A,A145,Relacion_Doc_Criterio!$D:$D,"&lt;&gt;",Relacion_Doc_Criterio!#REF!,"Principal")</f>
        <v>#REF!</v>
      </c>
      <c r="M145" s="10"/>
    </row>
    <row r="146" spans="1:13" ht="56.45" customHeight="1">
      <c r="A146" s="13" t="s">
        <v>1362</v>
      </c>
      <c r="B146" s="22" t="s">
        <v>566</v>
      </c>
      <c r="C146" s="12" t="s">
        <v>450</v>
      </c>
      <c r="D146" s="15" t="s">
        <v>1260</v>
      </c>
      <c r="E146" s="12">
        <v>9</v>
      </c>
      <c r="F146" s="13" t="s">
        <v>1363</v>
      </c>
      <c r="G146" s="2" t="s">
        <v>1364</v>
      </c>
      <c r="H146" s="19" t="s">
        <v>1365</v>
      </c>
      <c r="I146" s="27" t="s">
        <v>880</v>
      </c>
      <c r="J146" s="3" t="s">
        <v>950</v>
      </c>
      <c r="K146" s="4">
        <f>COUNTIFS(Relacion_Doc_Criterio!$A:$A,A146,Relacion_Doc_Criterio!$D:$D,"&lt;&gt;")</f>
        <v>1</v>
      </c>
      <c r="L146" s="4" t="e">
        <f>COUNTIFS(Relacion_Doc_Criterio!$A:$A,A146,Relacion_Doc_Criterio!$D:$D,"&lt;&gt;",Relacion_Doc_Criterio!#REF!,"Principal")</f>
        <v>#REF!</v>
      </c>
      <c r="M146" s="10"/>
    </row>
    <row r="147" spans="1:13" ht="57" customHeight="1">
      <c r="A147" s="13" t="s">
        <v>1366</v>
      </c>
      <c r="B147" s="22" t="s">
        <v>571</v>
      </c>
      <c r="C147" s="12" t="s">
        <v>450</v>
      </c>
      <c r="D147" s="15" t="s">
        <v>1260</v>
      </c>
      <c r="E147" s="12">
        <v>9</v>
      </c>
      <c r="F147" s="13" t="s">
        <v>1363</v>
      </c>
      <c r="G147" s="2" t="s">
        <v>1367</v>
      </c>
      <c r="H147" s="19" t="s">
        <v>1368</v>
      </c>
      <c r="I147" s="27" t="s">
        <v>880</v>
      </c>
      <c r="J147" s="3" t="s">
        <v>950</v>
      </c>
      <c r="K147" s="4">
        <f>COUNTIFS(Relacion_Doc_Criterio!$A:$A,A147,Relacion_Doc_Criterio!$D:$D,"&lt;&gt;")</f>
        <v>1</v>
      </c>
      <c r="L147" s="4" t="e">
        <f>COUNTIFS(Relacion_Doc_Criterio!$A:$A,A147,Relacion_Doc_Criterio!$D:$D,"&lt;&gt;",Relacion_Doc_Criterio!#REF!,"Principal")</f>
        <v>#REF!</v>
      </c>
      <c r="M147" s="10"/>
    </row>
    <row r="148" spans="1:13" ht="66">
      <c r="A148" s="13" t="s">
        <v>1369</v>
      </c>
      <c r="B148" s="22" t="s">
        <v>574</v>
      </c>
      <c r="C148" s="12" t="s">
        <v>450</v>
      </c>
      <c r="D148" s="15" t="s">
        <v>1260</v>
      </c>
      <c r="E148" s="12">
        <v>9</v>
      </c>
      <c r="F148" s="13" t="s">
        <v>1363</v>
      </c>
      <c r="G148" s="2" t="s">
        <v>1370</v>
      </c>
      <c r="H148" s="19" t="s">
        <v>1371</v>
      </c>
      <c r="I148" s="27" t="s">
        <v>880</v>
      </c>
      <c r="J148" s="3" t="s">
        <v>950</v>
      </c>
      <c r="K148" s="4">
        <f>COUNTIFS(Relacion_Doc_Criterio!$A:$A,A148,Relacion_Doc_Criterio!$D:$D,"&lt;&gt;")</f>
        <v>1</v>
      </c>
      <c r="L148" s="4" t="e">
        <f>COUNTIFS(Relacion_Doc_Criterio!$A:$A,A148,Relacion_Doc_Criterio!$D:$D,"&lt;&gt;",Relacion_Doc_Criterio!#REF!,"Principal")</f>
        <v>#REF!</v>
      </c>
      <c r="M148" s="10"/>
    </row>
    <row r="149" spans="1:13" ht="39.6">
      <c r="A149" s="13" t="s">
        <v>1372</v>
      </c>
      <c r="B149" s="22" t="s">
        <v>577</v>
      </c>
      <c r="C149" s="12" t="s">
        <v>450</v>
      </c>
      <c r="D149" s="15" t="s">
        <v>1260</v>
      </c>
      <c r="E149" s="12">
        <v>9</v>
      </c>
      <c r="F149" s="13" t="s">
        <v>1373</v>
      </c>
      <c r="G149" s="2" t="s">
        <v>1374</v>
      </c>
      <c r="H149" s="19" t="s">
        <v>1375</v>
      </c>
      <c r="I149" s="27" t="s">
        <v>880</v>
      </c>
      <c r="J149" s="3" t="s">
        <v>950</v>
      </c>
      <c r="K149" s="4">
        <f>COUNTIFS(Relacion_Doc_Criterio!$A:$A,A149,Relacion_Doc_Criterio!$D:$D,"&lt;&gt;")</f>
        <v>1</v>
      </c>
      <c r="L149" s="4" t="e">
        <f>COUNTIFS(Relacion_Doc_Criterio!$A:$A,A149,Relacion_Doc_Criterio!$D:$D,"&lt;&gt;",Relacion_Doc_Criterio!#REF!,"Principal")</f>
        <v>#REF!</v>
      </c>
      <c r="M149" s="10"/>
    </row>
    <row r="150" spans="1:13" ht="54.6" customHeight="1">
      <c r="A150" s="13" t="s">
        <v>1376</v>
      </c>
      <c r="B150" s="22" t="s">
        <v>582</v>
      </c>
      <c r="C150" s="12" t="s">
        <v>450</v>
      </c>
      <c r="D150" s="15" t="s">
        <v>1260</v>
      </c>
      <c r="E150" s="12">
        <v>9</v>
      </c>
      <c r="F150" s="13" t="s">
        <v>1373</v>
      </c>
      <c r="G150" s="2" t="s">
        <v>1377</v>
      </c>
      <c r="H150" s="19" t="s">
        <v>1378</v>
      </c>
      <c r="I150" s="27" t="s">
        <v>880</v>
      </c>
      <c r="J150" s="3" t="s">
        <v>950</v>
      </c>
      <c r="K150" s="4">
        <f>COUNTIFS(Relacion_Doc_Criterio!$A:$A,A150,Relacion_Doc_Criterio!$D:$D,"&lt;&gt;")</f>
        <v>1</v>
      </c>
      <c r="L150" s="4" t="e">
        <f>COUNTIFS(Relacion_Doc_Criterio!$A:$A,A150,Relacion_Doc_Criterio!$D:$D,"&lt;&gt;",Relacion_Doc_Criterio!#REF!,"Principal")</f>
        <v>#REF!</v>
      </c>
      <c r="M150" s="10"/>
    </row>
    <row r="151" spans="1:13" ht="44.45" customHeight="1">
      <c r="A151" s="13" t="s">
        <v>1379</v>
      </c>
      <c r="B151" s="22" t="s">
        <v>585</v>
      </c>
      <c r="C151" s="12" t="s">
        <v>450</v>
      </c>
      <c r="D151" s="15" t="s">
        <v>1260</v>
      </c>
      <c r="E151" s="12">
        <v>9</v>
      </c>
      <c r="F151" s="13" t="s">
        <v>1373</v>
      </c>
      <c r="G151" s="2" t="s">
        <v>1380</v>
      </c>
      <c r="H151" s="19" t="s">
        <v>1381</v>
      </c>
      <c r="I151" s="27" t="s">
        <v>880</v>
      </c>
      <c r="J151" s="3" t="s">
        <v>950</v>
      </c>
      <c r="K151" s="4">
        <f>COUNTIFS(Relacion_Doc_Criterio!$A:$A,A151,Relacion_Doc_Criterio!$D:$D,"&lt;&gt;")</f>
        <v>1</v>
      </c>
      <c r="L151" s="4" t="e">
        <f>COUNTIFS(Relacion_Doc_Criterio!$A:$A,A151,Relacion_Doc_Criterio!$D:$D,"&lt;&gt;",Relacion_Doc_Criterio!#REF!,"Principal")</f>
        <v>#REF!</v>
      </c>
      <c r="M151" s="10"/>
    </row>
    <row r="152" spans="1:13" ht="52.9">
      <c r="A152" s="13" t="s">
        <v>1382</v>
      </c>
      <c r="B152" s="22" t="s">
        <v>588</v>
      </c>
      <c r="C152" s="12" t="s">
        <v>450</v>
      </c>
      <c r="D152" s="15" t="s">
        <v>1260</v>
      </c>
      <c r="E152" s="12">
        <v>9</v>
      </c>
      <c r="F152" s="13" t="s">
        <v>1383</v>
      </c>
      <c r="G152" s="2" t="s">
        <v>1384</v>
      </c>
      <c r="H152" s="19" t="s">
        <v>1385</v>
      </c>
      <c r="I152" s="27" t="s">
        <v>880</v>
      </c>
      <c r="J152" s="3" t="s">
        <v>950</v>
      </c>
      <c r="K152" s="4">
        <f>COUNTIFS(Relacion_Doc_Criterio!$A:$A,A152,Relacion_Doc_Criterio!$D:$D,"&lt;&gt;")</f>
        <v>1</v>
      </c>
      <c r="L152" s="4" t="e">
        <f>COUNTIFS(Relacion_Doc_Criterio!$A:$A,A152,Relacion_Doc_Criterio!$D:$D,"&lt;&gt;",Relacion_Doc_Criterio!#REF!,"Principal")</f>
        <v>#REF!</v>
      </c>
      <c r="M152" s="10"/>
    </row>
    <row r="153" spans="1:13" ht="79.150000000000006">
      <c r="A153" s="13" t="s">
        <v>1386</v>
      </c>
      <c r="B153" s="22" t="s">
        <v>593</v>
      </c>
      <c r="C153" s="12" t="s">
        <v>450</v>
      </c>
      <c r="D153" s="15" t="s">
        <v>1260</v>
      </c>
      <c r="E153" s="12">
        <v>9</v>
      </c>
      <c r="F153" s="13" t="s">
        <v>1383</v>
      </c>
      <c r="G153" s="2" t="s">
        <v>1387</v>
      </c>
      <c r="H153" s="19" t="s">
        <v>1388</v>
      </c>
      <c r="I153" s="27" t="s">
        <v>880</v>
      </c>
      <c r="J153" s="3" t="s">
        <v>950</v>
      </c>
      <c r="K153" s="4">
        <f>COUNTIFS(Relacion_Doc_Criterio!$A:$A,A153,Relacion_Doc_Criterio!$D:$D,"&lt;&gt;")</f>
        <v>1</v>
      </c>
      <c r="L153" s="4" t="e">
        <f>COUNTIFS(Relacion_Doc_Criterio!$A:$A,A153,Relacion_Doc_Criterio!$D:$D,"&lt;&gt;",Relacion_Doc_Criterio!#REF!,"Principal")</f>
        <v>#REF!</v>
      </c>
      <c r="M153" s="10"/>
    </row>
    <row r="154" spans="1:13" ht="70.150000000000006" customHeight="1">
      <c r="A154" s="13" t="s">
        <v>1389</v>
      </c>
      <c r="B154" s="22" t="s">
        <v>596</v>
      </c>
      <c r="C154" s="12" t="s">
        <v>450</v>
      </c>
      <c r="D154" s="15" t="s">
        <v>1260</v>
      </c>
      <c r="E154" s="12">
        <v>10</v>
      </c>
      <c r="F154" s="13" t="s">
        <v>1390</v>
      </c>
      <c r="G154" s="2" t="s">
        <v>1391</v>
      </c>
      <c r="H154" s="19" t="s">
        <v>1392</v>
      </c>
      <c r="I154" s="27" t="s">
        <v>880</v>
      </c>
      <c r="J154" s="3" t="s">
        <v>950</v>
      </c>
      <c r="K154" s="4">
        <f>COUNTIFS(Relacion_Doc_Criterio!$A:$A,A154,Relacion_Doc_Criterio!$D:$D,"&lt;&gt;")</f>
        <v>1</v>
      </c>
      <c r="L154" s="4" t="e">
        <f>COUNTIFS(Relacion_Doc_Criterio!$A:$A,A154,Relacion_Doc_Criterio!$D:$D,"&lt;&gt;",Relacion_Doc_Criterio!#REF!,"Principal")</f>
        <v>#REF!</v>
      </c>
      <c r="M154" s="10"/>
    </row>
    <row r="155" spans="1:13" ht="56.45" customHeight="1">
      <c r="A155" s="13" t="s">
        <v>1393</v>
      </c>
      <c r="B155" s="22" t="s">
        <v>603</v>
      </c>
      <c r="C155" s="12" t="s">
        <v>450</v>
      </c>
      <c r="D155" s="15" t="s">
        <v>1260</v>
      </c>
      <c r="E155" s="12">
        <v>10</v>
      </c>
      <c r="F155" s="13" t="s">
        <v>1390</v>
      </c>
      <c r="G155" s="2" t="s">
        <v>1394</v>
      </c>
      <c r="H155" s="19" t="s">
        <v>1395</v>
      </c>
      <c r="I155" s="27" t="s">
        <v>880</v>
      </c>
      <c r="J155" s="3" t="s">
        <v>950</v>
      </c>
      <c r="K155" s="4">
        <f>COUNTIFS(Relacion_Doc_Criterio!$A:$A,A155,Relacion_Doc_Criterio!$D:$D,"&lt;&gt;")</f>
        <v>1</v>
      </c>
      <c r="L155" s="4" t="e">
        <f>COUNTIFS(Relacion_Doc_Criterio!$A:$A,A155,Relacion_Doc_Criterio!$D:$D,"&lt;&gt;",Relacion_Doc_Criterio!#REF!,"Principal")</f>
        <v>#REF!</v>
      </c>
      <c r="M155" s="10"/>
    </row>
    <row r="156" spans="1:13" ht="58.9" customHeight="1">
      <c r="A156" s="13" t="s">
        <v>1396</v>
      </c>
      <c r="B156" s="22" t="s">
        <v>606</v>
      </c>
      <c r="C156" s="12" t="s">
        <v>450</v>
      </c>
      <c r="D156" s="15" t="s">
        <v>1260</v>
      </c>
      <c r="E156" s="12">
        <v>10</v>
      </c>
      <c r="F156" s="13" t="s">
        <v>1390</v>
      </c>
      <c r="G156" s="2" t="s">
        <v>1397</v>
      </c>
      <c r="H156" s="19" t="s">
        <v>1398</v>
      </c>
      <c r="I156" s="27" t="s">
        <v>880</v>
      </c>
      <c r="J156" s="3" t="s">
        <v>950</v>
      </c>
      <c r="K156" s="4">
        <f>COUNTIFS(Relacion_Doc_Criterio!$A:$A,A156,Relacion_Doc_Criterio!$D:$D,"&lt;&gt;")</f>
        <v>1</v>
      </c>
      <c r="L156" s="4" t="e">
        <f>COUNTIFS(Relacion_Doc_Criterio!$A:$A,A156,Relacion_Doc_Criterio!$D:$D,"&lt;&gt;",Relacion_Doc_Criterio!#REF!,"Principal")</f>
        <v>#REF!</v>
      </c>
      <c r="M156" s="10"/>
    </row>
    <row r="157" spans="1:13" ht="79.900000000000006" customHeight="1">
      <c r="A157" s="13" t="s">
        <v>1399</v>
      </c>
      <c r="B157" s="22" t="s">
        <v>609</v>
      </c>
      <c r="C157" s="12" t="s">
        <v>450</v>
      </c>
      <c r="D157" s="15" t="s">
        <v>1260</v>
      </c>
      <c r="E157" s="12">
        <v>10</v>
      </c>
      <c r="F157" s="13" t="s">
        <v>1390</v>
      </c>
      <c r="G157" s="2" t="s">
        <v>1400</v>
      </c>
      <c r="H157" s="19" t="s">
        <v>1401</v>
      </c>
      <c r="I157" s="27" t="s">
        <v>880</v>
      </c>
      <c r="J157" s="3" t="s">
        <v>950</v>
      </c>
      <c r="K157" s="4">
        <f>COUNTIFS(Relacion_Doc_Criterio!$A:$A,A157,Relacion_Doc_Criterio!$D:$D,"&lt;&gt;")</f>
        <v>1</v>
      </c>
      <c r="L157" s="4" t="e">
        <f>COUNTIFS(Relacion_Doc_Criterio!$A:$A,A157,Relacion_Doc_Criterio!$D:$D,"&lt;&gt;",Relacion_Doc_Criterio!#REF!,"Principal")</f>
        <v>#REF!</v>
      </c>
      <c r="M157" s="10"/>
    </row>
    <row r="158" spans="1:13" ht="73.150000000000006" customHeight="1">
      <c r="A158" s="13" t="s">
        <v>1402</v>
      </c>
      <c r="B158" s="22" t="s">
        <v>612</v>
      </c>
      <c r="C158" s="12" t="s">
        <v>450</v>
      </c>
      <c r="D158" s="15" t="s">
        <v>1260</v>
      </c>
      <c r="E158" s="12">
        <v>10</v>
      </c>
      <c r="F158" s="13" t="s">
        <v>1390</v>
      </c>
      <c r="G158" s="2" t="s">
        <v>1403</v>
      </c>
      <c r="H158" s="19" t="s">
        <v>1404</v>
      </c>
      <c r="I158" s="27" t="s">
        <v>880</v>
      </c>
      <c r="J158" s="3" t="s">
        <v>950</v>
      </c>
      <c r="K158" s="4">
        <f>COUNTIFS(Relacion_Doc_Criterio!$A:$A,A158,Relacion_Doc_Criterio!$D:$D,"&lt;&gt;")</f>
        <v>1</v>
      </c>
      <c r="L158" s="4" t="e">
        <f>COUNTIFS(Relacion_Doc_Criterio!$A:$A,A158,Relacion_Doc_Criterio!$D:$D,"&lt;&gt;",Relacion_Doc_Criterio!#REF!,"Principal")</f>
        <v>#REF!</v>
      </c>
      <c r="M158" s="10"/>
    </row>
    <row r="159" spans="1:13" ht="85.9" customHeight="1">
      <c r="A159" s="13" t="s">
        <v>1405</v>
      </c>
      <c r="B159" s="22" t="s">
        <v>615</v>
      </c>
      <c r="C159" s="12" t="s">
        <v>450</v>
      </c>
      <c r="D159" s="15" t="s">
        <v>1260</v>
      </c>
      <c r="E159" s="12">
        <v>10</v>
      </c>
      <c r="F159" s="13" t="s">
        <v>1390</v>
      </c>
      <c r="G159" s="2" t="s">
        <v>1406</v>
      </c>
      <c r="H159" s="19" t="s">
        <v>1407</v>
      </c>
      <c r="I159" s="27" t="s">
        <v>880</v>
      </c>
      <c r="J159" s="3" t="s">
        <v>950</v>
      </c>
      <c r="K159" s="4">
        <f>COUNTIFS(Relacion_Doc_Criterio!$A:$A,A159,Relacion_Doc_Criterio!$D:$D,"&lt;&gt;")</f>
        <v>1</v>
      </c>
      <c r="L159" s="4" t="e">
        <f>COUNTIFS(Relacion_Doc_Criterio!$A:$A,A159,Relacion_Doc_Criterio!$D:$D,"&lt;&gt;",Relacion_Doc_Criterio!#REF!,"Principal")</f>
        <v>#REF!</v>
      </c>
      <c r="M159" s="10"/>
    </row>
    <row r="160" spans="1:13" ht="58.15" customHeight="1">
      <c r="A160" s="13" t="s">
        <v>1408</v>
      </c>
      <c r="B160" s="22" t="s">
        <v>618</v>
      </c>
      <c r="C160" s="12" t="s">
        <v>450</v>
      </c>
      <c r="D160" s="15" t="s">
        <v>1260</v>
      </c>
      <c r="E160" s="12">
        <v>10</v>
      </c>
      <c r="F160" s="13" t="s">
        <v>1409</v>
      </c>
      <c r="G160" s="2" t="s">
        <v>1410</v>
      </c>
      <c r="H160" s="19" t="s">
        <v>1411</v>
      </c>
      <c r="I160" s="27" t="s">
        <v>880</v>
      </c>
      <c r="J160" s="3" t="s">
        <v>950</v>
      </c>
      <c r="K160" s="4">
        <f>COUNTIFS(Relacion_Doc_Criterio!$A:$A,A160,Relacion_Doc_Criterio!$D:$D,"&lt;&gt;")</f>
        <v>1</v>
      </c>
      <c r="L160" s="4" t="e">
        <f>COUNTIFS(Relacion_Doc_Criterio!$A:$A,A160,Relacion_Doc_Criterio!$D:$D,"&lt;&gt;",Relacion_Doc_Criterio!#REF!,"Principal")</f>
        <v>#REF!</v>
      </c>
      <c r="M160" s="10"/>
    </row>
    <row r="161" spans="1:13" ht="52.9">
      <c r="A161" s="13" t="s">
        <v>1412</v>
      </c>
      <c r="B161" s="22" t="s">
        <v>623</v>
      </c>
      <c r="C161" s="12" t="s">
        <v>450</v>
      </c>
      <c r="D161" s="15" t="s">
        <v>1260</v>
      </c>
      <c r="E161" s="12">
        <v>10</v>
      </c>
      <c r="F161" s="13" t="s">
        <v>1409</v>
      </c>
      <c r="G161" s="2" t="s">
        <v>1413</v>
      </c>
      <c r="H161" s="19" t="s">
        <v>1414</v>
      </c>
      <c r="I161" s="27" t="s">
        <v>880</v>
      </c>
      <c r="J161" s="3" t="s">
        <v>950</v>
      </c>
      <c r="K161" s="4">
        <f>COUNTIFS(Relacion_Doc_Criterio!$A:$A,A161,Relacion_Doc_Criterio!$D:$D,"&lt;&gt;")</f>
        <v>1</v>
      </c>
      <c r="L161" s="4" t="e">
        <f>COUNTIFS(Relacion_Doc_Criterio!$A:$A,A161,Relacion_Doc_Criterio!$D:$D,"&lt;&gt;",Relacion_Doc_Criterio!#REF!,"Principal")</f>
        <v>#REF!</v>
      </c>
      <c r="M161" s="10"/>
    </row>
    <row r="162" spans="1:13" ht="39.6">
      <c r="A162" s="13" t="s">
        <v>1415</v>
      </c>
      <c r="B162" s="22" t="s">
        <v>626</v>
      </c>
      <c r="C162" s="12" t="s">
        <v>450</v>
      </c>
      <c r="D162" s="15" t="s">
        <v>1260</v>
      </c>
      <c r="E162" s="12">
        <v>10</v>
      </c>
      <c r="F162" s="13" t="s">
        <v>1409</v>
      </c>
      <c r="G162" s="2" t="s">
        <v>1416</v>
      </c>
      <c r="H162" s="19" t="s">
        <v>1417</v>
      </c>
      <c r="I162" s="27" t="s">
        <v>880</v>
      </c>
      <c r="J162" s="3" t="s">
        <v>950</v>
      </c>
      <c r="K162" s="4">
        <f>COUNTIFS(Relacion_Doc_Criterio!$A:$A,A162,Relacion_Doc_Criterio!$D:$D,"&lt;&gt;")</f>
        <v>1</v>
      </c>
      <c r="L162" s="4" t="e">
        <f>COUNTIFS(Relacion_Doc_Criterio!$A:$A,A162,Relacion_Doc_Criterio!$D:$D,"&lt;&gt;",Relacion_Doc_Criterio!#REF!,"Principal")</f>
        <v>#REF!</v>
      </c>
      <c r="M162" s="10"/>
    </row>
    <row r="163" spans="1:13" ht="45" customHeight="1">
      <c r="A163" s="13" t="s">
        <v>1418</v>
      </c>
      <c r="B163" s="22" t="s">
        <v>629</v>
      </c>
      <c r="C163" s="12" t="s">
        <v>450</v>
      </c>
      <c r="D163" s="15" t="s">
        <v>1260</v>
      </c>
      <c r="E163" s="12">
        <v>10</v>
      </c>
      <c r="F163" s="13" t="s">
        <v>1409</v>
      </c>
      <c r="G163" s="2" t="s">
        <v>1419</v>
      </c>
      <c r="H163" s="19" t="s">
        <v>1420</v>
      </c>
      <c r="I163" s="27" t="s">
        <v>880</v>
      </c>
      <c r="J163" s="3" t="s">
        <v>950</v>
      </c>
      <c r="K163" s="4">
        <f>COUNTIFS(Relacion_Doc_Criterio!$A:$A,A163,Relacion_Doc_Criterio!$D:$D,"&lt;&gt;")</f>
        <v>1</v>
      </c>
      <c r="L163" s="4" t="e">
        <f>COUNTIFS(Relacion_Doc_Criterio!$A:$A,A163,Relacion_Doc_Criterio!$D:$D,"&lt;&gt;",Relacion_Doc_Criterio!#REF!,"Principal")</f>
        <v>#REF!</v>
      </c>
      <c r="M163" s="10"/>
    </row>
    <row r="164" spans="1:13" ht="82.9" customHeight="1">
      <c r="A164" s="13" t="s">
        <v>1421</v>
      </c>
      <c r="B164" s="22" t="s">
        <v>632</v>
      </c>
      <c r="C164" s="12" t="s">
        <v>450</v>
      </c>
      <c r="D164" s="15" t="s">
        <v>1260</v>
      </c>
      <c r="E164" s="12">
        <v>10</v>
      </c>
      <c r="F164" s="13" t="s">
        <v>1422</v>
      </c>
      <c r="G164" s="2" t="s">
        <v>1423</v>
      </c>
      <c r="H164" s="19" t="s">
        <v>1424</v>
      </c>
      <c r="I164" s="27" t="s">
        <v>880</v>
      </c>
      <c r="J164" s="3" t="s">
        <v>950</v>
      </c>
      <c r="K164" s="4">
        <f>COUNTIFS(Relacion_Doc_Criterio!$A:$A,A164,Relacion_Doc_Criterio!$D:$D,"&lt;&gt;")</f>
        <v>1</v>
      </c>
      <c r="L164" s="4" t="e">
        <f>COUNTIFS(Relacion_Doc_Criterio!$A:$A,A164,Relacion_Doc_Criterio!$D:$D,"&lt;&gt;",Relacion_Doc_Criterio!#REF!,"Principal")</f>
        <v>#REF!</v>
      </c>
      <c r="M164" s="10"/>
    </row>
    <row r="165" spans="1:13" ht="148.15" customHeight="1">
      <c r="A165" s="13" t="s">
        <v>1425</v>
      </c>
      <c r="B165" s="22" t="s">
        <v>637</v>
      </c>
      <c r="C165" s="12" t="s">
        <v>450</v>
      </c>
      <c r="D165" s="15" t="s">
        <v>1260</v>
      </c>
      <c r="E165" s="12">
        <v>10</v>
      </c>
      <c r="F165" s="13" t="s">
        <v>1426</v>
      </c>
      <c r="G165" s="2" t="s">
        <v>1427</v>
      </c>
      <c r="H165" s="19" t="s">
        <v>1428</v>
      </c>
      <c r="I165" s="27" t="s">
        <v>880</v>
      </c>
      <c r="J165" s="3" t="s">
        <v>950</v>
      </c>
      <c r="K165" s="4">
        <f>COUNTIFS(Relacion_Doc_Criterio!$A:$A,A165,Relacion_Doc_Criterio!$D:$D,"&lt;&gt;")</f>
        <v>1</v>
      </c>
      <c r="L165" s="4" t="e">
        <f>COUNTIFS(Relacion_Doc_Criterio!$A:$A,A165,Relacion_Doc_Criterio!$D:$D,"&lt;&gt;",Relacion_Doc_Criterio!#REF!,"Principal")</f>
        <v>#REF!</v>
      </c>
      <c r="M165" s="10"/>
    </row>
    <row r="166" spans="1:13" ht="79.900000000000006" customHeight="1">
      <c r="A166" s="13" t="s">
        <v>1429</v>
      </c>
      <c r="B166" s="22" t="s">
        <v>642</v>
      </c>
      <c r="C166" s="12" t="s">
        <v>450</v>
      </c>
      <c r="D166" s="15" t="s">
        <v>1260</v>
      </c>
      <c r="E166" s="12">
        <v>10</v>
      </c>
      <c r="F166" s="13" t="s">
        <v>1430</v>
      </c>
      <c r="G166" s="2" t="s">
        <v>1431</v>
      </c>
      <c r="H166" s="19" t="s">
        <v>1432</v>
      </c>
      <c r="I166" s="27" t="s">
        <v>880</v>
      </c>
      <c r="J166" s="3" t="s">
        <v>950</v>
      </c>
      <c r="K166" s="4">
        <f>COUNTIFS(Relacion_Doc_Criterio!$A:$A,A166,Relacion_Doc_Criterio!$D:$D,"&lt;&gt;")</f>
        <v>1</v>
      </c>
      <c r="L166" s="4" t="e">
        <f>COUNTIFS(Relacion_Doc_Criterio!$A:$A,A166,Relacion_Doc_Criterio!$D:$D,"&lt;&gt;",Relacion_Doc_Criterio!#REF!,"Principal")</f>
        <v>#REF!</v>
      </c>
      <c r="M166" s="10"/>
    </row>
    <row r="167" spans="1:13" ht="43.15" customHeight="1">
      <c r="A167" s="13" t="s">
        <v>1433</v>
      </c>
      <c r="B167" s="22" t="s">
        <v>647</v>
      </c>
      <c r="C167" s="12" t="s">
        <v>450</v>
      </c>
      <c r="D167" s="15" t="s">
        <v>1260</v>
      </c>
      <c r="E167" s="12">
        <v>10</v>
      </c>
      <c r="F167" s="13" t="s">
        <v>1430</v>
      </c>
      <c r="G167" s="2" t="s">
        <v>1434</v>
      </c>
      <c r="H167" s="19" t="s">
        <v>1435</v>
      </c>
      <c r="I167" s="27" t="s">
        <v>880</v>
      </c>
      <c r="J167" s="3" t="s">
        <v>950</v>
      </c>
      <c r="K167" s="4">
        <f>COUNTIFS(Relacion_Doc_Criterio!$A:$A,A167,Relacion_Doc_Criterio!$D:$D,"&lt;&gt;")</f>
        <v>1</v>
      </c>
      <c r="L167" s="4" t="e">
        <f>COUNTIFS(Relacion_Doc_Criterio!$A:$A,A167,Relacion_Doc_Criterio!$D:$D,"&lt;&gt;",Relacion_Doc_Criterio!#REF!,"Principal")</f>
        <v>#REF!</v>
      </c>
      <c r="M167" s="10"/>
    </row>
    <row r="168" spans="1:13" ht="26.45">
      <c r="A168" s="13" t="s">
        <v>1436</v>
      </c>
      <c r="B168" s="22" t="s">
        <v>650</v>
      </c>
      <c r="C168" s="12" t="s">
        <v>450</v>
      </c>
      <c r="D168" s="15" t="s">
        <v>1260</v>
      </c>
      <c r="E168" s="12">
        <v>10</v>
      </c>
      <c r="F168" s="13" t="s">
        <v>1430</v>
      </c>
      <c r="G168" s="2" t="s">
        <v>1437</v>
      </c>
      <c r="H168" s="19" t="s">
        <v>1438</v>
      </c>
      <c r="I168" s="27" t="s">
        <v>880</v>
      </c>
      <c r="J168" s="3" t="s">
        <v>950</v>
      </c>
      <c r="K168" s="4">
        <f>COUNTIFS(Relacion_Doc_Criterio!$A:$A,A168,Relacion_Doc_Criterio!$D:$D,"&lt;&gt;")</f>
        <v>1</v>
      </c>
      <c r="L168" s="4" t="e">
        <f>COUNTIFS(Relacion_Doc_Criterio!$A:$A,A168,Relacion_Doc_Criterio!$D:$D,"&lt;&gt;",Relacion_Doc_Criterio!#REF!,"Principal")</f>
        <v>#REF!</v>
      </c>
      <c r="M168" s="10"/>
    </row>
    <row r="169" spans="1:13" ht="55.9" customHeight="1">
      <c r="A169" s="13" t="s">
        <v>1439</v>
      </c>
      <c r="B169" s="22" t="s">
        <v>653</v>
      </c>
      <c r="C169" s="12" t="s">
        <v>450</v>
      </c>
      <c r="D169" s="15" t="s">
        <v>1260</v>
      </c>
      <c r="E169" s="12">
        <v>10</v>
      </c>
      <c r="F169" s="13" t="s">
        <v>1430</v>
      </c>
      <c r="G169" s="2" t="s">
        <v>1440</v>
      </c>
      <c r="H169" s="19" t="s">
        <v>1441</v>
      </c>
      <c r="I169" s="27" t="s">
        <v>880</v>
      </c>
      <c r="J169" s="3" t="s">
        <v>950</v>
      </c>
      <c r="K169" s="4">
        <f>COUNTIFS(Relacion_Doc_Criterio!$A:$A,A169,Relacion_Doc_Criterio!$D:$D,"&lt;&gt;")</f>
        <v>1</v>
      </c>
      <c r="L169" s="4" t="e">
        <f>COUNTIFS(Relacion_Doc_Criterio!$A:$A,A169,Relacion_Doc_Criterio!$D:$D,"&lt;&gt;",Relacion_Doc_Criterio!#REF!,"Principal")</f>
        <v>#REF!</v>
      </c>
      <c r="M169" s="10"/>
    </row>
    <row r="170" spans="1:13" ht="97.9" customHeight="1">
      <c r="A170" s="13" t="s">
        <v>1442</v>
      </c>
      <c r="B170" s="22" t="s">
        <v>656</v>
      </c>
      <c r="C170" s="12" t="s">
        <v>450</v>
      </c>
      <c r="D170" s="15" t="s">
        <v>1260</v>
      </c>
      <c r="E170" s="12">
        <v>10</v>
      </c>
      <c r="F170" s="13" t="s">
        <v>1443</v>
      </c>
      <c r="G170" s="2" t="s">
        <v>1444</v>
      </c>
      <c r="H170" s="19" t="s">
        <v>1445</v>
      </c>
      <c r="I170" s="27" t="s">
        <v>880</v>
      </c>
      <c r="J170" s="3" t="s">
        <v>950</v>
      </c>
      <c r="K170" s="4">
        <f>COUNTIFS(Relacion_Doc_Criterio!$A:$A,A170,Relacion_Doc_Criterio!$D:$D,"&lt;&gt;")</f>
        <v>1</v>
      </c>
      <c r="L170" s="4" t="e">
        <f>COUNTIFS(Relacion_Doc_Criterio!$A:$A,A170,Relacion_Doc_Criterio!$D:$D,"&lt;&gt;",Relacion_Doc_Criterio!#REF!,"Principal")</f>
        <v>#REF!</v>
      </c>
      <c r="M170" s="10"/>
    </row>
    <row r="171" spans="1:13" ht="45" customHeight="1">
      <c r="A171" s="13" t="s">
        <v>1446</v>
      </c>
      <c r="B171" s="22" t="s">
        <v>661</v>
      </c>
      <c r="C171" s="12" t="s">
        <v>450</v>
      </c>
      <c r="D171" s="15" t="s">
        <v>1260</v>
      </c>
      <c r="E171" s="12">
        <v>10</v>
      </c>
      <c r="F171" s="13" t="s">
        <v>1443</v>
      </c>
      <c r="G171" s="2" t="s">
        <v>1447</v>
      </c>
      <c r="H171" s="19" t="s">
        <v>1448</v>
      </c>
      <c r="I171" s="27" t="s">
        <v>880</v>
      </c>
      <c r="J171" s="3" t="s">
        <v>950</v>
      </c>
      <c r="K171" s="4">
        <f>COUNTIFS(Relacion_Doc_Criterio!$A:$A,A171,Relacion_Doc_Criterio!$D:$D,"&lt;&gt;")</f>
        <v>1</v>
      </c>
      <c r="L171" s="4" t="e">
        <f>COUNTIFS(Relacion_Doc_Criterio!$A:$A,A171,Relacion_Doc_Criterio!$D:$D,"&lt;&gt;",Relacion_Doc_Criterio!#REF!,"Principal")</f>
        <v>#REF!</v>
      </c>
      <c r="M171" s="10"/>
    </row>
    <row r="172" spans="1:13" ht="52.9">
      <c r="A172" s="13" t="s">
        <v>1449</v>
      </c>
      <c r="B172" s="22" t="s">
        <v>664</v>
      </c>
      <c r="C172" s="12" t="s">
        <v>450</v>
      </c>
      <c r="D172" s="15" t="s">
        <v>1260</v>
      </c>
      <c r="E172" s="12">
        <v>10</v>
      </c>
      <c r="F172" s="13" t="s">
        <v>1443</v>
      </c>
      <c r="G172" s="2" t="s">
        <v>1450</v>
      </c>
      <c r="H172" s="19" t="s">
        <v>1451</v>
      </c>
      <c r="I172" s="27" t="s">
        <v>880</v>
      </c>
      <c r="J172" s="3" t="s">
        <v>950</v>
      </c>
      <c r="K172" s="4">
        <f>COUNTIFS(Relacion_Doc_Criterio!$A:$A,A172,Relacion_Doc_Criterio!$D:$D,"&lt;&gt;")</f>
        <v>1</v>
      </c>
      <c r="L172" s="4" t="e">
        <f>COUNTIFS(Relacion_Doc_Criterio!$A:$A,A172,Relacion_Doc_Criterio!$D:$D,"&lt;&gt;",Relacion_Doc_Criterio!#REF!,"Principal")</f>
        <v>#REF!</v>
      </c>
      <c r="M172" s="10"/>
    </row>
    <row r="173" spans="1:13" ht="69.599999999999994" customHeight="1">
      <c r="A173" s="13" t="s">
        <v>1452</v>
      </c>
      <c r="B173" s="22" t="s">
        <v>667</v>
      </c>
      <c r="C173" s="12" t="s">
        <v>450</v>
      </c>
      <c r="D173" s="15" t="s">
        <v>1260</v>
      </c>
      <c r="E173" s="12">
        <v>10</v>
      </c>
      <c r="F173" s="13" t="s">
        <v>1453</v>
      </c>
      <c r="G173" s="2" t="s">
        <v>1454</v>
      </c>
      <c r="H173" s="19" t="s">
        <v>1455</v>
      </c>
      <c r="I173" s="27" t="s">
        <v>880</v>
      </c>
      <c r="J173" s="3" t="s">
        <v>950</v>
      </c>
      <c r="K173" s="4">
        <f>COUNTIFS(Relacion_Doc_Criterio!$A:$A,A173,Relacion_Doc_Criterio!$D:$D,"&lt;&gt;")</f>
        <v>1</v>
      </c>
      <c r="L173" s="4" t="e">
        <f>COUNTIFS(Relacion_Doc_Criterio!$A:$A,A173,Relacion_Doc_Criterio!$D:$D,"&lt;&gt;",Relacion_Doc_Criterio!#REF!,"Principal")</f>
        <v>#REF!</v>
      </c>
      <c r="M173" s="10"/>
    </row>
    <row r="174" spans="1:13" ht="39.6">
      <c r="A174" s="13" t="s">
        <v>1456</v>
      </c>
      <c r="B174" s="22" t="s">
        <v>672</v>
      </c>
      <c r="C174" s="12" t="s">
        <v>450</v>
      </c>
      <c r="D174" s="15" t="s">
        <v>1260</v>
      </c>
      <c r="E174" s="12">
        <v>10</v>
      </c>
      <c r="F174" s="13" t="s">
        <v>1453</v>
      </c>
      <c r="G174" s="2" t="s">
        <v>1457</v>
      </c>
      <c r="H174" s="19" t="s">
        <v>1458</v>
      </c>
      <c r="I174" s="27" t="s">
        <v>880</v>
      </c>
      <c r="J174" s="3" t="s">
        <v>950</v>
      </c>
      <c r="K174" s="4">
        <f>COUNTIFS(Relacion_Doc_Criterio!$A:$A,A174,Relacion_Doc_Criterio!$D:$D,"&lt;&gt;")</f>
        <v>1</v>
      </c>
      <c r="L174" s="4" t="e">
        <f>COUNTIFS(Relacion_Doc_Criterio!$A:$A,A174,Relacion_Doc_Criterio!$D:$D,"&lt;&gt;",Relacion_Doc_Criterio!#REF!,"Principal")</f>
        <v>#REF!</v>
      </c>
      <c r="M174" s="10"/>
    </row>
    <row r="175" spans="1:13" ht="79.150000000000006">
      <c r="A175" s="13" t="s">
        <v>1459</v>
      </c>
      <c r="B175" s="22" t="s">
        <v>675</v>
      </c>
      <c r="C175" s="12" t="s">
        <v>450</v>
      </c>
      <c r="D175" s="15" t="s">
        <v>1260</v>
      </c>
      <c r="E175" s="12">
        <v>10</v>
      </c>
      <c r="F175" s="13" t="s">
        <v>1453</v>
      </c>
      <c r="G175" s="2" t="s">
        <v>1460</v>
      </c>
      <c r="H175" s="19" t="s">
        <v>1461</v>
      </c>
      <c r="I175" s="27" t="s">
        <v>880</v>
      </c>
      <c r="J175" s="3" t="s">
        <v>950</v>
      </c>
      <c r="K175" s="4">
        <f>COUNTIFS(Relacion_Doc_Criterio!$A:$A,A175,Relacion_Doc_Criterio!$D:$D,"&lt;&gt;")</f>
        <v>1</v>
      </c>
      <c r="L175" s="4" t="e">
        <f>COUNTIFS(Relacion_Doc_Criterio!$A:$A,A175,Relacion_Doc_Criterio!$D:$D,"&lt;&gt;",Relacion_Doc_Criterio!#REF!,"Principal")</f>
        <v>#REF!</v>
      </c>
      <c r="M175" s="10"/>
    </row>
    <row r="176" spans="1:13" ht="85.15" customHeight="1">
      <c r="A176" s="13" t="s">
        <v>1462</v>
      </c>
      <c r="B176" s="22" t="s">
        <v>678</v>
      </c>
      <c r="C176" s="12" t="s">
        <v>450</v>
      </c>
      <c r="D176" s="15" t="s">
        <v>1260</v>
      </c>
      <c r="E176" s="12">
        <v>10</v>
      </c>
      <c r="F176" s="13" t="s">
        <v>1453</v>
      </c>
      <c r="G176" s="2" t="s">
        <v>1463</v>
      </c>
      <c r="H176" s="19" t="s">
        <v>1464</v>
      </c>
      <c r="I176" s="27" t="s">
        <v>880</v>
      </c>
      <c r="J176" s="3" t="s">
        <v>950</v>
      </c>
      <c r="K176" s="4">
        <f>COUNTIFS(Relacion_Doc_Criterio!$A:$A,A176,Relacion_Doc_Criterio!$D:$D,"&lt;&gt;")</f>
        <v>1</v>
      </c>
      <c r="L176" s="4" t="e">
        <f>COUNTIFS(Relacion_Doc_Criterio!$A:$A,A176,Relacion_Doc_Criterio!$D:$D,"&lt;&gt;",Relacion_Doc_Criterio!#REF!,"Principal")</f>
        <v>#REF!</v>
      </c>
      <c r="M176" s="10"/>
    </row>
    <row r="177" spans="1:13" ht="79.150000000000006">
      <c r="A177" s="13" t="s">
        <v>1465</v>
      </c>
      <c r="B177" s="22" t="s">
        <v>681</v>
      </c>
      <c r="C177" s="12" t="s">
        <v>450</v>
      </c>
      <c r="D177" s="15" t="s">
        <v>1260</v>
      </c>
      <c r="E177" s="12">
        <v>11</v>
      </c>
      <c r="F177" s="13" t="s">
        <v>1466</v>
      </c>
      <c r="G177" s="2" t="s">
        <v>1467</v>
      </c>
      <c r="H177" s="19" t="s">
        <v>1468</v>
      </c>
      <c r="I177" s="27" t="s">
        <v>880</v>
      </c>
      <c r="J177" s="3" t="s">
        <v>950</v>
      </c>
      <c r="K177" s="4">
        <f>COUNTIFS(Relacion_Doc_Criterio!$A:$A,A177,Relacion_Doc_Criterio!$D:$D,"&lt;&gt;")</f>
        <v>1</v>
      </c>
      <c r="L177" s="4" t="e">
        <f>COUNTIFS(Relacion_Doc_Criterio!$A:$A,A177,Relacion_Doc_Criterio!$D:$D,"&lt;&gt;",Relacion_Doc_Criterio!#REF!,"Principal")</f>
        <v>#REF!</v>
      </c>
      <c r="M177" s="10"/>
    </row>
    <row r="178" spans="1:13" ht="100.15" customHeight="1">
      <c r="A178" s="13" t="s">
        <v>1469</v>
      </c>
      <c r="B178" s="22" t="s">
        <v>688</v>
      </c>
      <c r="C178" s="12" t="s">
        <v>450</v>
      </c>
      <c r="D178" s="15" t="s">
        <v>1260</v>
      </c>
      <c r="E178" s="12">
        <v>11</v>
      </c>
      <c r="F178" s="13" t="s">
        <v>1466</v>
      </c>
      <c r="G178" s="2" t="s">
        <v>1470</v>
      </c>
      <c r="H178" s="19" t="s">
        <v>1471</v>
      </c>
      <c r="I178" s="27" t="s">
        <v>880</v>
      </c>
      <c r="J178" s="3" t="s">
        <v>950</v>
      </c>
      <c r="K178" s="4">
        <f>COUNTIFS(Relacion_Doc_Criterio!$A:$A,A178,Relacion_Doc_Criterio!$D:$D,"&lt;&gt;")</f>
        <v>1</v>
      </c>
      <c r="L178" s="4" t="e">
        <f>COUNTIFS(Relacion_Doc_Criterio!$A:$A,A178,Relacion_Doc_Criterio!$D:$D,"&lt;&gt;",Relacion_Doc_Criterio!#REF!,"Principal")</f>
        <v>#REF!</v>
      </c>
      <c r="M178" s="10"/>
    </row>
    <row r="179" spans="1:13" ht="131.44999999999999" customHeight="1">
      <c r="A179" s="13" t="s">
        <v>1472</v>
      </c>
      <c r="B179" s="22" t="s">
        <v>691</v>
      </c>
      <c r="C179" s="12" t="s">
        <v>450</v>
      </c>
      <c r="D179" s="15" t="s">
        <v>1260</v>
      </c>
      <c r="E179" s="12">
        <v>11</v>
      </c>
      <c r="F179" s="13" t="s">
        <v>1473</v>
      </c>
      <c r="G179" s="2" t="s">
        <v>1474</v>
      </c>
      <c r="H179" s="19" t="s">
        <v>1475</v>
      </c>
      <c r="I179" s="27" t="s">
        <v>880</v>
      </c>
      <c r="J179" s="3" t="s">
        <v>950</v>
      </c>
      <c r="K179" s="4">
        <f>COUNTIFS(Relacion_Doc_Criterio!$A:$A,A179,Relacion_Doc_Criterio!$D:$D,"&lt;&gt;")</f>
        <v>1</v>
      </c>
      <c r="L179" s="4" t="e">
        <f>COUNTIFS(Relacion_Doc_Criterio!$A:$A,A179,Relacion_Doc_Criterio!$D:$D,"&lt;&gt;",Relacion_Doc_Criterio!#REF!,"Principal")</f>
        <v>#REF!</v>
      </c>
      <c r="M179" s="10"/>
    </row>
    <row r="180" spans="1:13" ht="105.6">
      <c r="A180" s="13" t="s">
        <v>1476</v>
      </c>
      <c r="B180" s="22" t="s">
        <v>696</v>
      </c>
      <c r="C180" s="12" t="s">
        <v>450</v>
      </c>
      <c r="D180" s="15" t="s">
        <v>1260</v>
      </c>
      <c r="E180" s="12">
        <v>11</v>
      </c>
      <c r="F180" s="13" t="s">
        <v>1477</v>
      </c>
      <c r="G180" s="2" t="s">
        <v>1478</v>
      </c>
      <c r="H180" s="19" t="s">
        <v>1479</v>
      </c>
      <c r="I180" s="27" t="s">
        <v>880</v>
      </c>
      <c r="J180" s="3" t="s">
        <v>950</v>
      </c>
      <c r="K180" s="4">
        <f>COUNTIFS(Relacion_Doc_Criterio!$A:$A,A180,Relacion_Doc_Criterio!$D:$D,"&lt;&gt;")</f>
        <v>1</v>
      </c>
      <c r="L180" s="4" t="e">
        <f>COUNTIFS(Relacion_Doc_Criterio!$A:$A,A180,Relacion_Doc_Criterio!$D:$D,"&lt;&gt;",Relacion_Doc_Criterio!#REF!,"Principal")</f>
        <v>#REF!</v>
      </c>
      <c r="M180" s="10"/>
    </row>
    <row r="181" spans="1:13" ht="101.45" customHeight="1">
      <c r="A181" s="13" t="s">
        <v>1480</v>
      </c>
      <c r="B181" s="22" t="s">
        <v>701</v>
      </c>
      <c r="C181" s="12" t="s">
        <v>450</v>
      </c>
      <c r="D181" s="15" t="s">
        <v>1260</v>
      </c>
      <c r="E181" s="12">
        <v>11</v>
      </c>
      <c r="F181" s="13" t="s">
        <v>1481</v>
      </c>
      <c r="G181" s="2" t="s">
        <v>1482</v>
      </c>
      <c r="H181" s="19" t="s">
        <v>1483</v>
      </c>
      <c r="I181" s="27" t="s">
        <v>880</v>
      </c>
      <c r="J181" s="3" t="s">
        <v>950</v>
      </c>
      <c r="K181" s="4">
        <f>COUNTIFS(Relacion_Doc_Criterio!$A:$A,A181,Relacion_Doc_Criterio!$D:$D,"&lt;&gt;")</f>
        <v>1</v>
      </c>
      <c r="L181" s="4" t="e">
        <f>COUNTIFS(Relacion_Doc_Criterio!$A:$A,A181,Relacion_Doc_Criterio!$D:$D,"&lt;&gt;",Relacion_Doc_Criterio!#REF!,"Principal")</f>
        <v>#REF!</v>
      </c>
      <c r="M181" s="10"/>
    </row>
    <row r="182" spans="1:13" ht="85.15" customHeight="1">
      <c r="A182" s="13" t="s">
        <v>1484</v>
      </c>
      <c r="B182" s="22" t="s">
        <v>706</v>
      </c>
      <c r="C182" s="12" t="s">
        <v>450</v>
      </c>
      <c r="D182" s="15" t="s">
        <v>1260</v>
      </c>
      <c r="E182" s="12">
        <v>11</v>
      </c>
      <c r="F182" s="13" t="s">
        <v>1481</v>
      </c>
      <c r="G182" s="2" t="s">
        <v>1485</v>
      </c>
      <c r="H182" s="19" t="s">
        <v>1486</v>
      </c>
      <c r="I182" s="27" t="s">
        <v>880</v>
      </c>
      <c r="J182" s="3" t="s">
        <v>950</v>
      </c>
      <c r="K182" s="4">
        <f>COUNTIFS(Relacion_Doc_Criterio!$A:$A,A182,Relacion_Doc_Criterio!$D:$D,"&lt;&gt;")</f>
        <v>1</v>
      </c>
      <c r="L182" s="4" t="e">
        <f>COUNTIFS(Relacion_Doc_Criterio!$A:$A,A182,Relacion_Doc_Criterio!$D:$D,"&lt;&gt;",Relacion_Doc_Criterio!#REF!,"Principal")</f>
        <v>#REF!</v>
      </c>
      <c r="M182" s="10"/>
    </row>
    <row r="183" spans="1:13" ht="52.9">
      <c r="A183" s="13" t="s">
        <v>1487</v>
      </c>
      <c r="B183" s="22" t="s">
        <v>709</v>
      </c>
      <c r="C183" s="12" t="s">
        <v>450</v>
      </c>
      <c r="D183" s="15" t="s">
        <v>1260</v>
      </c>
      <c r="E183" s="12">
        <v>11</v>
      </c>
      <c r="F183" s="13" t="s">
        <v>1481</v>
      </c>
      <c r="G183" s="2" t="s">
        <v>1488</v>
      </c>
      <c r="H183" s="19" t="s">
        <v>1489</v>
      </c>
      <c r="I183" s="27" t="s">
        <v>880</v>
      </c>
      <c r="J183" s="3" t="s">
        <v>950</v>
      </c>
      <c r="K183" s="4">
        <f>COUNTIFS(Relacion_Doc_Criterio!$A:$A,A183,Relacion_Doc_Criterio!$D:$D,"&lt;&gt;")</f>
        <v>1</v>
      </c>
      <c r="L183" s="4" t="e">
        <f>COUNTIFS(Relacion_Doc_Criterio!$A:$A,A183,Relacion_Doc_Criterio!$D:$D,"&lt;&gt;",Relacion_Doc_Criterio!#REF!,"Principal")</f>
        <v>#REF!</v>
      </c>
      <c r="M183" s="10"/>
    </row>
    <row r="184" spans="1:13" ht="82.15" customHeight="1">
      <c r="A184" s="13" t="s">
        <v>1490</v>
      </c>
      <c r="B184" s="22" t="s">
        <v>712</v>
      </c>
      <c r="C184" s="12" t="s">
        <v>450</v>
      </c>
      <c r="D184" s="15" t="s">
        <v>1260</v>
      </c>
      <c r="E184" s="12">
        <v>11</v>
      </c>
      <c r="F184" s="13" t="s">
        <v>1491</v>
      </c>
      <c r="G184" s="2" t="s">
        <v>1492</v>
      </c>
      <c r="H184" s="19" t="s">
        <v>1493</v>
      </c>
      <c r="I184" s="27" t="s">
        <v>880</v>
      </c>
      <c r="J184" s="3" t="s">
        <v>950</v>
      </c>
      <c r="K184" s="4">
        <f>COUNTIFS(Relacion_Doc_Criterio!$A:$A,A184,Relacion_Doc_Criterio!$D:$D,"&lt;&gt;")</f>
        <v>1</v>
      </c>
      <c r="L184" s="4" t="e">
        <f>COUNTIFS(Relacion_Doc_Criterio!$A:$A,A184,Relacion_Doc_Criterio!$D:$D,"&lt;&gt;",Relacion_Doc_Criterio!#REF!,"Principal")</f>
        <v>#REF!</v>
      </c>
      <c r="M184" s="10"/>
    </row>
    <row r="185" spans="1:13" ht="85.15" customHeight="1">
      <c r="A185" s="13" t="s">
        <v>1494</v>
      </c>
      <c r="B185" s="22" t="s">
        <v>717</v>
      </c>
      <c r="C185" s="12" t="s">
        <v>450</v>
      </c>
      <c r="D185" s="15" t="s">
        <v>1260</v>
      </c>
      <c r="E185" s="12">
        <v>11</v>
      </c>
      <c r="F185" s="13" t="s">
        <v>1491</v>
      </c>
      <c r="G185" s="2" t="s">
        <v>1495</v>
      </c>
      <c r="H185" s="19" t="s">
        <v>1496</v>
      </c>
      <c r="I185" s="27" t="s">
        <v>880</v>
      </c>
      <c r="J185" s="3" t="s">
        <v>950</v>
      </c>
      <c r="K185" s="4">
        <f>COUNTIFS(Relacion_Doc_Criterio!$A:$A,A185,Relacion_Doc_Criterio!$D:$D,"&lt;&gt;")</f>
        <v>1</v>
      </c>
      <c r="L185" s="4" t="e">
        <f>COUNTIFS(Relacion_Doc_Criterio!$A:$A,A185,Relacion_Doc_Criterio!$D:$D,"&lt;&gt;",Relacion_Doc_Criterio!#REF!,"Principal")</f>
        <v>#REF!</v>
      </c>
      <c r="M185" s="10"/>
    </row>
    <row r="186" spans="1:13" ht="95.45" customHeight="1">
      <c r="A186" s="13" t="s">
        <v>1497</v>
      </c>
      <c r="B186" s="22" t="s">
        <v>721</v>
      </c>
      <c r="C186" s="12" t="s">
        <v>450</v>
      </c>
      <c r="D186" s="15" t="s">
        <v>1260</v>
      </c>
      <c r="E186" s="12">
        <v>12</v>
      </c>
      <c r="F186" s="13" t="s">
        <v>1498</v>
      </c>
      <c r="G186" s="2" t="s">
        <v>1499</v>
      </c>
      <c r="H186" s="19" t="s">
        <v>1500</v>
      </c>
      <c r="I186" s="27" t="s">
        <v>880</v>
      </c>
      <c r="J186" s="3" t="s">
        <v>950</v>
      </c>
      <c r="K186" s="4">
        <f>COUNTIFS(Relacion_Doc_Criterio!$A:$A,A186,Relacion_Doc_Criterio!$D:$D,"&lt;&gt;")</f>
        <v>1</v>
      </c>
      <c r="L186" s="4" t="e">
        <f>COUNTIFS(Relacion_Doc_Criterio!$A:$A,A186,Relacion_Doc_Criterio!$D:$D,"&lt;&gt;",Relacion_Doc_Criterio!#REF!,"Principal")</f>
        <v>#REF!</v>
      </c>
      <c r="M186" s="10"/>
    </row>
    <row r="187" spans="1:13" ht="90" customHeight="1">
      <c r="A187" s="13" t="s">
        <v>1501</v>
      </c>
      <c r="B187" s="22" t="s">
        <v>728</v>
      </c>
      <c r="C187" s="12" t="s">
        <v>450</v>
      </c>
      <c r="D187" s="15" t="s">
        <v>1260</v>
      </c>
      <c r="E187" s="12">
        <v>12</v>
      </c>
      <c r="F187" s="13" t="s">
        <v>1502</v>
      </c>
      <c r="G187" s="2" t="s">
        <v>1503</v>
      </c>
      <c r="H187" s="19" t="s">
        <v>1504</v>
      </c>
      <c r="I187" s="27" t="s">
        <v>880</v>
      </c>
      <c r="J187" s="3" t="s">
        <v>950</v>
      </c>
      <c r="K187" s="4">
        <f>COUNTIFS(Relacion_Doc_Criterio!$A:$A,A187,Relacion_Doc_Criterio!$D:$D,"&lt;&gt;")</f>
        <v>1</v>
      </c>
      <c r="L187" s="4" t="e">
        <f>COUNTIFS(Relacion_Doc_Criterio!$A:$A,A187,Relacion_Doc_Criterio!$D:$D,"&lt;&gt;",Relacion_Doc_Criterio!#REF!,"Principal")</f>
        <v>#REF!</v>
      </c>
      <c r="M187" s="10"/>
    </row>
    <row r="188" spans="1:13" ht="79.150000000000006">
      <c r="A188" s="13" t="s">
        <v>1505</v>
      </c>
      <c r="B188" s="22" t="s">
        <v>733</v>
      </c>
      <c r="C188" s="12" t="s">
        <v>734</v>
      </c>
      <c r="D188" s="15" t="s">
        <v>1506</v>
      </c>
      <c r="E188" s="12">
        <v>13</v>
      </c>
      <c r="F188" s="13" t="s">
        <v>1507</v>
      </c>
      <c r="G188" s="2" t="s">
        <v>1508</v>
      </c>
      <c r="H188" s="19" t="s">
        <v>1509</v>
      </c>
      <c r="I188" s="27" t="s">
        <v>880</v>
      </c>
      <c r="J188" s="3" t="s">
        <v>950</v>
      </c>
      <c r="K188" s="4">
        <f>COUNTIFS(Relacion_Doc_Criterio!$A:$A,A188,Relacion_Doc_Criterio!$D:$D,"&lt;&gt;")</f>
        <v>1</v>
      </c>
      <c r="L188" s="4" t="e">
        <f>COUNTIFS(Relacion_Doc_Criterio!$A:$A,A188,Relacion_Doc_Criterio!$D:$D,"&lt;&gt;",Relacion_Doc_Criterio!#REF!,"Principal")</f>
        <v>#REF!</v>
      </c>
      <c r="M188" s="10"/>
    </row>
    <row r="189" spans="1:13" ht="92.45">
      <c r="A189" s="13" t="s">
        <v>1510</v>
      </c>
      <c r="B189" s="22" t="s">
        <v>742</v>
      </c>
      <c r="C189" s="12" t="s">
        <v>734</v>
      </c>
      <c r="D189" s="15" t="s">
        <v>1506</v>
      </c>
      <c r="E189" s="12">
        <v>13</v>
      </c>
      <c r="F189" s="13" t="s">
        <v>1507</v>
      </c>
      <c r="G189" s="2" t="s">
        <v>1511</v>
      </c>
      <c r="H189" s="19" t="s">
        <v>1512</v>
      </c>
      <c r="I189" s="27" t="s">
        <v>880</v>
      </c>
      <c r="J189" s="3" t="s">
        <v>950</v>
      </c>
      <c r="K189" s="4">
        <f>COUNTIFS(Relacion_Doc_Criterio!$A:$A,A189,Relacion_Doc_Criterio!$D:$D,"&lt;&gt;")</f>
        <v>1</v>
      </c>
      <c r="L189" s="4" t="e">
        <f>COUNTIFS(Relacion_Doc_Criterio!$A:$A,A189,Relacion_Doc_Criterio!$D:$D,"&lt;&gt;",Relacion_Doc_Criterio!#REF!,"Principal")</f>
        <v>#REF!</v>
      </c>
      <c r="M189" s="10"/>
    </row>
    <row r="190" spans="1:13" ht="52.9">
      <c r="A190" s="13" t="s">
        <v>1513</v>
      </c>
      <c r="B190" s="22" t="s">
        <v>745</v>
      </c>
      <c r="C190" s="12" t="s">
        <v>734</v>
      </c>
      <c r="D190" s="15" t="s">
        <v>1506</v>
      </c>
      <c r="E190" s="12">
        <v>13</v>
      </c>
      <c r="F190" s="13" t="s">
        <v>1507</v>
      </c>
      <c r="G190" s="2" t="s">
        <v>1514</v>
      </c>
      <c r="H190" s="19" t="s">
        <v>1515</v>
      </c>
      <c r="I190" s="27" t="s">
        <v>880</v>
      </c>
      <c r="J190" s="3" t="s">
        <v>950</v>
      </c>
      <c r="K190" s="4">
        <f>COUNTIFS(Relacion_Doc_Criterio!$A:$A,A190,Relacion_Doc_Criterio!$D:$D,"&lt;&gt;")</f>
        <v>1</v>
      </c>
      <c r="L190" s="4" t="e">
        <f>COUNTIFS(Relacion_Doc_Criterio!$A:$A,A190,Relacion_Doc_Criterio!$D:$D,"&lt;&gt;",Relacion_Doc_Criterio!#REF!,"Principal")</f>
        <v>#REF!</v>
      </c>
      <c r="M190" s="10"/>
    </row>
    <row r="191" spans="1:13" ht="126" customHeight="1">
      <c r="A191" s="13" t="s">
        <v>1516</v>
      </c>
      <c r="B191" s="22" t="s">
        <v>748</v>
      </c>
      <c r="C191" s="12" t="s">
        <v>734</v>
      </c>
      <c r="D191" s="15" t="s">
        <v>1506</v>
      </c>
      <c r="E191" s="12">
        <v>13</v>
      </c>
      <c r="F191" s="13" t="s">
        <v>1507</v>
      </c>
      <c r="G191" s="2" t="s">
        <v>1517</v>
      </c>
      <c r="H191" s="19" t="s">
        <v>1518</v>
      </c>
      <c r="I191" s="27" t="s">
        <v>880</v>
      </c>
      <c r="J191" s="3" t="s">
        <v>950</v>
      </c>
      <c r="K191" s="4">
        <f>COUNTIFS(Relacion_Doc_Criterio!$A:$A,A191,Relacion_Doc_Criterio!$D:$D,"&lt;&gt;")</f>
        <v>1</v>
      </c>
      <c r="L191" s="4" t="e">
        <f>COUNTIFS(Relacion_Doc_Criterio!$A:$A,A191,Relacion_Doc_Criterio!$D:$D,"&lt;&gt;",Relacion_Doc_Criterio!#REF!,"Principal")</f>
        <v>#REF!</v>
      </c>
      <c r="M191" s="10"/>
    </row>
    <row r="192" spans="1:13" ht="92.45">
      <c r="A192" s="13" t="s">
        <v>1519</v>
      </c>
      <c r="B192" s="22" t="s">
        <v>751</v>
      </c>
      <c r="C192" s="12" t="s">
        <v>734</v>
      </c>
      <c r="D192" s="15" t="s">
        <v>1506</v>
      </c>
      <c r="E192" s="12">
        <v>13</v>
      </c>
      <c r="F192" s="13" t="s">
        <v>1507</v>
      </c>
      <c r="G192" s="2" t="s">
        <v>1520</v>
      </c>
      <c r="H192" s="19" t="s">
        <v>1521</v>
      </c>
      <c r="I192" s="27" t="s">
        <v>880</v>
      </c>
      <c r="J192" s="3" t="s">
        <v>950</v>
      </c>
      <c r="K192" s="4">
        <f>COUNTIFS(Relacion_Doc_Criterio!$A:$A,A192,Relacion_Doc_Criterio!$D:$D,"&lt;&gt;")</f>
        <v>1</v>
      </c>
      <c r="L192" s="4" t="e">
        <f>COUNTIFS(Relacion_Doc_Criterio!$A:$A,A192,Relacion_Doc_Criterio!$D:$D,"&lt;&gt;",Relacion_Doc_Criterio!#REF!,"Principal")</f>
        <v>#REF!</v>
      </c>
      <c r="M192" s="10"/>
    </row>
    <row r="193" spans="1:13" ht="66">
      <c r="A193" s="13" t="s">
        <v>1522</v>
      </c>
      <c r="B193" s="22" t="s">
        <v>754</v>
      </c>
      <c r="C193" s="12" t="s">
        <v>734</v>
      </c>
      <c r="D193" s="15" t="s">
        <v>1506</v>
      </c>
      <c r="E193" s="12">
        <v>13</v>
      </c>
      <c r="F193" s="13" t="s">
        <v>1523</v>
      </c>
      <c r="G193" s="2" t="s">
        <v>1524</v>
      </c>
      <c r="H193" s="19" t="s">
        <v>1525</v>
      </c>
      <c r="I193" s="27" t="s">
        <v>880</v>
      </c>
      <c r="J193" s="3" t="s">
        <v>950</v>
      </c>
      <c r="K193" s="4">
        <f>COUNTIFS(Relacion_Doc_Criterio!$A:$A,A193,Relacion_Doc_Criterio!$D:$D,"&lt;&gt;")</f>
        <v>1</v>
      </c>
      <c r="L193" s="4" t="e">
        <f>COUNTIFS(Relacion_Doc_Criterio!$A:$A,A193,Relacion_Doc_Criterio!$D:$D,"&lt;&gt;",Relacion_Doc_Criterio!#REF!,"Principal")</f>
        <v>#REF!</v>
      </c>
      <c r="M193" s="10"/>
    </row>
    <row r="194" spans="1:13" ht="76.150000000000006" customHeight="1">
      <c r="A194" s="13" t="s">
        <v>1526</v>
      </c>
      <c r="B194" s="22" t="s">
        <v>759</v>
      </c>
      <c r="C194" s="12" t="s">
        <v>734</v>
      </c>
      <c r="D194" s="15" t="s">
        <v>1506</v>
      </c>
      <c r="E194" s="12">
        <v>13</v>
      </c>
      <c r="F194" s="13" t="s">
        <v>1523</v>
      </c>
      <c r="G194" s="2" t="s">
        <v>1527</v>
      </c>
      <c r="H194" s="19" t="s">
        <v>1528</v>
      </c>
      <c r="I194" s="27" t="s">
        <v>880</v>
      </c>
      <c r="J194" s="3" t="s">
        <v>950</v>
      </c>
      <c r="K194" s="4">
        <f>COUNTIFS(Relacion_Doc_Criterio!$A:$A,A194,Relacion_Doc_Criterio!$D:$D,"&lt;&gt;")</f>
        <v>1</v>
      </c>
      <c r="L194" s="4" t="e">
        <f>COUNTIFS(Relacion_Doc_Criterio!$A:$A,A194,Relacion_Doc_Criterio!$D:$D,"&lt;&gt;",Relacion_Doc_Criterio!#REF!,"Principal")</f>
        <v>#REF!</v>
      </c>
      <c r="M194" s="10"/>
    </row>
    <row r="195" spans="1:13" ht="82.9" customHeight="1">
      <c r="A195" s="13" t="s">
        <v>1529</v>
      </c>
      <c r="B195" s="22" t="s">
        <v>762</v>
      </c>
      <c r="C195" s="12" t="s">
        <v>734</v>
      </c>
      <c r="D195" s="15" t="s">
        <v>1506</v>
      </c>
      <c r="E195" s="12">
        <v>13</v>
      </c>
      <c r="F195" s="13" t="s">
        <v>1523</v>
      </c>
      <c r="G195" s="2" t="s">
        <v>1530</v>
      </c>
      <c r="H195" s="19" t="s">
        <v>1531</v>
      </c>
      <c r="I195" s="27" t="s">
        <v>880</v>
      </c>
      <c r="J195" s="3" t="s">
        <v>950</v>
      </c>
      <c r="K195" s="4">
        <f>COUNTIFS(Relacion_Doc_Criterio!$A:$A,A195,Relacion_Doc_Criterio!$D:$D,"&lt;&gt;")</f>
        <v>1</v>
      </c>
      <c r="L195" s="4" t="e">
        <f>COUNTIFS(Relacion_Doc_Criterio!$A:$A,A195,Relacion_Doc_Criterio!$D:$D,"&lt;&gt;",Relacion_Doc_Criterio!#REF!,"Principal")</f>
        <v>#REF!</v>
      </c>
      <c r="M195" s="10"/>
    </row>
    <row r="196" spans="1:13" ht="56.45" customHeight="1">
      <c r="A196" s="13" t="s">
        <v>1532</v>
      </c>
      <c r="B196" s="22" t="s">
        <v>765</v>
      </c>
      <c r="C196" s="12" t="s">
        <v>734</v>
      </c>
      <c r="D196" s="15" t="s">
        <v>1506</v>
      </c>
      <c r="E196" s="12">
        <v>13</v>
      </c>
      <c r="F196" s="13" t="s">
        <v>1533</v>
      </c>
      <c r="G196" s="2" t="s">
        <v>1534</v>
      </c>
      <c r="H196" s="19" t="s">
        <v>1535</v>
      </c>
      <c r="I196" s="27" t="s">
        <v>880</v>
      </c>
      <c r="J196" s="3" t="s">
        <v>950</v>
      </c>
      <c r="K196" s="4">
        <f>COUNTIFS(Relacion_Doc_Criterio!$A:$A,A196,Relacion_Doc_Criterio!$D:$D,"&lt;&gt;")</f>
        <v>1</v>
      </c>
      <c r="L196" s="4" t="e">
        <f>COUNTIFS(Relacion_Doc_Criterio!$A:$A,A196,Relacion_Doc_Criterio!$D:$D,"&lt;&gt;",Relacion_Doc_Criterio!#REF!,"Principal")</f>
        <v>#REF!</v>
      </c>
      <c r="M196" s="10"/>
    </row>
    <row r="197" spans="1:13" ht="79.150000000000006">
      <c r="A197" s="13" t="s">
        <v>1536</v>
      </c>
      <c r="B197" s="22" t="s">
        <v>770</v>
      </c>
      <c r="C197" s="12" t="s">
        <v>734</v>
      </c>
      <c r="D197" s="15" t="s">
        <v>1506</v>
      </c>
      <c r="E197" s="12">
        <v>13</v>
      </c>
      <c r="F197" s="13" t="s">
        <v>1533</v>
      </c>
      <c r="G197" s="2" t="s">
        <v>1537</v>
      </c>
      <c r="H197" s="19" t="s">
        <v>1538</v>
      </c>
      <c r="I197" s="27" t="s">
        <v>880</v>
      </c>
      <c r="J197" s="3" t="s">
        <v>950</v>
      </c>
      <c r="K197" s="4">
        <f>COUNTIFS(Relacion_Doc_Criterio!$A:$A,A197,Relacion_Doc_Criterio!$D:$D,"&lt;&gt;")</f>
        <v>1</v>
      </c>
      <c r="L197" s="4" t="e">
        <f>COUNTIFS(Relacion_Doc_Criterio!$A:$A,A197,Relacion_Doc_Criterio!$D:$D,"&lt;&gt;",Relacion_Doc_Criterio!#REF!,"Principal")</f>
        <v>#REF!</v>
      </c>
      <c r="M197" s="10"/>
    </row>
    <row r="198" spans="1:13" ht="79.150000000000006">
      <c r="A198" s="13" t="s">
        <v>1539</v>
      </c>
      <c r="B198" s="22" t="s">
        <v>773</v>
      </c>
      <c r="C198" s="12" t="s">
        <v>734</v>
      </c>
      <c r="D198" s="15" t="s">
        <v>1506</v>
      </c>
      <c r="E198" s="12">
        <v>13</v>
      </c>
      <c r="F198" s="13" t="s">
        <v>1533</v>
      </c>
      <c r="G198" s="2" t="s">
        <v>1540</v>
      </c>
      <c r="H198" s="19" t="s">
        <v>1541</v>
      </c>
      <c r="I198" s="27" t="s">
        <v>880</v>
      </c>
      <c r="J198" s="3" t="s">
        <v>950</v>
      </c>
      <c r="K198" s="4">
        <f>COUNTIFS(Relacion_Doc_Criterio!$A:$A,A198,Relacion_Doc_Criterio!$D:$D,"&lt;&gt;")</f>
        <v>1</v>
      </c>
      <c r="L198" s="4" t="e">
        <f>COUNTIFS(Relacion_Doc_Criterio!$A:$A,A198,Relacion_Doc_Criterio!$D:$D,"&lt;&gt;",Relacion_Doc_Criterio!#REF!,"Principal")</f>
        <v>#REF!</v>
      </c>
      <c r="M198" s="10"/>
    </row>
    <row r="199" spans="1:13" ht="69.599999999999994" customHeight="1">
      <c r="A199" s="13" t="s">
        <v>1542</v>
      </c>
      <c r="B199" s="22" t="s">
        <v>776</v>
      </c>
      <c r="C199" s="12" t="s">
        <v>734</v>
      </c>
      <c r="D199" s="15" t="s">
        <v>1506</v>
      </c>
      <c r="E199" s="12">
        <v>13</v>
      </c>
      <c r="F199" s="13" t="s">
        <v>1533</v>
      </c>
      <c r="G199" s="2" t="s">
        <v>1543</v>
      </c>
      <c r="H199" s="19" t="s">
        <v>1544</v>
      </c>
      <c r="I199" s="27" t="s">
        <v>880</v>
      </c>
      <c r="J199" s="3" t="s">
        <v>950</v>
      </c>
      <c r="K199" s="4">
        <f>COUNTIFS(Relacion_Doc_Criterio!$A:$A,A199,Relacion_Doc_Criterio!$D:$D,"&lt;&gt;")</f>
        <v>1</v>
      </c>
      <c r="L199" s="4" t="e">
        <f>COUNTIFS(Relacion_Doc_Criterio!$A:$A,A199,Relacion_Doc_Criterio!$D:$D,"&lt;&gt;",Relacion_Doc_Criterio!#REF!,"Principal")</f>
        <v>#REF!</v>
      </c>
      <c r="M199" s="10"/>
    </row>
    <row r="200" spans="1:13" ht="79.150000000000006">
      <c r="A200" s="13" t="s">
        <v>1545</v>
      </c>
      <c r="B200" s="22" t="s">
        <v>779</v>
      </c>
      <c r="C200" s="12" t="s">
        <v>734</v>
      </c>
      <c r="D200" s="15" t="s">
        <v>1506</v>
      </c>
      <c r="E200" s="12">
        <v>13</v>
      </c>
      <c r="F200" s="13" t="s">
        <v>1533</v>
      </c>
      <c r="G200" s="2" t="s">
        <v>1546</v>
      </c>
      <c r="H200" s="19" t="s">
        <v>1547</v>
      </c>
      <c r="I200" s="27" t="s">
        <v>880</v>
      </c>
      <c r="J200" s="3" t="s">
        <v>950</v>
      </c>
      <c r="K200" s="4">
        <f>COUNTIFS(Relacion_Doc_Criterio!$A:$A,A200,Relacion_Doc_Criterio!$D:$D,"&lt;&gt;")</f>
        <v>1</v>
      </c>
      <c r="L200" s="4" t="e">
        <f>COUNTIFS(Relacion_Doc_Criterio!$A:$A,A200,Relacion_Doc_Criterio!$D:$D,"&lt;&gt;",Relacion_Doc_Criterio!#REF!,"Principal")</f>
        <v>#REF!</v>
      </c>
      <c r="M200" s="10"/>
    </row>
    <row r="201" spans="1:13" ht="105.6">
      <c r="A201" s="13" t="s">
        <v>1548</v>
      </c>
      <c r="B201" s="22" t="s">
        <v>782</v>
      </c>
      <c r="C201" s="12" t="s">
        <v>734</v>
      </c>
      <c r="D201" s="15" t="s">
        <v>1506</v>
      </c>
      <c r="E201" s="12">
        <v>13</v>
      </c>
      <c r="F201" s="13" t="s">
        <v>1533</v>
      </c>
      <c r="G201" s="2" t="s">
        <v>1549</v>
      </c>
      <c r="H201" s="19" t="s">
        <v>1550</v>
      </c>
      <c r="I201" s="27" t="s">
        <v>880</v>
      </c>
      <c r="J201" s="3" t="s">
        <v>950</v>
      </c>
      <c r="K201" s="4">
        <f>COUNTIFS(Relacion_Doc_Criterio!$A:$A,A201,Relacion_Doc_Criterio!$D:$D,"&lt;&gt;")</f>
        <v>1</v>
      </c>
      <c r="L201" s="4" t="e">
        <f>COUNTIFS(Relacion_Doc_Criterio!$A:$A,A201,Relacion_Doc_Criterio!$D:$D,"&lt;&gt;",Relacion_Doc_Criterio!#REF!,"Principal")</f>
        <v>#REF!</v>
      </c>
      <c r="M201" s="10"/>
    </row>
    <row r="202" spans="1:13" ht="66">
      <c r="A202" s="13" t="s">
        <v>1551</v>
      </c>
      <c r="B202" s="22" t="s">
        <v>785</v>
      </c>
      <c r="C202" s="12" t="s">
        <v>734</v>
      </c>
      <c r="D202" s="15" t="s">
        <v>1506</v>
      </c>
      <c r="E202" s="12">
        <v>13</v>
      </c>
      <c r="F202" s="13" t="s">
        <v>1552</v>
      </c>
      <c r="G202" s="2" t="s">
        <v>1553</v>
      </c>
      <c r="H202" s="19" t="s">
        <v>1554</v>
      </c>
      <c r="I202" s="27" t="s">
        <v>880</v>
      </c>
      <c r="J202" s="3" t="s">
        <v>950</v>
      </c>
      <c r="K202" s="4">
        <f>COUNTIFS(Relacion_Doc_Criterio!$A:$A,A202,Relacion_Doc_Criterio!$D:$D,"&lt;&gt;")</f>
        <v>1</v>
      </c>
      <c r="L202" s="4" t="e">
        <f>COUNTIFS(Relacion_Doc_Criterio!$A:$A,A202,Relacion_Doc_Criterio!$D:$D,"&lt;&gt;",Relacion_Doc_Criterio!#REF!,"Principal")</f>
        <v>#REF!</v>
      </c>
      <c r="M202" s="10"/>
    </row>
    <row r="203" spans="1:13" ht="52.9">
      <c r="A203" s="13" t="s">
        <v>1555</v>
      </c>
      <c r="B203" s="22" t="s">
        <v>790</v>
      </c>
      <c r="C203" s="12" t="s">
        <v>734</v>
      </c>
      <c r="D203" s="15" t="s">
        <v>1506</v>
      </c>
      <c r="E203" s="12">
        <v>13</v>
      </c>
      <c r="F203" s="13" t="s">
        <v>1552</v>
      </c>
      <c r="G203" s="2" t="s">
        <v>1556</v>
      </c>
      <c r="H203" s="19" t="s">
        <v>1557</v>
      </c>
      <c r="I203" s="27" t="s">
        <v>880</v>
      </c>
      <c r="J203" s="3" t="s">
        <v>950</v>
      </c>
      <c r="K203" s="4">
        <f>COUNTIFS(Relacion_Doc_Criterio!$A:$A,A203,Relacion_Doc_Criterio!$D:$D,"&lt;&gt;")</f>
        <v>1</v>
      </c>
      <c r="L203" s="4" t="e">
        <f>COUNTIFS(Relacion_Doc_Criterio!$A:$A,A203,Relacion_Doc_Criterio!$D:$D,"&lt;&gt;",Relacion_Doc_Criterio!#REF!,"Principal")</f>
        <v>#REF!</v>
      </c>
      <c r="M203" s="10"/>
    </row>
    <row r="204" spans="1:13" ht="54" customHeight="1">
      <c r="A204" s="13" t="s">
        <v>1558</v>
      </c>
      <c r="B204" s="22" t="s">
        <v>793</v>
      </c>
      <c r="C204" s="12" t="s">
        <v>734</v>
      </c>
      <c r="D204" s="15" t="s">
        <v>1506</v>
      </c>
      <c r="E204" s="12">
        <v>14</v>
      </c>
      <c r="F204" s="13" t="s">
        <v>1559</v>
      </c>
      <c r="G204" s="2" t="s">
        <v>1560</v>
      </c>
      <c r="H204" s="19" t="s">
        <v>1561</v>
      </c>
      <c r="I204" s="27" t="s">
        <v>880</v>
      </c>
      <c r="J204" s="3" t="s">
        <v>950</v>
      </c>
      <c r="K204" s="4">
        <f>COUNTIFS(Relacion_Doc_Criterio!$A:$A,A204,Relacion_Doc_Criterio!$D:$D,"&lt;&gt;")</f>
        <v>1</v>
      </c>
      <c r="L204" s="4" t="e">
        <f>COUNTIFS(Relacion_Doc_Criterio!$A:$A,A204,Relacion_Doc_Criterio!$D:$D,"&lt;&gt;",Relacion_Doc_Criterio!#REF!,"Principal")</f>
        <v>#REF!</v>
      </c>
      <c r="M204" s="10"/>
    </row>
    <row r="205" spans="1:13" ht="60.6" customHeight="1">
      <c r="A205" s="13" t="s">
        <v>1562</v>
      </c>
      <c r="B205" s="22" t="s">
        <v>800</v>
      </c>
      <c r="C205" s="12" t="s">
        <v>734</v>
      </c>
      <c r="D205" s="15" t="s">
        <v>1506</v>
      </c>
      <c r="E205" s="12">
        <v>14</v>
      </c>
      <c r="F205" s="13" t="s">
        <v>1559</v>
      </c>
      <c r="G205" s="2" t="s">
        <v>1563</v>
      </c>
      <c r="H205" s="19" t="s">
        <v>1564</v>
      </c>
      <c r="I205" s="27" t="s">
        <v>880</v>
      </c>
      <c r="J205" s="3" t="s">
        <v>950</v>
      </c>
      <c r="K205" s="4">
        <f>COUNTIFS(Relacion_Doc_Criterio!$A:$A,A205,Relacion_Doc_Criterio!$D:$D,"&lt;&gt;")</f>
        <v>1</v>
      </c>
      <c r="L205" s="4" t="e">
        <f>COUNTIFS(Relacion_Doc_Criterio!$A:$A,A205,Relacion_Doc_Criterio!$D:$D,"&lt;&gt;",Relacion_Doc_Criterio!#REF!,"Principal")</f>
        <v>#REF!</v>
      </c>
      <c r="M205" s="10"/>
    </row>
    <row r="206" spans="1:13" ht="52.9">
      <c r="A206" s="13" t="s">
        <v>1565</v>
      </c>
      <c r="B206" s="22" t="s">
        <v>803</v>
      </c>
      <c r="C206" s="12" t="s">
        <v>734</v>
      </c>
      <c r="D206" s="15" t="s">
        <v>1506</v>
      </c>
      <c r="E206" s="12">
        <v>14</v>
      </c>
      <c r="F206" s="13" t="s">
        <v>1566</v>
      </c>
      <c r="G206" s="2" t="s">
        <v>1567</v>
      </c>
      <c r="H206" s="19" t="s">
        <v>1568</v>
      </c>
      <c r="I206" s="27" t="s">
        <v>880</v>
      </c>
      <c r="J206" s="3" t="s">
        <v>950</v>
      </c>
      <c r="K206" s="4">
        <f>COUNTIFS(Relacion_Doc_Criterio!$A:$A,A206,Relacion_Doc_Criterio!$D:$D,"&lt;&gt;")</f>
        <v>1</v>
      </c>
      <c r="L206" s="4" t="e">
        <f>COUNTIFS(Relacion_Doc_Criterio!$A:$A,A206,Relacion_Doc_Criterio!$D:$D,"&lt;&gt;",Relacion_Doc_Criterio!#REF!,"Principal")</f>
        <v>#REF!</v>
      </c>
      <c r="M206" s="10"/>
    </row>
    <row r="207" spans="1:13" ht="58.15" customHeight="1">
      <c r="A207" s="13" t="s">
        <v>1569</v>
      </c>
      <c r="B207" s="22" t="s">
        <v>808</v>
      </c>
      <c r="C207" s="12" t="s">
        <v>734</v>
      </c>
      <c r="D207" s="15" t="s">
        <v>1506</v>
      </c>
      <c r="E207" s="12">
        <v>14</v>
      </c>
      <c r="F207" s="13" t="s">
        <v>1566</v>
      </c>
      <c r="G207" s="2" t="s">
        <v>1570</v>
      </c>
      <c r="H207" s="19" t="s">
        <v>1571</v>
      </c>
      <c r="I207" s="27" t="s">
        <v>880</v>
      </c>
      <c r="J207" s="3" t="s">
        <v>950</v>
      </c>
      <c r="K207" s="4">
        <f>COUNTIFS(Relacion_Doc_Criterio!$A:$A,A207,Relacion_Doc_Criterio!$D:$D,"&lt;&gt;")</f>
        <v>1</v>
      </c>
      <c r="L207" s="4" t="e">
        <f>COUNTIFS(Relacion_Doc_Criterio!$A:$A,A207,Relacion_Doc_Criterio!$D:$D,"&lt;&gt;",Relacion_Doc_Criterio!#REF!,"Principal")</f>
        <v>#REF!</v>
      </c>
      <c r="M207" s="10"/>
    </row>
    <row r="208" spans="1:13" ht="72" customHeight="1">
      <c r="A208" s="13" t="s">
        <v>1572</v>
      </c>
      <c r="B208" s="22" t="s">
        <v>811</v>
      </c>
      <c r="C208" s="12" t="s">
        <v>734</v>
      </c>
      <c r="D208" s="15" t="s">
        <v>1506</v>
      </c>
      <c r="E208" s="12">
        <v>14</v>
      </c>
      <c r="F208" s="13" t="s">
        <v>1573</v>
      </c>
      <c r="G208" s="2" t="s">
        <v>1574</v>
      </c>
      <c r="H208" s="19" t="s">
        <v>1575</v>
      </c>
      <c r="I208" s="27" t="s">
        <v>880</v>
      </c>
      <c r="J208" s="3" t="s">
        <v>950</v>
      </c>
      <c r="K208" s="4">
        <f>COUNTIFS(Relacion_Doc_Criterio!$A:$A,A208,Relacion_Doc_Criterio!$D:$D,"&lt;&gt;")</f>
        <v>1</v>
      </c>
      <c r="L208" s="4" t="e">
        <f>COUNTIFS(Relacion_Doc_Criterio!$A:$A,A208,Relacion_Doc_Criterio!$D:$D,"&lt;&gt;",Relacion_Doc_Criterio!#REF!,"Principal")</f>
        <v>#REF!</v>
      </c>
      <c r="M208" s="10"/>
    </row>
    <row r="209" spans="1:13" ht="52.9">
      <c r="A209" s="13" t="s">
        <v>1576</v>
      </c>
      <c r="B209" s="22" t="s">
        <v>816</v>
      </c>
      <c r="C209" s="12" t="s">
        <v>734</v>
      </c>
      <c r="D209" s="15" t="s">
        <v>1506</v>
      </c>
      <c r="E209" s="12">
        <v>14</v>
      </c>
      <c r="F209" s="13" t="s">
        <v>1573</v>
      </c>
      <c r="G209" s="2" t="s">
        <v>1577</v>
      </c>
      <c r="H209" s="19" t="s">
        <v>1578</v>
      </c>
      <c r="I209" s="27" t="s">
        <v>880</v>
      </c>
      <c r="J209" s="3" t="s">
        <v>950</v>
      </c>
      <c r="K209" s="4">
        <f>COUNTIFS(Relacion_Doc_Criterio!$A:$A,A209,Relacion_Doc_Criterio!$D:$D,"&lt;&gt;")</f>
        <v>1</v>
      </c>
      <c r="L209" s="4" t="e">
        <f>COUNTIFS(Relacion_Doc_Criterio!$A:$A,A209,Relacion_Doc_Criterio!$D:$D,"&lt;&gt;",Relacion_Doc_Criterio!#REF!,"Principal")</f>
        <v>#REF!</v>
      </c>
      <c r="M209" s="10"/>
    </row>
    <row r="210" spans="1:13" ht="58.15" customHeight="1">
      <c r="A210" s="13" t="s">
        <v>1579</v>
      </c>
      <c r="B210" s="22" t="s">
        <v>819</v>
      </c>
      <c r="C210" s="12" t="s">
        <v>734</v>
      </c>
      <c r="D210" s="15" t="s">
        <v>1506</v>
      </c>
      <c r="E210" s="12">
        <v>14</v>
      </c>
      <c r="F210" s="13" t="s">
        <v>1573</v>
      </c>
      <c r="G210" s="2" t="s">
        <v>1580</v>
      </c>
      <c r="H210" s="19" t="s">
        <v>1581</v>
      </c>
      <c r="I210" s="27" t="s">
        <v>880</v>
      </c>
      <c r="J210" s="3" t="s">
        <v>950</v>
      </c>
      <c r="K210" s="4">
        <f>COUNTIFS(Relacion_Doc_Criterio!$A:$A,A210,Relacion_Doc_Criterio!$D:$D,"&lt;&gt;")</f>
        <v>1</v>
      </c>
      <c r="L210" s="4" t="e">
        <f>COUNTIFS(Relacion_Doc_Criterio!$A:$A,A210,Relacion_Doc_Criterio!$D:$D,"&lt;&gt;",Relacion_Doc_Criterio!#REF!,"Principal")</f>
        <v>#REF!</v>
      </c>
      <c r="M210" s="10"/>
    </row>
    <row r="211" spans="1:13" ht="61.9" customHeight="1">
      <c r="A211" s="13" t="s">
        <v>1582</v>
      </c>
      <c r="B211" s="22" t="s">
        <v>822</v>
      </c>
      <c r="C211" s="12" t="s">
        <v>734</v>
      </c>
      <c r="D211" s="15" t="s">
        <v>1506</v>
      </c>
      <c r="E211" s="12">
        <v>14</v>
      </c>
      <c r="F211" s="13" t="s">
        <v>1583</v>
      </c>
      <c r="G211" s="2" t="s">
        <v>1584</v>
      </c>
      <c r="H211" s="19" t="s">
        <v>1585</v>
      </c>
      <c r="I211" s="27" t="s">
        <v>880</v>
      </c>
      <c r="J211" s="3" t="s">
        <v>950</v>
      </c>
      <c r="K211" s="4">
        <f>COUNTIFS(Relacion_Doc_Criterio!$A:$A,A211,Relacion_Doc_Criterio!$D:$D,"&lt;&gt;")</f>
        <v>1</v>
      </c>
      <c r="L211" s="4" t="e">
        <f>COUNTIFS(Relacion_Doc_Criterio!$A:$A,A211,Relacion_Doc_Criterio!$D:$D,"&lt;&gt;",Relacion_Doc_Criterio!#REF!,"Principal")</f>
        <v>#REF!</v>
      </c>
      <c r="M211" s="10"/>
    </row>
    <row r="212" spans="1:13" ht="58.15" customHeight="1">
      <c r="A212" s="13" t="s">
        <v>1586</v>
      </c>
      <c r="B212" s="22" t="s">
        <v>827</v>
      </c>
      <c r="C212" s="12" t="s">
        <v>734</v>
      </c>
      <c r="D212" s="15" t="s">
        <v>1506</v>
      </c>
      <c r="E212" s="12">
        <v>14</v>
      </c>
      <c r="F212" s="13" t="s">
        <v>1587</v>
      </c>
      <c r="G212" s="2" t="s">
        <v>1588</v>
      </c>
      <c r="H212" s="19" t="s">
        <v>1589</v>
      </c>
      <c r="I212" s="27" t="s">
        <v>880</v>
      </c>
      <c r="J212" s="3" t="s">
        <v>950</v>
      </c>
      <c r="K212" s="4">
        <f>COUNTIFS(Relacion_Doc_Criterio!$A:$A,A212,Relacion_Doc_Criterio!$D:$D,"&lt;&gt;")</f>
        <v>1</v>
      </c>
      <c r="L212" s="4" t="e">
        <f>COUNTIFS(Relacion_Doc_Criterio!$A:$A,A212,Relacion_Doc_Criterio!$D:$D,"&lt;&gt;",Relacion_Doc_Criterio!#REF!,"Principal")</f>
        <v>#REF!</v>
      </c>
      <c r="M212" s="10"/>
    </row>
    <row r="213" spans="1:13" ht="58.9" customHeight="1">
      <c r="A213" s="13" t="s">
        <v>1590</v>
      </c>
      <c r="B213" s="22" t="s">
        <v>832</v>
      </c>
      <c r="C213" s="12" t="s">
        <v>734</v>
      </c>
      <c r="D213" s="15" t="s">
        <v>1506</v>
      </c>
      <c r="E213" s="12">
        <v>14</v>
      </c>
      <c r="F213" s="13" t="s">
        <v>1587</v>
      </c>
      <c r="G213" s="2" t="s">
        <v>1591</v>
      </c>
      <c r="H213" s="19" t="s">
        <v>1592</v>
      </c>
      <c r="I213" s="27" t="s">
        <v>880</v>
      </c>
      <c r="J213" s="3" t="s">
        <v>950</v>
      </c>
      <c r="K213" s="4">
        <f>COUNTIFS(Relacion_Doc_Criterio!$A:$A,A213,Relacion_Doc_Criterio!$D:$D,"&lt;&gt;")</f>
        <v>1</v>
      </c>
      <c r="L213" s="4" t="e">
        <f>COUNTIFS(Relacion_Doc_Criterio!$A:$A,A213,Relacion_Doc_Criterio!$D:$D,"&lt;&gt;",Relacion_Doc_Criterio!#REF!,"Principal")</f>
        <v>#REF!</v>
      </c>
      <c r="M213" s="10"/>
    </row>
    <row r="214" spans="1:13" ht="48.6" customHeight="1">
      <c r="A214" s="13" t="s">
        <v>1593</v>
      </c>
      <c r="B214" s="22" t="s">
        <v>835</v>
      </c>
      <c r="C214" s="12" t="s">
        <v>734</v>
      </c>
      <c r="D214" s="15" t="s">
        <v>1506</v>
      </c>
      <c r="E214" s="12">
        <v>14</v>
      </c>
      <c r="F214" s="13" t="s">
        <v>1587</v>
      </c>
      <c r="G214" s="2" t="s">
        <v>1594</v>
      </c>
      <c r="H214" s="19" t="s">
        <v>1595</v>
      </c>
      <c r="I214" s="27" t="s">
        <v>880</v>
      </c>
      <c r="J214" s="3" t="s">
        <v>950</v>
      </c>
      <c r="K214" s="4">
        <f>COUNTIFS(Relacion_Doc_Criterio!$A:$A,A214,Relacion_Doc_Criterio!$D:$D,"&lt;&gt;")</f>
        <v>1</v>
      </c>
      <c r="L214" s="4" t="e">
        <f>COUNTIFS(Relacion_Doc_Criterio!$A:$A,A214,Relacion_Doc_Criterio!$D:$D,"&lt;&gt;",Relacion_Doc_Criterio!#REF!,"Principal")</f>
        <v>#REF!</v>
      </c>
      <c r="M214" s="10"/>
    </row>
    <row r="215" spans="1:13" ht="184.15" customHeight="1">
      <c r="A215" s="13" t="s">
        <v>1596</v>
      </c>
      <c r="B215" s="22" t="s">
        <v>838</v>
      </c>
      <c r="C215" s="12" t="s">
        <v>839</v>
      </c>
      <c r="D215" s="15" t="s">
        <v>1597</v>
      </c>
      <c r="E215" s="12">
        <v>15</v>
      </c>
      <c r="F215" s="13" t="s">
        <v>1598</v>
      </c>
      <c r="G215" s="2" t="s">
        <v>1599</v>
      </c>
      <c r="H215" s="19" t="s">
        <v>1600</v>
      </c>
      <c r="I215" s="14" t="s">
        <v>1601</v>
      </c>
      <c r="J215" s="3" t="s">
        <v>950</v>
      </c>
      <c r="K215" s="4">
        <f>COUNTIFS(Relacion_Doc_Criterio!$A:$A,A215,Relacion_Doc_Criterio!$D:$D,"&lt;&gt;")</f>
        <v>1</v>
      </c>
      <c r="L215" s="4" t="e">
        <f>COUNTIFS(Relacion_Doc_Criterio!$A:$A,A215,Relacion_Doc_Criterio!$D:$D,"&lt;&gt;",Relacion_Doc_Criterio!#REF!,"Principal")</f>
        <v>#REF!</v>
      </c>
    </row>
    <row r="216" spans="1:13" ht="99" customHeight="1">
      <c r="A216" s="13" t="s">
        <v>1602</v>
      </c>
      <c r="B216" s="22" t="s">
        <v>847</v>
      </c>
      <c r="C216" s="12" t="s">
        <v>839</v>
      </c>
      <c r="D216" s="15" t="s">
        <v>1597</v>
      </c>
      <c r="E216" s="12">
        <v>15</v>
      </c>
      <c r="F216" s="13" t="s">
        <v>1598</v>
      </c>
      <c r="G216" s="2" t="s">
        <v>1603</v>
      </c>
      <c r="H216" s="19" t="s">
        <v>1604</v>
      </c>
      <c r="I216" s="27" t="s">
        <v>880</v>
      </c>
      <c r="J216" s="3" t="s">
        <v>950</v>
      </c>
      <c r="K216" s="4">
        <f>COUNTIFS(Relacion_Doc_Criterio!$A:$A,A216,Relacion_Doc_Criterio!$D:$D,"&lt;&gt;")</f>
        <v>1</v>
      </c>
      <c r="L216" s="4" t="e">
        <f>COUNTIFS(Relacion_Doc_Criterio!$A:$A,A216,Relacion_Doc_Criterio!$D:$D,"&lt;&gt;",Relacion_Doc_Criterio!#REF!,"Principal")</f>
        <v>#REF!</v>
      </c>
      <c r="M216" s="10"/>
    </row>
    <row r="217" spans="1:13" ht="88.15" customHeight="1">
      <c r="A217" s="13" t="s">
        <v>1605</v>
      </c>
      <c r="B217" s="22" t="s">
        <v>850</v>
      </c>
      <c r="C217" s="12" t="s">
        <v>839</v>
      </c>
      <c r="D217" s="15" t="s">
        <v>1597</v>
      </c>
      <c r="E217" s="12">
        <v>15</v>
      </c>
      <c r="F217" s="13" t="s">
        <v>1606</v>
      </c>
      <c r="G217" s="2" t="s">
        <v>1607</v>
      </c>
      <c r="H217" s="19" t="s">
        <v>1608</v>
      </c>
      <c r="I217" s="27" t="s">
        <v>880</v>
      </c>
      <c r="J217" s="3" t="s">
        <v>950</v>
      </c>
      <c r="K217" s="4">
        <f>COUNTIFS(Relacion_Doc_Criterio!$A:$A,A217,Relacion_Doc_Criterio!$D:$D,"&lt;&gt;")</f>
        <v>1</v>
      </c>
      <c r="L217" s="4" t="e">
        <f>COUNTIFS(Relacion_Doc_Criterio!$A:$A,A217,Relacion_Doc_Criterio!$D:$D,"&lt;&gt;",Relacion_Doc_Criterio!#REF!,"Principal")</f>
        <v>#REF!</v>
      </c>
      <c r="M217" s="10"/>
    </row>
    <row r="218" spans="1:13" ht="45.6" customHeight="1">
      <c r="A218" s="13" t="s">
        <v>1609</v>
      </c>
      <c r="B218" s="22" t="s">
        <v>855</v>
      </c>
      <c r="C218" s="12" t="s">
        <v>839</v>
      </c>
      <c r="D218" s="15" t="s">
        <v>1597</v>
      </c>
      <c r="E218" s="12">
        <v>15</v>
      </c>
      <c r="F218" s="13" t="s">
        <v>1606</v>
      </c>
      <c r="G218" s="2" t="s">
        <v>1610</v>
      </c>
      <c r="H218" s="19" t="s">
        <v>1611</v>
      </c>
      <c r="I218" s="27" t="s">
        <v>880</v>
      </c>
      <c r="J218" s="3" t="s">
        <v>950</v>
      </c>
      <c r="K218" s="4">
        <f>COUNTIFS(Relacion_Doc_Criterio!$A:$A,A218,Relacion_Doc_Criterio!$D:$D,"&lt;&gt;")</f>
        <v>1</v>
      </c>
      <c r="L218" s="4" t="e">
        <f>COUNTIFS(Relacion_Doc_Criterio!$A:$A,A218,Relacion_Doc_Criterio!$D:$D,"&lt;&gt;",Relacion_Doc_Criterio!#REF!,"Principal")</f>
        <v>#REF!</v>
      </c>
      <c r="M218" s="10"/>
    </row>
    <row r="219" spans="1:13" ht="43.15" customHeight="1">
      <c r="A219" s="13" t="s">
        <v>1612</v>
      </c>
      <c r="B219" s="22" t="s">
        <v>858</v>
      </c>
      <c r="C219" s="12" t="s">
        <v>839</v>
      </c>
      <c r="D219" s="15" t="s">
        <v>1597</v>
      </c>
      <c r="E219" s="12">
        <v>15</v>
      </c>
      <c r="F219" s="13" t="s">
        <v>1613</v>
      </c>
      <c r="G219" s="2" t="s">
        <v>1614</v>
      </c>
      <c r="H219" s="19" t="s">
        <v>1615</v>
      </c>
      <c r="I219" s="27" t="s">
        <v>880</v>
      </c>
      <c r="J219" s="3" t="s">
        <v>950</v>
      </c>
      <c r="K219" s="4">
        <f>COUNTIFS(Relacion_Doc_Criterio!$A:$A,A219,Relacion_Doc_Criterio!$D:$D,"&lt;&gt;")</f>
        <v>1</v>
      </c>
      <c r="L219" s="4" t="e">
        <f>COUNTIFS(Relacion_Doc_Criterio!$A:$A,A219,Relacion_Doc_Criterio!$D:$D,"&lt;&gt;",Relacion_Doc_Criterio!#REF!,"Principal")</f>
        <v>#REF!</v>
      </c>
      <c r="M219" s="10"/>
    </row>
    <row r="220" spans="1:13" ht="59.45" customHeight="1">
      <c r="A220" s="13" t="s">
        <v>1616</v>
      </c>
      <c r="B220" s="22" t="s">
        <v>863</v>
      </c>
      <c r="C220" s="12" t="s">
        <v>839</v>
      </c>
      <c r="D220" s="15" t="s">
        <v>1597</v>
      </c>
      <c r="E220" s="12">
        <v>15</v>
      </c>
      <c r="F220" s="13" t="s">
        <v>1613</v>
      </c>
      <c r="G220" s="2" t="s">
        <v>1617</v>
      </c>
      <c r="H220" s="19" t="s">
        <v>1618</v>
      </c>
      <c r="I220" s="27" t="s">
        <v>880</v>
      </c>
      <c r="J220" s="3" t="s">
        <v>950</v>
      </c>
      <c r="K220" s="4">
        <f>COUNTIFS(Relacion_Doc_Criterio!$A:$A,A220,Relacion_Doc_Criterio!$D:$D,"&lt;&gt;")</f>
        <v>1</v>
      </c>
      <c r="L220" s="4" t="e">
        <f>COUNTIFS(Relacion_Doc_Criterio!$A:$A,A220,Relacion_Doc_Criterio!$D:$D,"&lt;&gt;",Relacion_Doc_Criterio!#REF!,"Principal")</f>
        <v>#REF!</v>
      </c>
      <c r="M220" s="10"/>
    </row>
  </sheetData>
  <autoFilter ref="A1:L220" xr:uid="{00000000-0009-0000-0000-000001000000}"/>
  <phoneticPr fontId="8" type="noConversion"/>
  <conditionalFormatting sqref="I1:I1048576">
    <cfRule type="cellIs" dxfId="6" priority="1" operator="equal">
      <formula>"Instalación Nueva"</formula>
    </cfRule>
    <cfRule type="cellIs" dxfId="5" priority="2" operator="equal">
      <formula>"Instalación existente"</formula>
    </cfRule>
  </conditionalFormatting>
  <dataValidations disablePrompts="1" count="1">
    <dataValidation type="list" allowBlank="1" showErrorMessage="1" errorTitle="Valor no válido" error="Pendiente o Listo" sqref="J2:J220" xr:uid="{00000000-0002-0000-0100-000005000000}">
      <formula1>"Pendiente,Listo"</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Q262"/>
  <sheetViews>
    <sheetView zoomScaleNormal="100" workbookViewId="0">
      <pane ySplit="1" topLeftCell="A2" activePane="bottomLeft" state="frozen"/>
      <selection pane="bottomLeft" activeCell="E13" sqref="E13:E15"/>
    </sheetView>
  </sheetViews>
  <sheetFormatPr defaultColWidth="8.85546875" defaultRowHeight="14.45"/>
  <cols>
    <col min="1" max="1" width="15.28515625" style="10" customWidth="1"/>
    <col min="2" max="2" width="43.28515625" style="10" customWidth="1"/>
    <col min="3" max="3" width="14" customWidth="1"/>
    <col min="4" max="4" width="16" customWidth="1"/>
    <col min="5" max="6" width="10" customWidth="1"/>
    <col min="7" max="7" width="12" customWidth="1"/>
    <col min="8" max="8" width="16" customWidth="1"/>
    <col min="9" max="12" width="12" customWidth="1"/>
    <col min="13" max="13" width="13.28515625" customWidth="1"/>
    <col min="14" max="14" width="12" customWidth="1"/>
    <col min="15" max="15" width="30" customWidth="1"/>
    <col min="16" max="16" width="16" customWidth="1"/>
    <col min="17" max="17" width="14" customWidth="1"/>
  </cols>
  <sheetData>
    <row r="1" spans="1:17" ht="45" customHeight="1">
      <c r="A1" s="1" t="s">
        <v>1619</v>
      </c>
      <c r="B1" s="1" t="s">
        <v>1620</v>
      </c>
      <c r="C1" s="58" t="s">
        <v>1621</v>
      </c>
      <c r="D1" s="58" t="s">
        <v>1622</v>
      </c>
      <c r="E1" s="58" t="s">
        <v>1623</v>
      </c>
      <c r="F1" s="58" t="s">
        <v>1624</v>
      </c>
      <c r="G1" s="58" t="s">
        <v>1625</v>
      </c>
      <c r="H1" s="58" t="s">
        <v>1626</v>
      </c>
      <c r="I1" s="58" t="s">
        <v>1627</v>
      </c>
      <c r="J1" s="58" t="s">
        <v>1628</v>
      </c>
      <c r="K1" s="58" t="s">
        <v>1629</v>
      </c>
      <c r="L1" s="58" t="s">
        <v>1630</v>
      </c>
      <c r="M1" s="58" t="s">
        <v>1631</v>
      </c>
      <c r="N1" s="58" t="s">
        <v>1632</v>
      </c>
      <c r="O1" s="58" t="s">
        <v>1633</v>
      </c>
      <c r="P1" s="58" t="s">
        <v>1634</v>
      </c>
      <c r="Q1" s="58" t="s">
        <v>1635</v>
      </c>
    </row>
    <row r="2" spans="1:17">
      <c r="A2" s="35" t="s">
        <v>1636</v>
      </c>
      <c r="B2" s="36" t="s">
        <v>1637</v>
      </c>
      <c r="C2" s="59" t="s">
        <v>1638</v>
      </c>
      <c r="D2" s="59" t="s">
        <v>1639</v>
      </c>
      <c r="E2" s="60" t="str">
        <f>IF(AND(L2&gt;0,L2&lt;&gt;"-"),"Rev0",IF(AND(K2&gt;0,K2&lt;&gt;"-"),"RevB",IF(AND(J2&gt;0,J2&lt;&gt;"-"),"RevA",IF(AND(I2&gt;0,I2&lt;&gt;"-"),"Iniciado","No Asignado"))))</f>
        <v>Rev0</v>
      </c>
      <c r="F2" s="61" cm="1">
        <f t="array" ref="F2">_xlfn.IFS(E2="No Asignado",0,E2="Iniciado",0.2,E2="RevA",0.4,E2="RevB",0.7,E2="Rev0",1)</f>
        <v>1</v>
      </c>
      <c r="G2" s="59" t="s">
        <v>1640</v>
      </c>
      <c r="H2" s="59" t="s">
        <v>1641</v>
      </c>
      <c r="I2" s="62">
        <v>45292</v>
      </c>
      <c r="J2" s="62">
        <v>45312</v>
      </c>
      <c r="K2" s="62">
        <v>45337</v>
      </c>
      <c r="L2" s="62">
        <v>45717</v>
      </c>
      <c r="M2" s="63">
        <v>36</v>
      </c>
      <c r="N2" s="62">
        <v>46797</v>
      </c>
      <c r="O2" s="59" t="s">
        <v>1642</v>
      </c>
      <c r="P2" s="59" t="s">
        <v>1643</v>
      </c>
      <c r="Q2" s="59" t="s">
        <v>1644</v>
      </c>
    </row>
    <row r="3" spans="1:17">
      <c r="A3" s="35" t="s">
        <v>1645</v>
      </c>
      <c r="B3" s="36" t="s">
        <v>1646</v>
      </c>
      <c r="C3" s="59" t="s">
        <v>1647</v>
      </c>
      <c r="D3" s="59" t="s">
        <v>1639</v>
      </c>
      <c r="E3" s="60" t="str">
        <f t="shared" ref="E3:E51" si="0">IF(AND(L3&gt;0,L3&lt;&gt;"-"),"Rev0",IF(AND(K3&gt;0,K3&lt;&gt;"-"),"RevB",IF(AND(J3&gt;0,J3&lt;&gt;"-"),"RevA",IF(AND(I3&gt;0,I3&lt;&gt;"-"),"Iniciado","No Asignado"))))</f>
        <v>RevB</v>
      </c>
      <c r="F3" s="61" cm="1">
        <f t="array" ref="F3">_xlfn.IFS(E3="No Asignado",0,E3="Iniciado",0.2,E3="RevA",0.4,E3="RevB",0.7,E3="Rev0",1)</f>
        <v>0.7</v>
      </c>
      <c r="G3" s="59" t="s">
        <v>1640</v>
      </c>
      <c r="H3" s="59" t="s">
        <v>1641</v>
      </c>
      <c r="I3" s="62">
        <v>45292</v>
      </c>
      <c r="J3" s="62">
        <v>45312</v>
      </c>
      <c r="K3" s="62">
        <v>45337</v>
      </c>
      <c r="L3" s="62" t="s">
        <v>1648</v>
      </c>
      <c r="M3" s="63">
        <v>12</v>
      </c>
      <c r="N3" s="62" t="s">
        <v>1648</v>
      </c>
      <c r="O3" s="59" t="s">
        <v>1642</v>
      </c>
      <c r="P3" s="59" t="s">
        <v>1643</v>
      </c>
      <c r="Q3" s="59" t="s">
        <v>1644</v>
      </c>
    </row>
    <row r="4" spans="1:17">
      <c r="A4" s="35" t="s">
        <v>1649</v>
      </c>
      <c r="B4" s="36" t="s">
        <v>1650</v>
      </c>
      <c r="C4" s="59" t="s">
        <v>1651</v>
      </c>
      <c r="D4" s="59" t="s">
        <v>1639</v>
      </c>
      <c r="E4" s="60" t="str">
        <f t="shared" si="0"/>
        <v>Iniciado</v>
      </c>
      <c r="F4" s="61" cm="1">
        <f t="array" ref="F4">_xlfn.IFS(E4="No Asignado",0,E4="Iniciado",0.2,E4="RevA",0.4,E4="RevB",0.7,E4="Rev0",1)</f>
        <v>0.2</v>
      </c>
      <c r="G4" s="59" t="s">
        <v>1640</v>
      </c>
      <c r="H4" s="59" t="s">
        <v>1641</v>
      </c>
      <c r="I4" s="62">
        <v>45292</v>
      </c>
      <c r="J4" s="62" t="s">
        <v>1648</v>
      </c>
      <c r="K4" s="62" t="s">
        <v>1648</v>
      </c>
      <c r="L4" s="62" t="s">
        <v>1648</v>
      </c>
      <c r="M4" s="63">
        <v>6</v>
      </c>
      <c r="N4" s="62" t="s">
        <v>1648</v>
      </c>
      <c r="O4" s="59" t="s">
        <v>1642</v>
      </c>
      <c r="P4" s="59" t="s">
        <v>1643</v>
      </c>
      <c r="Q4" s="59" t="s">
        <v>1644</v>
      </c>
    </row>
    <row r="5" spans="1:17">
      <c r="A5" s="35" t="s">
        <v>1652</v>
      </c>
      <c r="B5" s="36" t="s">
        <v>1653</v>
      </c>
      <c r="C5" s="59" t="s">
        <v>1647</v>
      </c>
      <c r="D5" s="59" t="s">
        <v>1639</v>
      </c>
      <c r="E5" s="60" t="str">
        <f t="shared" si="0"/>
        <v>Iniciado</v>
      </c>
      <c r="F5" s="61" cm="1">
        <f t="array" ref="F5">_xlfn.IFS(E5="No Asignado",0,E5="Iniciado",0.2,E5="RevA",0.4,E5="RevB",0.7,E5="Rev0",1)</f>
        <v>0.2</v>
      </c>
      <c r="G5" s="59" t="s">
        <v>1654</v>
      </c>
      <c r="H5" s="59" t="s">
        <v>1641</v>
      </c>
      <c r="I5" s="62">
        <v>45292</v>
      </c>
      <c r="J5" s="62" t="s">
        <v>1648</v>
      </c>
      <c r="K5" s="62" t="s">
        <v>1648</v>
      </c>
      <c r="L5" s="62" t="s">
        <v>1648</v>
      </c>
      <c r="M5" s="63">
        <v>12</v>
      </c>
      <c r="N5" s="62" t="s">
        <v>1648</v>
      </c>
      <c r="O5" s="59" t="s">
        <v>1642</v>
      </c>
      <c r="P5" s="59" t="s">
        <v>1643</v>
      </c>
      <c r="Q5" s="59" t="s">
        <v>1644</v>
      </c>
    </row>
    <row r="6" spans="1:17">
      <c r="A6" s="35" t="s">
        <v>1655</v>
      </c>
      <c r="B6" s="36" t="s">
        <v>1656</v>
      </c>
      <c r="C6" s="59" t="s">
        <v>1657</v>
      </c>
      <c r="D6" s="59" t="s">
        <v>1639</v>
      </c>
      <c r="E6" s="60" t="str">
        <f t="shared" si="0"/>
        <v>Iniciado</v>
      </c>
      <c r="F6" s="61" cm="1">
        <f t="array" ref="F6">_xlfn.IFS(E6="No Asignado",0,E6="Iniciado",0.2,E6="RevA",0.4,E6="RevB",0.7,E6="Rev0",1)</f>
        <v>0.2</v>
      </c>
      <c r="G6" s="59" t="s">
        <v>1654</v>
      </c>
      <c r="H6" s="59" t="s">
        <v>1641</v>
      </c>
      <c r="I6" s="62">
        <v>45292</v>
      </c>
      <c r="J6" s="62" t="s">
        <v>1648</v>
      </c>
      <c r="K6" s="62" t="s">
        <v>1648</v>
      </c>
      <c r="L6" s="62" t="s">
        <v>1648</v>
      </c>
      <c r="M6" s="63">
        <v>6</v>
      </c>
      <c r="N6" s="62" t="s">
        <v>1648</v>
      </c>
      <c r="O6" s="59" t="s">
        <v>1642</v>
      </c>
      <c r="P6" s="59" t="s">
        <v>1643</v>
      </c>
      <c r="Q6" s="59" t="s">
        <v>1644</v>
      </c>
    </row>
    <row r="7" spans="1:17" ht="26.45">
      <c r="A7" s="35" t="s">
        <v>1658</v>
      </c>
      <c r="B7" s="36" t="s">
        <v>1659</v>
      </c>
      <c r="C7" s="59" t="s">
        <v>1647</v>
      </c>
      <c r="D7" s="59" t="s">
        <v>1639</v>
      </c>
      <c r="E7" s="60" t="str">
        <f t="shared" si="0"/>
        <v>Iniciado</v>
      </c>
      <c r="F7" s="61" cm="1">
        <f t="array" ref="F7">_xlfn.IFS(E7="No Asignado",0,E7="Iniciado",0.2,E7="RevA",0.4,E7="RevB",0.7,E7="Rev0",1)</f>
        <v>0.2</v>
      </c>
      <c r="G7" s="59" t="s">
        <v>1654</v>
      </c>
      <c r="H7" s="59" t="s">
        <v>1660</v>
      </c>
      <c r="I7" s="62">
        <v>45292</v>
      </c>
      <c r="J7" s="62" t="s">
        <v>1648</v>
      </c>
      <c r="K7" s="62" t="s">
        <v>1648</v>
      </c>
      <c r="L7" s="62" t="s">
        <v>1648</v>
      </c>
      <c r="M7" s="63">
        <v>12</v>
      </c>
      <c r="N7" s="62" t="s">
        <v>1648</v>
      </c>
      <c r="O7" s="59" t="s">
        <v>1642</v>
      </c>
      <c r="P7" s="59" t="s">
        <v>1643</v>
      </c>
      <c r="Q7" s="59" t="s">
        <v>1644</v>
      </c>
    </row>
    <row r="8" spans="1:17">
      <c r="A8" s="35" t="s">
        <v>1661</v>
      </c>
      <c r="B8" s="36" t="s">
        <v>1662</v>
      </c>
      <c r="C8" s="59" t="s">
        <v>1647</v>
      </c>
      <c r="D8" s="59" t="s">
        <v>1639</v>
      </c>
      <c r="E8" s="60" t="str">
        <f t="shared" si="0"/>
        <v>Rev0</v>
      </c>
      <c r="F8" s="61" cm="1">
        <f t="array" ref="F8">_xlfn.IFS(E8="No Asignado",0,E8="Iniciado",0.2,E8="RevA",0.4,E8="RevB",0.7,E8="Rev0",1)</f>
        <v>1</v>
      </c>
      <c r="G8" s="59" t="s">
        <v>1654</v>
      </c>
      <c r="H8" s="59" t="s">
        <v>1660</v>
      </c>
      <c r="I8" s="62">
        <v>45332</v>
      </c>
      <c r="J8" s="62">
        <v>45347</v>
      </c>
      <c r="K8" s="62">
        <v>45356</v>
      </c>
      <c r="L8" s="62">
        <v>45731</v>
      </c>
      <c r="M8" s="63">
        <v>12</v>
      </c>
      <c r="N8" s="62">
        <v>46091</v>
      </c>
      <c r="O8" s="59" t="s">
        <v>1642</v>
      </c>
      <c r="P8" s="59" t="s">
        <v>1643</v>
      </c>
      <c r="Q8" s="59" t="s">
        <v>1644</v>
      </c>
    </row>
    <row r="9" spans="1:17">
      <c r="A9" s="35" t="s">
        <v>1663</v>
      </c>
      <c r="B9" s="36" t="s">
        <v>1664</v>
      </c>
      <c r="C9" s="59" t="s">
        <v>1647</v>
      </c>
      <c r="D9" s="59" t="s">
        <v>1639</v>
      </c>
      <c r="E9" s="60" t="str">
        <f t="shared" si="0"/>
        <v>Rev0</v>
      </c>
      <c r="F9" s="61" cm="1">
        <f t="array" ref="F9">_xlfn.IFS(E9="No Asignado",0,E9="Iniciado",0.2,E9="RevA",0.4,E9="RevB",0.7,E9="Rev0",1)</f>
        <v>1</v>
      </c>
      <c r="G9" s="59" t="s">
        <v>1640</v>
      </c>
      <c r="H9" s="59" t="s">
        <v>1660</v>
      </c>
      <c r="I9" s="62">
        <v>45332</v>
      </c>
      <c r="J9" s="62">
        <v>45347</v>
      </c>
      <c r="K9" s="62">
        <v>45356</v>
      </c>
      <c r="L9" s="62">
        <v>45731</v>
      </c>
      <c r="M9" s="63">
        <v>12</v>
      </c>
      <c r="N9" s="62">
        <v>46091</v>
      </c>
      <c r="O9" s="59" t="s">
        <v>1642</v>
      </c>
      <c r="P9" s="59" t="s">
        <v>1643</v>
      </c>
      <c r="Q9" s="59" t="s">
        <v>1644</v>
      </c>
    </row>
    <row r="10" spans="1:17">
      <c r="A10" s="35" t="s">
        <v>1665</v>
      </c>
      <c r="B10" s="36" t="s">
        <v>1666</v>
      </c>
      <c r="C10" s="59" t="s">
        <v>1647</v>
      </c>
      <c r="D10" s="59" t="s">
        <v>1639</v>
      </c>
      <c r="E10" s="60" t="str">
        <f t="shared" si="0"/>
        <v>Rev0</v>
      </c>
      <c r="F10" s="61" cm="1">
        <f t="array" ref="F10">_xlfn.IFS(E10="No Asignado",0,E10="Iniciado",0.2,E10="RevA",0.4,E10="RevB",0.7,E10="Rev0",1)</f>
        <v>1</v>
      </c>
      <c r="G10" s="59" t="s">
        <v>1640</v>
      </c>
      <c r="H10" s="59" t="s">
        <v>1660</v>
      </c>
      <c r="I10" s="62">
        <v>45332</v>
      </c>
      <c r="J10" s="62">
        <v>45347</v>
      </c>
      <c r="K10" s="62">
        <v>45356</v>
      </c>
      <c r="L10" s="62">
        <v>45731</v>
      </c>
      <c r="M10" s="63">
        <v>12</v>
      </c>
      <c r="N10" s="62">
        <v>46091</v>
      </c>
      <c r="O10" s="59" t="s">
        <v>1642</v>
      </c>
      <c r="P10" s="59" t="s">
        <v>1643</v>
      </c>
      <c r="Q10" s="59" t="s">
        <v>1644</v>
      </c>
    </row>
    <row r="11" spans="1:17">
      <c r="A11" s="35" t="s">
        <v>1667</v>
      </c>
      <c r="B11" s="36" t="s">
        <v>1668</v>
      </c>
      <c r="C11" s="59" t="s">
        <v>1647</v>
      </c>
      <c r="D11" s="59" t="s">
        <v>1639</v>
      </c>
      <c r="E11" s="60" t="str">
        <f t="shared" si="0"/>
        <v>RevA</v>
      </c>
      <c r="F11" s="61" cm="1">
        <f t="array" ref="F11">_xlfn.IFS(E11="No Asignado",0,E11="Iniciado",0.2,E11="RevA",0.4,E11="RevB",0.7,E11="Rev0",1)</f>
        <v>0.4</v>
      </c>
      <c r="G11" s="59" t="s">
        <v>1640</v>
      </c>
      <c r="H11" s="59" t="s">
        <v>1660</v>
      </c>
      <c r="I11" s="62">
        <v>45332</v>
      </c>
      <c r="J11" s="62">
        <v>45347</v>
      </c>
      <c r="K11" s="62" t="s">
        <v>1648</v>
      </c>
      <c r="L11" s="62" t="s">
        <v>1648</v>
      </c>
      <c r="M11" s="63">
        <v>12</v>
      </c>
      <c r="N11" s="62" t="s">
        <v>1648</v>
      </c>
      <c r="O11" s="59" t="s">
        <v>1642</v>
      </c>
      <c r="P11" s="59" t="s">
        <v>1643</v>
      </c>
      <c r="Q11" s="59" t="s">
        <v>1644</v>
      </c>
    </row>
    <row r="12" spans="1:17">
      <c r="A12" s="35" t="s">
        <v>1669</v>
      </c>
      <c r="B12" s="36" t="s">
        <v>1670</v>
      </c>
      <c r="C12" s="59" t="s">
        <v>1647</v>
      </c>
      <c r="D12" s="59" t="s">
        <v>1639</v>
      </c>
      <c r="E12" s="60" t="str">
        <f t="shared" si="0"/>
        <v>Iniciado</v>
      </c>
      <c r="F12" s="61" cm="1">
        <f t="array" ref="F12">_xlfn.IFS(E12="No Asignado",0,E12="Iniciado",0.2,E12="RevA",0.4,E12="RevB",0.7,E12="Rev0",1)</f>
        <v>0.2</v>
      </c>
      <c r="G12" s="59" t="s">
        <v>1640</v>
      </c>
      <c r="H12" s="59" t="s">
        <v>1660</v>
      </c>
      <c r="I12" s="62">
        <v>45332</v>
      </c>
      <c r="J12" s="62" t="s">
        <v>1648</v>
      </c>
      <c r="K12" s="62" t="s">
        <v>1648</v>
      </c>
      <c r="L12" s="62" t="s">
        <v>1648</v>
      </c>
      <c r="M12" s="63">
        <v>12</v>
      </c>
      <c r="N12" s="62" t="s">
        <v>1648</v>
      </c>
      <c r="O12" s="59" t="s">
        <v>1642</v>
      </c>
      <c r="P12" s="59" t="s">
        <v>1643</v>
      </c>
      <c r="Q12" s="59" t="s">
        <v>1644</v>
      </c>
    </row>
    <row r="13" spans="1:17">
      <c r="A13" s="35" t="s">
        <v>1671</v>
      </c>
      <c r="B13" s="36" t="s">
        <v>1672</v>
      </c>
      <c r="C13" s="59" t="s">
        <v>1657</v>
      </c>
      <c r="D13" s="59" t="s">
        <v>1639</v>
      </c>
      <c r="E13" s="60" t="str">
        <f t="shared" si="0"/>
        <v>Iniciado</v>
      </c>
      <c r="F13" s="61" cm="1">
        <f t="array" ref="F13">_xlfn.IFS(E13="No Asignado",0,E13="Iniciado",0.2,E13="RevA",0.4,E13="RevB",0.7,E13="Rev0",1)</f>
        <v>0.2</v>
      </c>
      <c r="G13" s="59" t="s">
        <v>1640</v>
      </c>
      <c r="H13" s="59" t="s">
        <v>1660</v>
      </c>
      <c r="I13" s="62">
        <v>45332</v>
      </c>
      <c r="J13" s="62" t="s">
        <v>1648</v>
      </c>
      <c r="K13" s="62" t="s">
        <v>1648</v>
      </c>
      <c r="L13" s="62" t="s">
        <v>1648</v>
      </c>
      <c r="M13" s="63">
        <v>6</v>
      </c>
      <c r="N13" s="62" t="s">
        <v>1648</v>
      </c>
      <c r="O13" s="59" t="s">
        <v>1642</v>
      </c>
      <c r="P13" s="59" t="s">
        <v>1643</v>
      </c>
      <c r="Q13" s="59" t="s">
        <v>1644</v>
      </c>
    </row>
    <row r="14" spans="1:17">
      <c r="A14" s="35" t="s">
        <v>1673</v>
      </c>
      <c r="B14" s="36" t="s">
        <v>1674</v>
      </c>
      <c r="C14" s="59" t="s">
        <v>1647</v>
      </c>
      <c r="D14" s="59" t="s">
        <v>1639</v>
      </c>
      <c r="E14" s="60" t="str">
        <f t="shared" si="0"/>
        <v>Iniciado</v>
      </c>
      <c r="F14" s="61" cm="1">
        <f t="array" ref="F14">_xlfn.IFS(E14="No Asignado",0,E14="Iniciado",0.2,E14="RevA",0.4,E14="RevB",0.7,E14="Rev0",1)</f>
        <v>0.2</v>
      </c>
      <c r="G14" s="59" t="s">
        <v>1640</v>
      </c>
      <c r="H14" s="59" t="s">
        <v>1660</v>
      </c>
      <c r="I14" s="62">
        <v>45332</v>
      </c>
      <c r="J14" s="62" t="s">
        <v>1648</v>
      </c>
      <c r="K14" s="62" t="s">
        <v>1648</v>
      </c>
      <c r="L14" s="62" t="s">
        <v>1648</v>
      </c>
      <c r="M14" s="63">
        <v>12</v>
      </c>
      <c r="N14" s="62" t="s">
        <v>1648</v>
      </c>
      <c r="O14" s="59" t="s">
        <v>1642</v>
      </c>
      <c r="P14" s="59" t="s">
        <v>1643</v>
      </c>
      <c r="Q14" s="59" t="s">
        <v>1644</v>
      </c>
    </row>
    <row r="15" spans="1:17" ht="26.45">
      <c r="A15" s="35" t="s">
        <v>1675</v>
      </c>
      <c r="B15" s="36" t="s">
        <v>1676</v>
      </c>
      <c r="C15" s="59" t="s">
        <v>1657</v>
      </c>
      <c r="D15" s="59" t="s">
        <v>1639</v>
      </c>
      <c r="E15" s="60" t="str">
        <f t="shared" si="0"/>
        <v>Iniciado</v>
      </c>
      <c r="F15" s="61" cm="1">
        <f t="array" ref="F15">_xlfn.IFS(E15="No Asignado",0,E15="Iniciado",0.2,E15="RevA",0.4,E15="RevB",0.7,E15="Rev0",1)</f>
        <v>0.2</v>
      </c>
      <c r="G15" s="59" t="s">
        <v>1640</v>
      </c>
      <c r="H15" s="59" t="s">
        <v>1660</v>
      </c>
      <c r="I15" s="62">
        <v>45332</v>
      </c>
      <c r="J15" s="62" t="s">
        <v>1648</v>
      </c>
      <c r="K15" s="62" t="s">
        <v>1648</v>
      </c>
      <c r="L15" s="62" t="s">
        <v>1648</v>
      </c>
      <c r="M15" s="63">
        <v>6</v>
      </c>
      <c r="N15" s="62" t="s">
        <v>1648</v>
      </c>
      <c r="O15" s="59" t="s">
        <v>1642</v>
      </c>
      <c r="P15" s="59" t="s">
        <v>1643</v>
      </c>
      <c r="Q15" s="59" t="s">
        <v>1644</v>
      </c>
    </row>
    <row r="16" spans="1:17" ht="19.899999999999999" customHeight="1">
      <c r="A16" s="35" t="s">
        <v>1677</v>
      </c>
      <c r="B16" s="36" t="s">
        <v>1678</v>
      </c>
      <c r="C16" s="59" t="s">
        <v>1647</v>
      </c>
      <c r="D16" s="59" t="s">
        <v>1639</v>
      </c>
      <c r="E16" s="60" t="str">
        <f t="shared" si="0"/>
        <v>Iniciado</v>
      </c>
      <c r="F16" s="61" cm="1">
        <f t="array" ref="F16">_xlfn.IFS(E16="No Asignado",0,E16="Iniciado",0.2,E16="RevA",0.4,E16="RevB",0.7,E16="Rev0",1)</f>
        <v>0.2</v>
      </c>
      <c r="G16" s="59" t="s">
        <v>1679</v>
      </c>
      <c r="H16" s="59" t="s">
        <v>1680</v>
      </c>
      <c r="I16" s="62">
        <v>45332</v>
      </c>
      <c r="J16" s="62" t="s">
        <v>1648</v>
      </c>
      <c r="K16" s="62" t="s">
        <v>1648</v>
      </c>
      <c r="L16" s="62" t="s">
        <v>1648</v>
      </c>
      <c r="M16" s="63">
        <v>12</v>
      </c>
      <c r="N16" s="62" t="s">
        <v>1648</v>
      </c>
      <c r="O16" s="59" t="s">
        <v>1642</v>
      </c>
      <c r="P16" s="59" t="s">
        <v>1643</v>
      </c>
      <c r="Q16" s="59" t="s">
        <v>1644</v>
      </c>
    </row>
    <row r="17" spans="1:17" ht="26.45">
      <c r="A17" s="35" t="s">
        <v>1681</v>
      </c>
      <c r="B17" s="36" t="s">
        <v>1682</v>
      </c>
      <c r="C17" s="59" t="s">
        <v>1647</v>
      </c>
      <c r="D17" s="59" t="s">
        <v>1639</v>
      </c>
      <c r="E17" s="60" t="str">
        <f t="shared" si="0"/>
        <v>Iniciado</v>
      </c>
      <c r="F17" s="61" cm="1">
        <f t="array" ref="F17">_xlfn.IFS(E17="No Asignado",0,E17="Iniciado",0.2,E17="RevA",0.4,E17="RevB",0.7,E17="Rev0",1)</f>
        <v>0.2</v>
      </c>
      <c r="G17" s="59" t="s">
        <v>1679</v>
      </c>
      <c r="H17" s="59" t="s">
        <v>1680</v>
      </c>
      <c r="I17" s="62">
        <v>45337</v>
      </c>
      <c r="J17" s="62" t="s">
        <v>1648</v>
      </c>
      <c r="K17" s="62" t="s">
        <v>1648</v>
      </c>
      <c r="L17" s="62" t="s">
        <v>1648</v>
      </c>
      <c r="M17" s="63">
        <v>12</v>
      </c>
      <c r="N17" s="62" t="s">
        <v>1648</v>
      </c>
      <c r="O17" s="59" t="s">
        <v>1642</v>
      </c>
      <c r="P17" s="59" t="s">
        <v>1643</v>
      </c>
      <c r="Q17" s="59" t="s">
        <v>1644</v>
      </c>
    </row>
    <row r="18" spans="1:17" ht="26.45">
      <c r="A18" s="35" t="s">
        <v>1683</v>
      </c>
      <c r="B18" s="36" t="s">
        <v>1684</v>
      </c>
      <c r="C18" s="59" t="s">
        <v>1651</v>
      </c>
      <c r="D18" s="59" t="s">
        <v>1639</v>
      </c>
      <c r="E18" s="60" t="str">
        <f t="shared" si="0"/>
        <v>RevA</v>
      </c>
      <c r="F18" s="61" cm="1">
        <f t="array" ref="F18">_xlfn.IFS(E18="No Asignado",0,E18="Iniciado",0.2,E18="RevA",0.4,E18="RevB",0.7,E18="Rev0",1)</f>
        <v>0.4</v>
      </c>
      <c r="G18" s="59" t="s">
        <v>1679</v>
      </c>
      <c r="H18" s="59" t="s">
        <v>1680</v>
      </c>
      <c r="I18" s="62">
        <v>45337</v>
      </c>
      <c r="J18" s="62">
        <v>45347</v>
      </c>
      <c r="K18" s="62" t="s">
        <v>1648</v>
      </c>
      <c r="L18" s="62" t="s">
        <v>1648</v>
      </c>
      <c r="M18" s="63">
        <v>6</v>
      </c>
      <c r="N18" s="62" t="s">
        <v>1648</v>
      </c>
      <c r="O18" s="59" t="s">
        <v>1642</v>
      </c>
      <c r="P18" s="59" t="s">
        <v>1643</v>
      </c>
      <c r="Q18" s="59" t="s">
        <v>1644</v>
      </c>
    </row>
    <row r="19" spans="1:17">
      <c r="A19" s="35" t="s">
        <v>1685</v>
      </c>
      <c r="B19" s="36" t="s">
        <v>1686</v>
      </c>
      <c r="C19" s="59" t="s">
        <v>1651</v>
      </c>
      <c r="D19" s="59" t="s">
        <v>1639</v>
      </c>
      <c r="E19" s="60" t="str">
        <f t="shared" si="0"/>
        <v>RevA</v>
      </c>
      <c r="F19" s="61" cm="1">
        <f t="array" ref="F19">_xlfn.IFS(E19="No Asignado",0,E19="Iniciado",0.2,E19="RevA",0.4,E19="RevB",0.7,E19="Rev0",1)</f>
        <v>0.4</v>
      </c>
      <c r="G19" s="59" t="s">
        <v>1679</v>
      </c>
      <c r="H19" s="59" t="s">
        <v>1680</v>
      </c>
      <c r="I19" s="62">
        <v>45337</v>
      </c>
      <c r="J19" s="62">
        <v>45347</v>
      </c>
      <c r="K19" s="62" t="s">
        <v>1648</v>
      </c>
      <c r="L19" s="62" t="s">
        <v>1648</v>
      </c>
      <c r="M19" s="63">
        <v>6</v>
      </c>
      <c r="N19" s="62" t="s">
        <v>1648</v>
      </c>
      <c r="O19" s="59" t="s">
        <v>1642</v>
      </c>
      <c r="P19" s="59" t="s">
        <v>1643</v>
      </c>
      <c r="Q19" s="59" t="s">
        <v>1644</v>
      </c>
    </row>
    <row r="20" spans="1:17">
      <c r="A20" s="35" t="s">
        <v>1687</v>
      </c>
      <c r="B20" s="36" t="s">
        <v>1688</v>
      </c>
      <c r="C20" s="59" t="s">
        <v>1647</v>
      </c>
      <c r="D20" s="59" t="s">
        <v>1639</v>
      </c>
      <c r="E20" s="60" t="str">
        <f t="shared" si="0"/>
        <v>RevB</v>
      </c>
      <c r="F20" s="61" cm="1">
        <f t="array" ref="F20">_xlfn.IFS(E20="No Asignado",0,E20="Iniciado",0.2,E20="RevA",0.4,E20="RevB",0.7,E20="Rev0",1)</f>
        <v>0.7</v>
      </c>
      <c r="G20" s="59" t="s">
        <v>1679</v>
      </c>
      <c r="H20" s="59" t="s">
        <v>1680</v>
      </c>
      <c r="I20" s="62">
        <v>45337</v>
      </c>
      <c r="J20" s="62">
        <v>45347</v>
      </c>
      <c r="K20" s="62">
        <v>45354</v>
      </c>
      <c r="L20" s="62" t="s">
        <v>1648</v>
      </c>
      <c r="M20" s="63">
        <v>12</v>
      </c>
      <c r="N20" s="62" t="s">
        <v>1648</v>
      </c>
      <c r="O20" s="59" t="s">
        <v>1642</v>
      </c>
      <c r="P20" s="59" t="s">
        <v>1643</v>
      </c>
      <c r="Q20" s="59" t="s">
        <v>1644</v>
      </c>
    </row>
    <row r="21" spans="1:17">
      <c r="A21" s="35" t="s">
        <v>1689</v>
      </c>
      <c r="B21" s="36" t="s">
        <v>1690</v>
      </c>
      <c r="C21" s="59" t="s">
        <v>1647</v>
      </c>
      <c r="D21" s="59" t="s">
        <v>1639</v>
      </c>
      <c r="E21" s="60" t="str">
        <f t="shared" si="0"/>
        <v>Rev0</v>
      </c>
      <c r="F21" s="61" cm="1">
        <f t="array" ref="F21">_xlfn.IFS(E21="No Asignado",0,E21="Iniciado",0.2,E21="RevA",0.4,E21="RevB",0.7,E21="Rev0",1)</f>
        <v>1</v>
      </c>
      <c r="G21" s="59" t="s">
        <v>1679</v>
      </c>
      <c r="H21" s="59" t="s">
        <v>1680</v>
      </c>
      <c r="I21" s="62">
        <v>45337</v>
      </c>
      <c r="J21" s="62">
        <v>45347</v>
      </c>
      <c r="K21" s="62">
        <v>45354</v>
      </c>
      <c r="L21" s="62">
        <v>45740</v>
      </c>
      <c r="M21" s="63">
        <v>12</v>
      </c>
      <c r="N21" s="62">
        <v>46100</v>
      </c>
      <c r="O21" s="59" t="s">
        <v>1642</v>
      </c>
      <c r="P21" s="59" t="s">
        <v>1643</v>
      </c>
      <c r="Q21" s="59" t="s">
        <v>1644</v>
      </c>
    </row>
    <row r="22" spans="1:17">
      <c r="A22" s="35" t="s">
        <v>1691</v>
      </c>
      <c r="B22" s="36" t="s">
        <v>1692</v>
      </c>
      <c r="C22" s="59" t="s">
        <v>1647</v>
      </c>
      <c r="D22" s="59" t="s">
        <v>1639</v>
      </c>
      <c r="E22" s="60" t="str">
        <f t="shared" si="0"/>
        <v>Rev0</v>
      </c>
      <c r="F22" s="61" cm="1">
        <f t="array" ref="F22">_xlfn.IFS(E22="No Asignado",0,E22="Iniciado",0.2,E22="RevA",0.4,E22="RevB",0.7,E22="Rev0",1)</f>
        <v>1</v>
      </c>
      <c r="G22" s="59" t="s">
        <v>1640</v>
      </c>
      <c r="H22" s="59" t="s">
        <v>1680</v>
      </c>
      <c r="I22" s="62">
        <v>45337</v>
      </c>
      <c r="J22" s="62">
        <v>45347</v>
      </c>
      <c r="K22" s="62">
        <v>45354</v>
      </c>
      <c r="L22" s="62">
        <v>45740</v>
      </c>
      <c r="M22" s="63">
        <v>12</v>
      </c>
      <c r="N22" s="62">
        <v>46100</v>
      </c>
      <c r="O22" s="59" t="s">
        <v>1642</v>
      </c>
      <c r="P22" s="59" t="s">
        <v>1643</v>
      </c>
      <c r="Q22" s="59" t="s">
        <v>1644</v>
      </c>
    </row>
    <row r="23" spans="1:17" ht="26.45">
      <c r="A23" s="35" t="s">
        <v>1693</v>
      </c>
      <c r="B23" s="36" t="s">
        <v>1694</v>
      </c>
      <c r="C23" s="59" t="s">
        <v>1647</v>
      </c>
      <c r="D23" s="59" t="s">
        <v>1639</v>
      </c>
      <c r="E23" s="60" t="str">
        <f t="shared" si="0"/>
        <v>Rev0</v>
      </c>
      <c r="F23" s="61" cm="1">
        <f t="array" ref="F23">_xlfn.IFS(E23="No Asignado",0,E23="Iniciado",0.2,E23="RevA",0.4,E23="RevB",0.7,E23="Rev0",1)</f>
        <v>1</v>
      </c>
      <c r="G23" s="59" t="s">
        <v>1640</v>
      </c>
      <c r="H23" s="59" t="s">
        <v>1680</v>
      </c>
      <c r="I23" s="62">
        <v>45340</v>
      </c>
      <c r="J23" s="62">
        <v>45347</v>
      </c>
      <c r="K23" s="62">
        <v>45354</v>
      </c>
      <c r="L23" s="62">
        <v>45741</v>
      </c>
      <c r="M23" s="63">
        <v>12</v>
      </c>
      <c r="N23" s="62">
        <v>46101</v>
      </c>
      <c r="O23" s="59" t="s">
        <v>1642</v>
      </c>
      <c r="P23" s="59" t="s">
        <v>1643</v>
      </c>
      <c r="Q23" s="59" t="s">
        <v>1644</v>
      </c>
    </row>
    <row r="24" spans="1:17">
      <c r="A24" s="35" t="s">
        <v>1695</v>
      </c>
      <c r="B24" s="36" t="s">
        <v>1696</v>
      </c>
      <c r="C24" s="59" t="s">
        <v>1647</v>
      </c>
      <c r="D24" s="59" t="s">
        <v>1639</v>
      </c>
      <c r="E24" s="60" t="str">
        <f t="shared" si="0"/>
        <v>RevA</v>
      </c>
      <c r="F24" s="61" cm="1">
        <f t="array" ref="F24">_xlfn.IFS(E24="No Asignado",0,E24="Iniciado",0.2,E24="RevA",0.4,E24="RevB",0.7,E24="Rev0",1)</f>
        <v>0.4</v>
      </c>
      <c r="G24" s="59" t="s">
        <v>1640</v>
      </c>
      <c r="H24" s="59" t="s">
        <v>1680</v>
      </c>
      <c r="I24" s="62">
        <v>45340</v>
      </c>
      <c r="J24" s="62">
        <v>45347</v>
      </c>
      <c r="K24" s="62" t="s">
        <v>1648</v>
      </c>
      <c r="L24" s="62" t="s">
        <v>1648</v>
      </c>
      <c r="M24" s="63">
        <v>12</v>
      </c>
      <c r="N24" s="62" t="s">
        <v>1648</v>
      </c>
      <c r="O24" s="59" t="s">
        <v>1642</v>
      </c>
      <c r="P24" s="59" t="s">
        <v>1643</v>
      </c>
      <c r="Q24" s="59" t="s">
        <v>1644</v>
      </c>
    </row>
    <row r="25" spans="1:17">
      <c r="A25" s="35" t="s">
        <v>1697</v>
      </c>
      <c r="B25" s="36" t="s">
        <v>1698</v>
      </c>
      <c r="C25" s="59" t="s">
        <v>1651</v>
      </c>
      <c r="D25" s="59" t="s">
        <v>1639</v>
      </c>
      <c r="E25" s="60" t="str">
        <f t="shared" si="0"/>
        <v>Iniciado</v>
      </c>
      <c r="F25" s="61" cm="1">
        <f t="array" ref="F25">_xlfn.IFS(E25="No Asignado",0,E25="Iniciado",0.2,E25="RevA",0.4,E25="RevB",0.7,E25="Rev0",1)</f>
        <v>0.2</v>
      </c>
      <c r="G25" s="59" t="s">
        <v>1640</v>
      </c>
      <c r="H25" s="59" t="s">
        <v>1680</v>
      </c>
      <c r="I25" s="62">
        <v>45340</v>
      </c>
      <c r="J25" s="62" t="s">
        <v>1648</v>
      </c>
      <c r="K25" s="62" t="s">
        <v>1648</v>
      </c>
      <c r="L25" s="62" t="s">
        <v>1648</v>
      </c>
      <c r="M25" s="63">
        <v>6</v>
      </c>
      <c r="N25" s="62" t="s">
        <v>1648</v>
      </c>
      <c r="O25" s="59" t="s">
        <v>1642</v>
      </c>
      <c r="P25" s="59" t="s">
        <v>1643</v>
      </c>
      <c r="Q25" s="59" t="s">
        <v>1644</v>
      </c>
    </row>
    <row r="26" spans="1:17">
      <c r="A26" s="35" t="s">
        <v>1699</v>
      </c>
      <c r="B26" s="36" t="s">
        <v>1700</v>
      </c>
      <c r="C26" s="59" t="s">
        <v>1647</v>
      </c>
      <c r="D26" s="59" t="s">
        <v>1639</v>
      </c>
      <c r="E26" s="60" t="str">
        <f t="shared" si="0"/>
        <v>Iniciado</v>
      </c>
      <c r="F26" s="61" cm="1">
        <f t="array" ref="F26">_xlfn.IFS(E26="No Asignado",0,E26="Iniciado",0.2,E26="RevA",0.4,E26="RevB",0.7,E26="Rev0",1)</f>
        <v>0.2</v>
      </c>
      <c r="G26" s="59" t="s">
        <v>1654</v>
      </c>
      <c r="H26" s="59" t="s">
        <v>1680</v>
      </c>
      <c r="I26" s="62">
        <v>45340</v>
      </c>
      <c r="J26" s="62" t="s">
        <v>1648</v>
      </c>
      <c r="K26" s="62" t="s">
        <v>1648</v>
      </c>
      <c r="L26" s="62" t="s">
        <v>1648</v>
      </c>
      <c r="M26" s="63">
        <v>12</v>
      </c>
      <c r="N26" s="62" t="s">
        <v>1648</v>
      </c>
      <c r="O26" s="59" t="s">
        <v>1642</v>
      </c>
      <c r="P26" s="59" t="s">
        <v>1643</v>
      </c>
      <c r="Q26" s="59" t="s">
        <v>1644</v>
      </c>
    </row>
    <row r="27" spans="1:17">
      <c r="A27" s="35" t="s">
        <v>1701</v>
      </c>
      <c r="B27" s="36" t="s">
        <v>1702</v>
      </c>
      <c r="C27" s="59" t="s">
        <v>1647</v>
      </c>
      <c r="D27" s="59" t="s">
        <v>1639</v>
      </c>
      <c r="E27" s="60" t="str">
        <f t="shared" si="0"/>
        <v>Iniciado</v>
      </c>
      <c r="F27" s="61" cm="1">
        <f t="array" ref="F27">_xlfn.IFS(E27="No Asignado",0,E27="Iniciado",0.2,E27="RevA",0.4,E27="RevB",0.7,E27="Rev0",1)</f>
        <v>0.2</v>
      </c>
      <c r="G27" s="59" t="s">
        <v>1654</v>
      </c>
      <c r="H27" s="59" t="s">
        <v>1680</v>
      </c>
      <c r="I27" s="62">
        <v>45340</v>
      </c>
      <c r="J27" s="62" t="s">
        <v>1648</v>
      </c>
      <c r="K27" s="62" t="s">
        <v>1648</v>
      </c>
      <c r="L27" s="62" t="s">
        <v>1648</v>
      </c>
      <c r="M27" s="63">
        <v>12</v>
      </c>
      <c r="N27" s="62" t="s">
        <v>1648</v>
      </c>
      <c r="O27" s="59" t="s">
        <v>1642</v>
      </c>
      <c r="P27" s="59" t="s">
        <v>1643</v>
      </c>
      <c r="Q27" s="59" t="s">
        <v>1644</v>
      </c>
    </row>
    <row r="28" spans="1:17">
      <c r="A28" s="35" t="s">
        <v>1703</v>
      </c>
      <c r="B28" s="36" t="s">
        <v>1704</v>
      </c>
      <c r="C28" s="59" t="s">
        <v>1705</v>
      </c>
      <c r="D28" s="59" t="s">
        <v>1639</v>
      </c>
      <c r="E28" s="60" t="str">
        <f t="shared" si="0"/>
        <v>Iniciado</v>
      </c>
      <c r="F28" s="61" cm="1">
        <f t="array" ref="F28">_xlfn.IFS(E28="No Asignado",0,E28="Iniciado",0.2,E28="RevA",0.4,E28="RevB",0.7,E28="Rev0",1)</f>
        <v>0.2</v>
      </c>
      <c r="G28" s="59" t="s">
        <v>1654</v>
      </c>
      <c r="H28" s="59" t="s">
        <v>1680</v>
      </c>
      <c r="I28" s="62">
        <v>45340</v>
      </c>
      <c r="J28" s="62" t="s">
        <v>1648</v>
      </c>
      <c r="K28" s="62" t="s">
        <v>1648</v>
      </c>
      <c r="L28" s="62" t="s">
        <v>1648</v>
      </c>
      <c r="M28" s="63">
        <v>12</v>
      </c>
      <c r="N28" s="62" t="s">
        <v>1648</v>
      </c>
      <c r="O28" s="59" t="s">
        <v>1642</v>
      </c>
      <c r="P28" s="59" t="s">
        <v>1643</v>
      </c>
      <c r="Q28" s="59" t="s">
        <v>1644</v>
      </c>
    </row>
    <row r="29" spans="1:17">
      <c r="A29" s="35" t="s">
        <v>1706</v>
      </c>
      <c r="B29" s="36" t="s">
        <v>1707</v>
      </c>
      <c r="C29" s="59" t="s">
        <v>1705</v>
      </c>
      <c r="D29" s="59" t="s">
        <v>1639</v>
      </c>
      <c r="E29" s="60" t="str">
        <f t="shared" si="0"/>
        <v>Iniciado</v>
      </c>
      <c r="F29" s="61" cm="1">
        <f t="array" ref="F29">_xlfn.IFS(E29="No Asignado",0,E29="Iniciado",0.2,E29="RevA",0.4,E29="RevB",0.7,E29="Rev0",1)</f>
        <v>0.2</v>
      </c>
      <c r="G29" s="59" t="s">
        <v>1654</v>
      </c>
      <c r="H29" s="59" t="s">
        <v>1680</v>
      </c>
      <c r="I29" s="62">
        <v>45340</v>
      </c>
      <c r="J29" s="62" t="s">
        <v>1648</v>
      </c>
      <c r="K29" s="62" t="s">
        <v>1648</v>
      </c>
      <c r="L29" s="62" t="s">
        <v>1648</v>
      </c>
      <c r="M29" s="63">
        <v>12</v>
      </c>
      <c r="N29" s="62" t="s">
        <v>1648</v>
      </c>
      <c r="O29" s="59" t="s">
        <v>1642</v>
      </c>
      <c r="P29" s="59" t="s">
        <v>1643</v>
      </c>
      <c r="Q29" s="59" t="s">
        <v>1644</v>
      </c>
    </row>
    <row r="30" spans="1:17">
      <c r="A30" s="35" t="s">
        <v>1708</v>
      </c>
      <c r="B30" s="36" t="s">
        <v>1709</v>
      </c>
      <c r="C30" s="59" t="s">
        <v>1705</v>
      </c>
      <c r="D30" s="59" t="s">
        <v>1639</v>
      </c>
      <c r="E30" s="60" t="str">
        <f t="shared" si="0"/>
        <v>Iniciado</v>
      </c>
      <c r="F30" s="61" cm="1">
        <f t="array" ref="F30">_xlfn.IFS(E30="No Asignado",0,E30="Iniciado",0.2,E30="RevA",0.4,E30="RevB",0.7,E30="Rev0",1)</f>
        <v>0.2</v>
      </c>
      <c r="G30" s="59" t="s">
        <v>1654</v>
      </c>
      <c r="H30" s="59" t="s">
        <v>1680</v>
      </c>
      <c r="I30" s="62">
        <v>45340</v>
      </c>
      <c r="J30" s="62" t="s">
        <v>1648</v>
      </c>
      <c r="K30" s="62" t="s">
        <v>1648</v>
      </c>
      <c r="L30" s="62" t="s">
        <v>1648</v>
      </c>
      <c r="M30" s="63">
        <v>12</v>
      </c>
      <c r="N30" s="62" t="s">
        <v>1648</v>
      </c>
      <c r="O30" s="59" t="s">
        <v>1642</v>
      </c>
      <c r="P30" s="59" t="s">
        <v>1643</v>
      </c>
      <c r="Q30" s="59" t="s">
        <v>1644</v>
      </c>
    </row>
    <row r="31" spans="1:17">
      <c r="A31" s="35" t="s">
        <v>1710</v>
      </c>
      <c r="B31" s="36" t="s">
        <v>1711</v>
      </c>
      <c r="C31" s="59" t="s">
        <v>1647</v>
      </c>
      <c r="D31" s="59" t="s">
        <v>1639</v>
      </c>
      <c r="E31" s="60" t="str">
        <f t="shared" si="0"/>
        <v>Iniciado</v>
      </c>
      <c r="F31" s="61" cm="1">
        <f t="array" ref="F31">_xlfn.IFS(E31="No Asignado",0,E31="Iniciado",0.2,E31="RevA",0.4,E31="RevB",0.7,E31="Rev0",1)</f>
        <v>0.2</v>
      </c>
      <c r="G31" s="59" t="s">
        <v>1654</v>
      </c>
      <c r="H31" s="59" t="s">
        <v>1680</v>
      </c>
      <c r="I31" s="62">
        <v>45342</v>
      </c>
      <c r="J31" s="62" t="s">
        <v>1648</v>
      </c>
      <c r="K31" s="62" t="s">
        <v>1648</v>
      </c>
      <c r="L31" s="62" t="s">
        <v>1648</v>
      </c>
      <c r="M31" s="63">
        <v>12</v>
      </c>
      <c r="N31" s="62" t="s">
        <v>1648</v>
      </c>
      <c r="O31" s="59" t="s">
        <v>1642</v>
      </c>
      <c r="P31" s="59" t="s">
        <v>1643</v>
      </c>
      <c r="Q31" s="59" t="s">
        <v>1644</v>
      </c>
    </row>
    <row r="32" spans="1:17">
      <c r="A32" s="35" t="s">
        <v>1712</v>
      </c>
      <c r="B32" s="36" t="s">
        <v>1713</v>
      </c>
      <c r="C32" s="59" t="s">
        <v>1647</v>
      </c>
      <c r="D32" s="59" t="s">
        <v>1639</v>
      </c>
      <c r="E32" s="60" t="str">
        <f t="shared" si="0"/>
        <v>Rev0</v>
      </c>
      <c r="F32" s="61" cm="1">
        <f t="array" ref="F32">_xlfn.IFS(E32="No Asignado",0,E32="Iniciado",0.2,E32="RevA",0.4,E32="RevB",0.7,E32="Rev0",1)</f>
        <v>1</v>
      </c>
      <c r="G32" s="59" t="s">
        <v>1654</v>
      </c>
      <c r="H32" s="59" t="s">
        <v>1680</v>
      </c>
      <c r="I32" s="62">
        <v>45342</v>
      </c>
      <c r="J32" s="62">
        <v>45352</v>
      </c>
      <c r="K32" s="62">
        <v>45366</v>
      </c>
      <c r="L32" s="62">
        <v>45751</v>
      </c>
      <c r="M32" s="63">
        <v>12</v>
      </c>
      <c r="N32" s="62">
        <v>46111</v>
      </c>
      <c r="O32" s="59" t="s">
        <v>1642</v>
      </c>
      <c r="P32" s="59" t="s">
        <v>1643</v>
      </c>
      <c r="Q32" s="59" t="s">
        <v>1644</v>
      </c>
    </row>
    <row r="33" spans="1:17">
      <c r="A33" s="35" t="s">
        <v>1714</v>
      </c>
      <c r="B33" s="36" t="s">
        <v>1715</v>
      </c>
      <c r="C33" s="59" t="s">
        <v>1647</v>
      </c>
      <c r="D33" s="59" t="s">
        <v>1639</v>
      </c>
      <c r="E33" s="60" t="str">
        <f t="shared" si="0"/>
        <v>Rev0</v>
      </c>
      <c r="F33" s="61" cm="1">
        <f t="array" ref="F33">_xlfn.IFS(E33="No Asignado",0,E33="Iniciado",0.2,E33="RevA",0.4,E33="RevB",0.7,E33="Rev0",1)</f>
        <v>1</v>
      </c>
      <c r="G33" s="59" t="s">
        <v>1654</v>
      </c>
      <c r="H33" s="59" t="s">
        <v>1680</v>
      </c>
      <c r="I33" s="62">
        <v>45342</v>
      </c>
      <c r="J33" s="62">
        <v>45352</v>
      </c>
      <c r="K33" s="62">
        <v>45366</v>
      </c>
      <c r="L33" s="62">
        <v>45751</v>
      </c>
      <c r="M33" s="63">
        <v>12</v>
      </c>
      <c r="N33" s="62">
        <v>46111</v>
      </c>
      <c r="O33" s="59" t="s">
        <v>1642</v>
      </c>
      <c r="P33" s="59" t="s">
        <v>1643</v>
      </c>
      <c r="Q33" s="59" t="s">
        <v>1644</v>
      </c>
    </row>
    <row r="34" spans="1:17">
      <c r="A34" s="35" t="s">
        <v>1716</v>
      </c>
      <c r="B34" s="36" t="s">
        <v>1717</v>
      </c>
      <c r="C34" s="59" t="s">
        <v>1647</v>
      </c>
      <c r="D34" s="59" t="s">
        <v>1639</v>
      </c>
      <c r="E34" s="60" t="str">
        <f t="shared" si="0"/>
        <v>RevB</v>
      </c>
      <c r="F34" s="61" cm="1">
        <f t="array" ref="F34">_xlfn.IFS(E34="No Asignado",0,E34="Iniciado",0.2,E34="RevA",0.4,E34="RevB",0.7,E34="Rev0",1)</f>
        <v>0.7</v>
      </c>
      <c r="G34" s="59" t="s">
        <v>1654</v>
      </c>
      <c r="H34" s="59" t="s">
        <v>1680</v>
      </c>
      <c r="I34" s="62">
        <v>45342</v>
      </c>
      <c r="J34" s="62">
        <v>45352</v>
      </c>
      <c r="K34" s="62">
        <v>45366</v>
      </c>
      <c r="L34" s="62" t="s">
        <v>1648</v>
      </c>
      <c r="M34" s="63">
        <v>12</v>
      </c>
      <c r="N34" s="62" t="s">
        <v>1648</v>
      </c>
      <c r="O34" s="59" t="s">
        <v>1642</v>
      </c>
      <c r="P34" s="59" t="s">
        <v>1643</v>
      </c>
      <c r="Q34" s="59" t="s">
        <v>1644</v>
      </c>
    </row>
    <row r="35" spans="1:17" ht="26.45">
      <c r="A35" s="35" t="s">
        <v>1718</v>
      </c>
      <c r="B35" s="36" t="s">
        <v>1719</v>
      </c>
      <c r="C35" s="59" t="s">
        <v>1647</v>
      </c>
      <c r="D35" s="59" t="s">
        <v>1639</v>
      </c>
      <c r="E35" s="60" t="str">
        <f t="shared" si="0"/>
        <v>RevA</v>
      </c>
      <c r="F35" s="61" cm="1">
        <f t="array" ref="F35">_xlfn.IFS(E35="No Asignado",0,E35="Iniciado",0.2,E35="RevA",0.4,E35="RevB",0.7,E35="Rev0",1)</f>
        <v>0.4</v>
      </c>
      <c r="G35" s="59" t="s">
        <v>1640</v>
      </c>
      <c r="H35" s="59" t="s">
        <v>1680</v>
      </c>
      <c r="I35" s="62">
        <v>45342</v>
      </c>
      <c r="J35" s="62">
        <v>45352</v>
      </c>
      <c r="K35" s="62" t="s">
        <v>1648</v>
      </c>
      <c r="L35" s="62" t="s">
        <v>1648</v>
      </c>
      <c r="M35" s="63">
        <v>12</v>
      </c>
      <c r="N35" s="62" t="s">
        <v>1648</v>
      </c>
      <c r="O35" s="59" t="s">
        <v>1642</v>
      </c>
      <c r="P35" s="59" t="s">
        <v>1643</v>
      </c>
      <c r="Q35" s="59" t="s">
        <v>1644</v>
      </c>
    </row>
    <row r="36" spans="1:17">
      <c r="A36" s="35" t="s">
        <v>1720</v>
      </c>
      <c r="B36" s="36" t="s">
        <v>1721</v>
      </c>
      <c r="C36" s="59" t="s">
        <v>1647</v>
      </c>
      <c r="D36" s="59" t="s">
        <v>1639</v>
      </c>
      <c r="E36" s="60" t="str">
        <f t="shared" si="0"/>
        <v>No Asignado</v>
      </c>
      <c r="F36" s="61" cm="1">
        <f t="array" ref="F36">_xlfn.IFS(E36="No Asignado",0,E36="Iniciado",0.2,E36="RevA",0.4,E36="RevB",0.7,E36="Rev0",1)</f>
        <v>0</v>
      </c>
      <c r="G36" s="59" t="s">
        <v>1640</v>
      </c>
      <c r="H36" s="59" t="s">
        <v>1680</v>
      </c>
      <c r="I36" s="62">
        <v>0</v>
      </c>
      <c r="J36" s="62" t="s">
        <v>1648</v>
      </c>
      <c r="K36" s="62" t="s">
        <v>1648</v>
      </c>
      <c r="L36" s="62" t="s">
        <v>1648</v>
      </c>
      <c r="M36" s="63">
        <v>12</v>
      </c>
      <c r="N36" s="62" t="s">
        <v>1648</v>
      </c>
      <c r="O36" s="59" t="s">
        <v>1642</v>
      </c>
      <c r="P36" s="59" t="s">
        <v>1643</v>
      </c>
      <c r="Q36" s="59" t="s">
        <v>1644</v>
      </c>
    </row>
    <row r="37" spans="1:17">
      <c r="A37" s="35" t="s">
        <v>1722</v>
      </c>
      <c r="B37" s="36" t="s">
        <v>1723</v>
      </c>
      <c r="C37" s="59" t="s">
        <v>1724</v>
      </c>
      <c r="D37" s="59" t="s">
        <v>1639</v>
      </c>
      <c r="E37" s="60" t="str">
        <f t="shared" si="0"/>
        <v>No Asignado</v>
      </c>
      <c r="F37" s="61" cm="1">
        <f t="array" ref="F37">_xlfn.IFS(E37="No Asignado",0,E37="Iniciado",0.2,E37="RevA",0.4,E37="RevB",0.7,E37="Rev0",1)</f>
        <v>0</v>
      </c>
      <c r="G37" s="59" t="s">
        <v>1725</v>
      </c>
      <c r="H37" s="59" t="s">
        <v>1680</v>
      </c>
      <c r="I37" s="62">
        <v>0</v>
      </c>
      <c r="J37" s="62" t="s">
        <v>1648</v>
      </c>
      <c r="K37" s="62" t="s">
        <v>1648</v>
      </c>
      <c r="L37" s="62" t="s">
        <v>1648</v>
      </c>
      <c r="M37" s="63">
        <v>12</v>
      </c>
      <c r="N37" s="62" t="s">
        <v>1648</v>
      </c>
      <c r="O37" s="59" t="s">
        <v>1642</v>
      </c>
      <c r="P37" s="59" t="s">
        <v>1643</v>
      </c>
      <c r="Q37" s="59" t="s">
        <v>1644</v>
      </c>
    </row>
    <row r="38" spans="1:17">
      <c r="A38" s="35" t="s">
        <v>1726</v>
      </c>
      <c r="B38" s="36" t="s">
        <v>1727</v>
      </c>
      <c r="C38" s="59" t="s">
        <v>1638</v>
      </c>
      <c r="D38" s="59" t="s">
        <v>1639</v>
      </c>
      <c r="E38" s="60" t="str">
        <f t="shared" si="0"/>
        <v>No Asignado</v>
      </c>
      <c r="F38" s="61" cm="1">
        <f t="array" ref="F38">_xlfn.IFS(E38="No Asignado",0,E38="Iniciado",0.2,E38="RevA",0.4,E38="RevB",0.7,E38="Rev0",1)</f>
        <v>0</v>
      </c>
      <c r="G38" s="59" t="s">
        <v>1725</v>
      </c>
      <c r="H38" s="59" t="s">
        <v>1680</v>
      </c>
      <c r="I38" s="62">
        <v>0</v>
      </c>
      <c r="J38" s="62" t="s">
        <v>1648</v>
      </c>
      <c r="K38" s="62" t="s">
        <v>1648</v>
      </c>
      <c r="L38" s="62" t="s">
        <v>1648</v>
      </c>
      <c r="M38" s="63">
        <v>36</v>
      </c>
      <c r="N38" s="62" t="s">
        <v>1648</v>
      </c>
      <c r="O38" s="59" t="s">
        <v>1642</v>
      </c>
      <c r="P38" s="59" t="s">
        <v>1643</v>
      </c>
      <c r="Q38" s="59" t="s">
        <v>1644</v>
      </c>
    </row>
    <row r="39" spans="1:17">
      <c r="A39" s="35" t="s">
        <v>1728</v>
      </c>
      <c r="B39" s="36" t="s">
        <v>1729</v>
      </c>
      <c r="C39" s="59" t="s">
        <v>1657</v>
      </c>
      <c r="D39" s="59" t="s">
        <v>1639</v>
      </c>
      <c r="E39" s="60" t="str">
        <f t="shared" si="0"/>
        <v>No Asignado</v>
      </c>
      <c r="F39" s="61" cm="1">
        <f t="array" ref="F39">_xlfn.IFS(E39="No Asignado",0,E39="Iniciado",0.2,E39="RevA",0.4,E39="RevB",0.7,E39="Rev0",1)</f>
        <v>0</v>
      </c>
      <c r="G39" s="59" t="s">
        <v>1725</v>
      </c>
      <c r="H39" s="59" t="s">
        <v>1680</v>
      </c>
      <c r="I39" s="62">
        <v>0</v>
      </c>
      <c r="J39" s="62" t="s">
        <v>1648</v>
      </c>
      <c r="K39" s="62" t="s">
        <v>1648</v>
      </c>
      <c r="L39" s="62" t="s">
        <v>1648</v>
      </c>
      <c r="M39" s="63">
        <v>6</v>
      </c>
      <c r="N39" s="62" t="s">
        <v>1648</v>
      </c>
      <c r="O39" s="59" t="s">
        <v>1642</v>
      </c>
      <c r="P39" s="59" t="s">
        <v>1643</v>
      </c>
      <c r="Q39" s="59" t="s">
        <v>1644</v>
      </c>
    </row>
    <row r="40" spans="1:17" ht="19.899999999999999" customHeight="1">
      <c r="A40" s="35" t="s">
        <v>1730</v>
      </c>
      <c r="B40" s="36" t="s">
        <v>1731</v>
      </c>
      <c r="C40" s="59" t="s">
        <v>1705</v>
      </c>
      <c r="D40" s="59" t="s">
        <v>1639</v>
      </c>
      <c r="E40" s="60" t="str">
        <f t="shared" si="0"/>
        <v>Iniciado</v>
      </c>
      <c r="F40" s="61" cm="1">
        <f t="array" ref="F40">_xlfn.IFS(E40="No Asignado",0,E40="Iniciado",0.2,E40="RevA",0.4,E40="RevB",0.7,E40="Rev0",1)</f>
        <v>0.2</v>
      </c>
      <c r="G40" s="59" t="s">
        <v>1725</v>
      </c>
      <c r="H40" s="59" t="s">
        <v>1680</v>
      </c>
      <c r="I40" s="62">
        <v>45347</v>
      </c>
      <c r="J40" s="62" t="s">
        <v>1648</v>
      </c>
      <c r="K40" s="62" t="s">
        <v>1648</v>
      </c>
      <c r="L40" s="62" t="s">
        <v>1648</v>
      </c>
      <c r="M40" s="63">
        <v>12</v>
      </c>
      <c r="N40" s="62" t="s">
        <v>1648</v>
      </c>
      <c r="O40" s="59" t="s">
        <v>1642</v>
      </c>
      <c r="P40" s="59" t="s">
        <v>1643</v>
      </c>
      <c r="Q40" s="59" t="s">
        <v>1644</v>
      </c>
    </row>
    <row r="41" spans="1:17">
      <c r="A41" s="35" t="s">
        <v>1732</v>
      </c>
      <c r="B41" s="36" t="s">
        <v>1733</v>
      </c>
      <c r="C41" s="59" t="s">
        <v>1657</v>
      </c>
      <c r="D41" s="59" t="s">
        <v>1639</v>
      </c>
      <c r="E41" s="60" t="str">
        <f t="shared" si="0"/>
        <v>Rev0</v>
      </c>
      <c r="F41" s="61" cm="1">
        <f t="array" ref="F41">_xlfn.IFS(E41="No Asignado",0,E41="Iniciado",0.2,E41="RevA",0.4,E41="RevB",0.7,E41="Rev0",1)</f>
        <v>1</v>
      </c>
      <c r="G41" s="59" t="s">
        <v>1725</v>
      </c>
      <c r="H41" s="59" t="s">
        <v>1680</v>
      </c>
      <c r="I41" s="62">
        <v>45347</v>
      </c>
      <c r="J41" s="62">
        <v>45363</v>
      </c>
      <c r="K41" s="62">
        <v>45371</v>
      </c>
      <c r="L41" s="62">
        <v>45752</v>
      </c>
      <c r="M41" s="63">
        <v>6</v>
      </c>
      <c r="N41" s="62">
        <v>45932</v>
      </c>
      <c r="O41" s="59" t="s">
        <v>1642</v>
      </c>
      <c r="P41" s="59" t="s">
        <v>1643</v>
      </c>
      <c r="Q41" s="59" t="s">
        <v>1644</v>
      </c>
    </row>
    <row r="42" spans="1:17">
      <c r="A42" s="35" t="s">
        <v>1734</v>
      </c>
      <c r="B42" s="36" t="s">
        <v>1735</v>
      </c>
      <c r="C42" s="59" t="s">
        <v>1724</v>
      </c>
      <c r="D42" s="59" t="s">
        <v>1639</v>
      </c>
      <c r="E42" s="60" t="str">
        <f t="shared" si="0"/>
        <v>Rev0</v>
      </c>
      <c r="F42" s="61" cm="1">
        <f t="array" ref="F42">_xlfn.IFS(E42="No Asignado",0,E42="Iniciado",0.2,E42="RevA",0.4,E42="RevB",0.7,E42="Rev0",1)</f>
        <v>1</v>
      </c>
      <c r="G42" s="59" t="s">
        <v>1725</v>
      </c>
      <c r="H42" s="59" t="s">
        <v>1680</v>
      </c>
      <c r="I42" s="62">
        <v>45347</v>
      </c>
      <c r="J42" s="62">
        <v>45000</v>
      </c>
      <c r="K42" s="62">
        <v>45371</v>
      </c>
      <c r="L42" s="62">
        <v>45752</v>
      </c>
      <c r="M42" s="63">
        <v>12</v>
      </c>
      <c r="N42" s="62">
        <v>46112</v>
      </c>
      <c r="O42" s="59" t="s">
        <v>1642</v>
      </c>
      <c r="P42" s="59" t="s">
        <v>1643</v>
      </c>
      <c r="Q42" s="59" t="s">
        <v>1644</v>
      </c>
    </row>
    <row r="43" spans="1:17">
      <c r="A43" s="35" t="s">
        <v>1736</v>
      </c>
      <c r="B43" s="36" t="s">
        <v>1737</v>
      </c>
      <c r="C43" s="59" t="s">
        <v>1651</v>
      </c>
      <c r="D43" s="59" t="s">
        <v>1639</v>
      </c>
      <c r="E43" s="60" t="str">
        <f t="shared" si="0"/>
        <v>RevB</v>
      </c>
      <c r="F43" s="61" cm="1">
        <f t="array" ref="F43">_xlfn.IFS(E43="No Asignado",0,E43="Iniciado",0.2,E43="RevA",0.4,E43="RevB",0.7,E43="Rev0",1)</f>
        <v>0.7</v>
      </c>
      <c r="G43" s="59" t="s">
        <v>1640</v>
      </c>
      <c r="H43" s="59" t="s">
        <v>1680</v>
      </c>
      <c r="I43" s="62">
        <v>45347</v>
      </c>
      <c r="J43" s="62">
        <v>45000</v>
      </c>
      <c r="K43" s="62">
        <v>45371</v>
      </c>
      <c r="L43" s="62" t="s">
        <v>1648</v>
      </c>
      <c r="M43" s="63">
        <v>6</v>
      </c>
      <c r="N43" s="62" t="s">
        <v>1648</v>
      </c>
      <c r="O43" s="59" t="s">
        <v>1642</v>
      </c>
      <c r="P43" s="59" t="s">
        <v>1643</v>
      </c>
      <c r="Q43" s="59" t="s">
        <v>1644</v>
      </c>
    </row>
    <row r="44" spans="1:17">
      <c r="A44" s="35" t="s">
        <v>1738</v>
      </c>
      <c r="B44" s="36" t="s">
        <v>1739</v>
      </c>
      <c r="C44" s="59" t="s">
        <v>1724</v>
      </c>
      <c r="D44" s="59" t="s">
        <v>1639</v>
      </c>
      <c r="E44" s="60" t="str">
        <f t="shared" si="0"/>
        <v>Iniciado</v>
      </c>
      <c r="F44" s="61" cm="1">
        <f t="array" ref="F44">_xlfn.IFS(E44="No Asignado",0,E44="Iniciado",0.2,E44="RevA",0.4,E44="RevB",0.7,E44="Rev0",1)</f>
        <v>0.2</v>
      </c>
      <c r="G44" s="59" t="s">
        <v>1640</v>
      </c>
      <c r="H44" s="59" t="s">
        <v>1680</v>
      </c>
      <c r="I44" s="62">
        <v>45347</v>
      </c>
      <c r="J44" s="62" t="s">
        <v>1648</v>
      </c>
      <c r="K44" s="62" t="s">
        <v>1648</v>
      </c>
      <c r="L44" s="62" t="s">
        <v>1648</v>
      </c>
      <c r="M44" s="63">
        <v>12</v>
      </c>
      <c r="N44" s="62" t="s">
        <v>1648</v>
      </c>
      <c r="O44" s="59" t="s">
        <v>1642</v>
      </c>
      <c r="P44" s="59" t="s">
        <v>1643</v>
      </c>
      <c r="Q44" s="59" t="s">
        <v>1644</v>
      </c>
    </row>
    <row r="45" spans="1:17">
      <c r="A45" s="35" t="s">
        <v>1740</v>
      </c>
      <c r="B45" s="37" t="s">
        <v>1741</v>
      </c>
      <c r="C45" s="59" t="s">
        <v>1724</v>
      </c>
      <c r="D45" s="59" t="s">
        <v>1639</v>
      </c>
      <c r="E45" s="60" t="str">
        <f t="shared" si="0"/>
        <v>Iniciado</v>
      </c>
      <c r="F45" s="61" cm="1">
        <f t="array" ref="F45">_xlfn.IFS(E45="No Asignado",0,E45="Iniciado",0.2,E45="RevA",0.4,E45="RevB",0.7,E45="Rev0",1)</f>
        <v>0.2</v>
      </c>
      <c r="G45" s="59" t="s">
        <v>1640</v>
      </c>
      <c r="H45" s="59" t="s">
        <v>1680</v>
      </c>
      <c r="I45" s="62">
        <v>45352</v>
      </c>
      <c r="J45" s="62" t="s">
        <v>1648</v>
      </c>
      <c r="K45" s="62" t="s">
        <v>1648</v>
      </c>
      <c r="L45" s="62" t="s">
        <v>1648</v>
      </c>
      <c r="M45" s="63">
        <v>12</v>
      </c>
      <c r="N45" s="62" t="s">
        <v>1648</v>
      </c>
      <c r="O45" s="59" t="s">
        <v>1642</v>
      </c>
      <c r="P45" s="59" t="s">
        <v>1643</v>
      </c>
      <c r="Q45" s="59" t="s">
        <v>1644</v>
      </c>
    </row>
    <row r="46" spans="1:17">
      <c r="A46" s="35" t="s">
        <v>1742</v>
      </c>
      <c r="B46" s="36" t="s">
        <v>1743</v>
      </c>
      <c r="C46" s="59" t="s">
        <v>1651</v>
      </c>
      <c r="D46" s="59" t="s">
        <v>1639</v>
      </c>
      <c r="E46" s="60" t="str">
        <f t="shared" si="0"/>
        <v>Rev0</v>
      </c>
      <c r="F46" s="61" cm="1">
        <f t="array" ref="F46">_xlfn.IFS(E46="No Asignado",0,E46="Iniciado",0.2,E46="RevA",0.4,E46="RevB",0.7,E46="Rev0",1)</f>
        <v>1</v>
      </c>
      <c r="G46" s="59" t="s">
        <v>1640</v>
      </c>
      <c r="H46" s="59" t="s">
        <v>1680</v>
      </c>
      <c r="I46" s="62">
        <v>45352</v>
      </c>
      <c r="J46" s="62">
        <v>45034</v>
      </c>
      <c r="K46" s="62">
        <v>45381</v>
      </c>
      <c r="L46" s="62">
        <v>45752</v>
      </c>
      <c r="M46" s="63">
        <v>6</v>
      </c>
      <c r="N46" s="62">
        <v>45932</v>
      </c>
      <c r="O46" s="59" t="s">
        <v>1642</v>
      </c>
      <c r="P46" s="59" t="s">
        <v>1643</v>
      </c>
      <c r="Q46" s="59" t="s">
        <v>1644</v>
      </c>
    </row>
    <row r="47" spans="1:17">
      <c r="A47" s="35" t="s">
        <v>1744</v>
      </c>
      <c r="B47" s="36" t="s">
        <v>1745</v>
      </c>
      <c r="C47" s="59" t="s">
        <v>1724</v>
      </c>
      <c r="D47" s="59" t="s">
        <v>1639</v>
      </c>
      <c r="E47" s="60" t="str">
        <f t="shared" si="0"/>
        <v>Rev0</v>
      </c>
      <c r="F47" s="61" cm="1">
        <f t="array" ref="F47">_xlfn.IFS(E47="No Asignado",0,E47="Iniciado",0.2,E47="RevA",0.4,E47="RevB",0.7,E47="Rev0",1)</f>
        <v>1</v>
      </c>
      <c r="G47" s="59" t="s">
        <v>1679</v>
      </c>
      <c r="H47" s="59" t="s">
        <v>1680</v>
      </c>
      <c r="I47" s="62">
        <v>45352</v>
      </c>
      <c r="J47" s="62">
        <v>45034</v>
      </c>
      <c r="K47" s="62">
        <v>45381</v>
      </c>
      <c r="L47" s="62">
        <v>45752</v>
      </c>
      <c r="M47" s="63">
        <v>12</v>
      </c>
      <c r="N47" s="62">
        <v>46112</v>
      </c>
      <c r="O47" s="59" t="s">
        <v>1642</v>
      </c>
      <c r="P47" s="59" t="s">
        <v>1643</v>
      </c>
      <c r="Q47" s="59" t="s">
        <v>1644</v>
      </c>
    </row>
    <row r="48" spans="1:17" ht="26.45">
      <c r="A48" s="35" t="s">
        <v>1746</v>
      </c>
      <c r="B48" s="36" t="s">
        <v>1747</v>
      </c>
      <c r="C48" s="59" t="s">
        <v>1647</v>
      </c>
      <c r="D48" s="59" t="s">
        <v>1639</v>
      </c>
      <c r="E48" s="60" t="str">
        <f t="shared" si="0"/>
        <v>Rev0</v>
      </c>
      <c r="F48" s="61" cm="1">
        <f t="array" ref="F48">_xlfn.IFS(E48="No Asignado",0,E48="Iniciado",0.2,E48="RevA",0.4,E48="RevB",0.7,E48="Rev0",1)</f>
        <v>1</v>
      </c>
      <c r="G48" s="59" t="s">
        <v>1679</v>
      </c>
      <c r="H48" s="59" t="s">
        <v>1680</v>
      </c>
      <c r="I48" s="62">
        <v>45352</v>
      </c>
      <c r="J48" s="62">
        <v>45034</v>
      </c>
      <c r="K48" s="62">
        <v>45381</v>
      </c>
      <c r="L48" s="62">
        <v>45752</v>
      </c>
      <c r="M48" s="63">
        <v>12</v>
      </c>
      <c r="N48" s="62">
        <v>46112</v>
      </c>
      <c r="O48" s="59" t="s">
        <v>1642</v>
      </c>
      <c r="P48" s="59" t="s">
        <v>1643</v>
      </c>
      <c r="Q48" s="59" t="s">
        <v>1644</v>
      </c>
    </row>
    <row r="49" spans="1:17" ht="26.45">
      <c r="A49" s="35" t="s">
        <v>1748</v>
      </c>
      <c r="B49" s="36" t="s">
        <v>1749</v>
      </c>
      <c r="C49" s="59" t="s">
        <v>1647</v>
      </c>
      <c r="D49" s="59" t="s">
        <v>1639</v>
      </c>
      <c r="E49" s="60" t="str">
        <f t="shared" si="0"/>
        <v>RevB</v>
      </c>
      <c r="F49" s="61" cm="1">
        <f t="array" ref="F49">_xlfn.IFS(E49="No Asignado",0,E49="Iniciado",0.2,E49="RevA",0.4,E49="RevB",0.7,E49="Rev0",1)</f>
        <v>0.7</v>
      </c>
      <c r="G49" s="59" t="s">
        <v>1640</v>
      </c>
      <c r="H49" s="59" t="s">
        <v>1680</v>
      </c>
      <c r="I49" s="62">
        <v>45352</v>
      </c>
      <c r="J49" s="62">
        <v>45034</v>
      </c>
      <c r="K49" s="62">
        <v>45381</v>
      </c>
      <c r="L49" s="62" t="s">
        <v>1648</v>
      </c>
      <c r="M49" s="63">
        <v>12</v>
      </c>
      <c r="N49" s="62" t="s">
        <v>1648</v>
      </c>
      <c r="O49" s="59" t="s">
        <v>1642</v>
      </c>
      <c r="P49" s="59" t="s">
        <v>1643</v>
      </c>
      <c r="Q49" s="59" t="s">
        <v>1644</v>
      </c>
    </row>
    <row r="50" spans="1:17" ht="26.45">
      <c r="A50" s="35" t="s">
        <v>1750</v>
      </c>
      <c r="B50" s="36" t="s">
        <v>1751</v>
      </c>
      <c r="C50" s="59" t="s">
        <v>1647</v>
      </c>
      <c r="D50" s="59" t="s">
        <v>1639</v>
      </c>
      <c r="E50" s="60" t="str">
        <f t="shared" si="0"/>
        <v>RevA</v>
      </c>
      <c r="F50" s="61" cm="1">
        <f t="array" ref="F50">_xlfn.IFS(E50="No Asignado",0,E50="Iniciado",0.2,E50="RevA",0.4,E50="RevB",0.7,E50="Rev0",1)</f>
        <v>0.4</v>
      </c>
      <c r="G50" s="59" t="s">
        <v>1640</v>
      </c>
      <c r="H50" s="59" t="s">
        <v>1680</v>
      </c>
      <c r="I50" s="62">
        <v>45352</v>
      </c>
      <c r="J50" s="62">
        <v>45034</v>
      </c>
      <c r="K50" s="62" t="s">
        <v>1648</v>
      </c>
      <c r="L50" s="62" t="s">
        <v>1648</v>
      </c>
      <c r="M50" s="63">
        <v>12</v>
      </c>
      <c r="N50" s="62" t="s">
        <v>1648</v>
      </c>
      <c r="O50" s="59" t="s">
        <v>1642</v>
      </c>
      <c r="P50" s="59" t="s">
        <v>1643</v>
      </c>
      <c r="Q50" s="59" t="s">
        <v>1644</v>
      </c>
    </row>
    <row r="51" spans="1:17" ht="20.45" customHeight="1">
      <c r="A51" s="35" t="s">
        <v>1752</v>
      </c>
      <c r="B51" s="36" t="s">
        <v>1753</v>
      </c>
      <c r="C51" s="59" t="s">
        <v>1647</v>
      </c>
      <c r="D51" s="59" t="s">
        <v>1639</v>
      </c>
      <c r="E51" s="60" t="str">
        <f t="shared" si="0"/>
        <v>Rev0</v>
      </c>
      <c r="F51" s="61" cm="1">
        <f t="array" ref="F51">_xlfn.IFS(E51="No Asignado",0,E51="Iniciado",0.2,E51="RevA",0.4,E51="RevB",0.7,E51="Rev0",1)</f>
        <v>1</v>
      </c>
      <c r="G51" s="59" t="s">
        <v>1754</v>
      </c>
      <c r="H51" s="59" t="s">
        <v>1680</v>
      </c>
      <c r="I51" s="62">
        <v>45352</v>
      </c>
      <c r="J51" s="62">
        <v>45034</v>
      </c>
      <c r="K51" s="62">
        <v>45381</v>
      </c>
      <c r="L51" s="62">
        <v>45752</v>
      </c>
      <c r="M51" s="63">
        <v>12</v>
      </c>
      <c r="N51" s="62">
        <v>46112</v>
      </c>
      <c r="O51" s="59" t="s">
        <v>1642</v>
      </c>
      <c r="P51" s="59" t="s">
        <v>1643</v>
      </c>
      <c r="Q51" s="59" t="s">
        <v>1644</v>
      </c>
    </row>
    <row r="52" spans="1:17">
      <c r="A52" s="23"/>
      <c r="B52" s="24"/>
    </row>
    <row r="53" spans="1:17">
      <c r="A53" s="23"/>
      <c r="B53" s="24"/>
    </row>
    <row r="54" spans="1:17">
      <c r="A54" s="23"/>
      <c r="B54" s="24"/>
    </row>
    <row r="55" spans="1:17">
      <c r="A55" s="23"/>
      <c r="B55" s="24"/>
    </row>
    <row r="56" spans="1:17">
      <c r="A56" s="23"/>
      <c r="B56" s="24"/>
    </row>
    <row r="57" spans="1:17">
      <c r="A57" s="23"/>
      <c r="B57" s="24"/>
    </row>
    <row r="58" spans="1:17">
      <c r="A58" s="23"/>
      <c r="B58" s="24"/>
    </row>
    <row r="59" spans="1:17">
      <c r="A59" s="23"/>
      <c r="B59" s="24"/>
    </row>
    <row r="60" spans="1:17">
      <c r="A60" s="23"/>
      <c r="B60" s="24"/>
    </row>
    <row r="61" spans="1:17">
      <c r="A61" s="23"/>
      <c r="B61" s="24"/>
    </row>
    <row r="62" spans="1:17">
      <c r="A62" s="23"/>
      <c r="B62" s="24"/>
    </row>
    <row r="63" spans="1:17">
      <c r="A63" s="23"/>
      <c r="B63" s="24"/>
    </row>
    <row r="64" spans="1:17">
      <c r="A64" s="23"/>
      <c r="B64" s="24"/>
    </row>
    <row r="65" spans="1:2">
      <c r="A65" s="23"/>
      <c r="B65" s="24"/>
    </row>
    <row r="66" spans="1:2">
      <c r="A66" s="23"/>
      <c r="B66" s="24"/>
    </row>
    <row r="67" spans="1:2">
      <c r="A67" s="23"/>
      <c r="B67" s="24"/>
    </row>
    <row r="68" spans="1:2">
      <c r="A68" s="23"/>
      <c r="B68" s="24"/>
    </row>
    <row r="69" spans="1:2">
      <c r="A69" s="23"/>
      <c r="B69" s="24"/>
    </row>
    <row r="70" spans="1:2">
      <c r="A70" s="23"/>
      <c r="B70" s="24"/>
    </row>
    <row r="71" spans="1:2">
      <c r="A71" s="23"/>
      <c r="B71" s="24"/>
    </row>
    <row r="72" spans="1:2">
      <c r="A72" s="23"/>
      <c r="B72" s="24"/>
    </row>
    <row r="73" spans="1:2">
      <c r="A73" s="23"/>
      <c r="B73" s="24"/>
    </row>
    <row r="74" spans="1:2">
      <c r="A74" s="23"/>
      <c r="B74" s="24"/>
    </row>
    <row r="75" spans="1:2">
      <c r="A75" s="23"/>
      <c r="B75" s="24"/>
    </row>
    <row r="76" spans="1:2">
      <c r="A76" s="23"/>
      <c r="B76" s="24"/>
    </row>
    <row r="77" spans="1:2">
      <c r="A77" s="23"/>
      <c r="B77" s="24"/>
    </row>
    <row r="78" spans="1:2">
      <c r="A78" s="23"/>
      <c r="B78" s="24"/>
    </row>
    <row r="79" spans="1:2">
      <c r="A79" s="23"/>
      <c r="B79" s="24"/>
    </row>
    <row r="80" spans="1:2">
      <c r="A80" s="23"/>
      <c r="B80" s="24"/>
    </row>
    <row r="81" spans="1:2">
      <c r="A81" s="23"/>
      <c r="B81" s="24"/>
    </row>
    <row r="82" spans="1:2">
      <c r="A82" s="23"/>
      <c r="B82" s="24"/>
    </row>
    <row r="83" spans="1:2">
      <c r="A83" s="23"/>
      <c r="B83" s="24"/>
    </row>
    <row r="84" spans="1:2">
      <c r="A84" s="23"/>
      <c r="B84" s="24"/>
    </row>
    <row r="85" spans="1:2">
      <c r="A85" s="23"/>
      <c r="B85" s="24"/>
    </row>
    <row r="86" spans="1:2">
      <c r="A86" s="23"/>
      <c r="B86" s="24"/>
    </row>
    <row r="87" spans="1:2">
      <c r="A87" s="23"/>
      <c r="B87" s="24"/>
    </row>
    <row r="88" spans="1:2">
      <c r="A88" s="23"/>
      <c r="B88" s="24"/>
    </row>
    <row r="89" spans="1:2">
      <c r="A89" s="23"/>
      <c r="B89" s="24"/>
    </row>
    <row r="90" spans="1:2">
      <c r="A90" s="23"/>
      <c r="B90" s="24"/>
    </row>
    <row r="91" spans="1:2">
      <c r="A91" s="23"/>
      <c r="B91" s="24"/>
    </row>
    <row r="92" spans="1:2">
      <c r="A92" s="23"/>
      <c r="B92" s="24"/>
    </row>
    <row r="93" spans="1:2">
      <c r="A93" s="23"/>
      <c r="B93" s="24"/>
    </row>
    <row r="94" spans="1:2">
      <c r="A94" s="23"/>
      <c r="B94" s="24"/>
    </row>
    <row r="95" spans="1:2">
      <c r="A95" s="23"/>
      <c r="B95" s="24"/>
    </row>
    <row r="96" spans="1:2">
      <c r="A96" s="23"/>
      <c r="B96" s="24"/>
    </row>
    <row r="97" spans="1:2">
      <c r="A97" s="23"/>
      <c r="B97" s="24"/>
    </row>
    <row r="98" spans="1:2">
      <c r="A98" s="23"/>
      <c r="B98" s="24"/>
    </row>
    <row r="99" spans="1:2">
      <c r="A99" s="23"/>
      <c r="B99" s="24"/>
    </row>
    <row r="100" spans="1:2">
      <c r="A100" s="23"/>
      <c r="B100" s="24"/>
    </row>
    <row r="101" spans="1:2">
      <c r="A101" s="23"/>
      <c r="B101" s="24"/>
    </row>
    <row r="102" spans="1:2">
      <c r="A102" s="23"/>
      <c r="B102" s="24"/>
    </row>
    <row r="103" spans="1:2">
      <c r="A103" s="23"/>
      <c r="B103" s="24"/>
    </row>
    <row r="104" spans="1:2">
      <c r="A104" s="23"/>
      <c r="B104" s="24"/>
    </row>
    <row r="105" spans="1:2">
      <c r="A105" s="23"/>
      <c r="B105" s="24"/>
    </row>
    <row r="106" spans="1:2">
      <c r="A106" s="23"/>
      <c r="B106" s="24"/>
    </row>
    <row r="107" spans="1:2">
      <c r="A107" s="23"/>
      <c r="B107" s="24"/>
    </row>
    <row r="108" spans="1:2">
      <c r="A108" s="23"/>
      <c r="B108" s="24"/>
    </row>
    <row r="109" spans="1:2">
      <c r="A109" s="23"/>
      <c r="B109" s="24"/>
    </row>
    <row r="110" spans="1:2">
      <c r="A110" s="23"/>
      <c r="B110" s="24"/>
    </row>
    <row r="111" spans="1:2">
      <c r="A111" s="23"/>
      <c r="B111" s="24"/>
    </row>
    <row r="112" spans="1:2">
      <c r="A112" s="23"/>
      <c r="B112" s="24"/>
    </row>
    <row r="113" spans="1:2">
      <c r="A113" s="23"/>
      <c r="B113" s="24"/>
    </row>
    <row r="114" spans="1:2">
      <c r="A114" s="23"/>
      <c r="B114" s="24"/>
    </row>
    <row r="115" spans="1:2">
      <c r="A115" s="23"/>
      <c r="B115" s="24"/>
    </row>
    <row r="116" spans="1:2">
      <c r="A116" s="23"/>
      <c r="B116" s="24"/>
    </row>
    <row r="117" spans="1:2">
      <c r="A117" s="23"/>
      <c r="B117" s="24"/>
    </row>
    <row r="118" spans="1:2">
      <c r="A118" s="23"/>
      <c r="B118" s="24"/>
    </row>
    <row r="119" spans="1:2">
      <c r="A119" s="23"/>
      <c r="B119" s="24"/>
    </row>
    <row r="120" spans="1:2">
      <c r="A120" s="23"/>
      <c r="B120" s="24"/>
    </row>
    <row r="121" spans="1:2">
      <c r="A121" s="23"/>
      <c r="B121" s="24"/>
    </row>
    <row r="122" spans="1:2">
      <c r="A122" s="23"/>
      <c r="B122" s="24"/>
    </row>
    <row r="123" spans="1:2">
      <c r="A123" s="23"/>
      <c r="B123" s="24"/>
    </row>
    <row r="124" spans="1:2">
      <c r="A124" s="23"/>
      <c r="B124" s="24"/>
    </row>
    <row r="125" spans="1:2">
      <c r="A125" s="23"/>
      <c r="B125" s="24"/>
    </row>
    <row r="126" spans="1:2">
      <c r="A126" s="23"/>
      <c r="B126" s="24"/>
    </row>
    <row r="127" spans="1:2">
      <c r="A127" s="23"/>
      <c r="B127" s="24"/>
    </row>
    <row r="128" spans="1:2">
      <c r="A128" s="23"/>
      <c r="B128" s="24"/>
    </row>
    <row r="129" spans="1:2">
      <c r="A129" s="23"/>
      <c r="B129" s="24"/>
    </row>
    <row r="130" spans="1:2">
      <c r="A130" s="23"/>
      <c r="B130" s="24"/>
    </row>
    <row r="131" spans="1:2">
      <c r="A131" s="23"/>
      <c r="B131" s="24"/>
    </row>
    <row r="132" spans="1:2">
      <c r="A132" s="23"/>
      <c r="B132" s="24"/>
    </row>
    <row r="133" spans="1:2">
      <c r="A133" s="23"/>
      <c r="B133" s="24"/>
    </row>
    <row r="134" spans="1:2">
      <c r="A134" s="23"/>
      <c r="B134" s="24"/>
    </row>
    <row r="135" spans="1:2">
      <c r="A135" s="23"/>
      <c r="B135" s="24"/>
    </row>
    <row r="136" spans="1:2">
      <c r="A136" s="23"/>
      <c r="B136" s="24"/>
    </row>
    <row r="137" spans="1:2">
      <c r="A137" s="23"/>
      <c r="B137" s="24"/>
    </row>
    <row r="138" spans="1:2">
      <c r="A138" s="23"/>
      <c r="B138" s="24"/>
    </row>
    <row r="139" spans="1:2">
      <c r="A139" s="23"/>
      <c r="B139" s="24"/>
    </row>
    <row r="140" spans="1:2">
      <c r="A140" s="23"/>
      <c r="B140" s="24"/>
    </row>
    <row r="141" spans="1:2">
      <c r="A141" s="23"/>
      <c r="B141" s="24"/>
    </row>
    <row r="142" spans="1:2">
      <c r="A142" s="23"/>
      <c r="B142" s="24"/>
    </row>
    <row r="143" spans="1:2">
      <c r="A143" s="23"/>
      <c r="B143" s="24"/>
    </row>
    <row r="144" spans="1:2">
      <c r="A144" s="23"/>
      <c r="B144" s="24"/>
    </row>
    <row r="145" spans="1:2">
      <c r="A145" s="23"/>
      <c r="B145" s="24"/>
    </row>
    <row r="146" spans="1:2">
      <c r="A146" s="23"/>
      <c r="B146" s="24"/>
    </row>
    <row r="147" spans="1:2">
      <c r="A147" s="23"/>
      <c r="B147" s="24"/>
    </row>
    <row r="148" spans="1:2">
      <c r="A148" s="23"/>
      <c r="B148" s="24"/>
    </row>
    <row r="149" spans="1:2">
      <c r="A149" s="23"/>
      <c r="B149" s="24"/>
    </row>
    <row r="150" spans="1:2">
      <c r="A150" s="23"/>
      <c r="B150" s="24"/>
    </row>
    <row r="151" spans="1:2">
      <c r="A151" s="23"/>
      <c r="B151" s="24"/>
    </row>
    <row r="152" spans="1:2">
      <c r="A152" s="23"/>
      <c r="B152" s="24"/>
    </row>
    <row r="153" spans="1:2">
      <c r="A153" s="23"/>
      <c r="B153" s="24"/>
    </row>
    <row r="154" spans="1:2">
      <c r="A154" s="23"/>
      <c r="B154" s="24"/>
    </row>
    <row r="155" spans="1:2">
      <c r="A155" s="23"/>
      <c r="B155" s="24"/>
    </row>
    <row r="156" spans="1:2">
      <c r="A156" s="23"/>
      <c r="B156" s="24"/>
    </row>
    <row r="157" spans="1:2">
      <c r="A157" s="23"/>
      <c r="B157" s="24"/>
    </row>
    <row r="158" spans="1:2">
      <c r="A158" s="23"/>
      <c r="B158" s="24"/>
    </row>
    <row r="159" spans="1:2">
      <c r="A159" s="23"/>
      <c r="B159" s="24"/>
    </row>
    <row r="160" spans="1:2">
      <c r="A160" s="23"/>
      <c r="B160" s="24"/>
    </row>
    <row r="161" spans="1:2">
      <c r="A161" s="23"/>
      <c r="B161" s="24"/>
    </row>
    <row r="162" spans="1:2">
      <c r="A162" s="23"/>
      <c r="B162" s="24"/>
    </row>
    <row r="163" spans="1:2">
      <c r="A163" s="23"/>
      <c r="B163" s="24"/>
    </row>
    <row r="164" spans="1:2">
      <c r="A164" s="23"/>
      <c r="B164" s="24"/>
    </row>
    <row r="165" spans="1:2">
      <c r="A165" s="23"/>
      <c r="B165" s="24"/>
    </row>
    <row r="166" spans="1:2">
      <c r="A166" s="23"/>
      <c r="B166" s="24"/>
    </row>
    <row r="167" spans="1:2">
      <c r="A167" s="23"/>
      <c r="B167" s="24"/>
    </row>
    <row r="168" spans="1:2">
      <c r="A168" s="23"/>
      <c r="B168" s="24"/>
    </row>
    <row r="169" spans="1:2">
      <c r="A169" s="23"/>
      <c r="B169" s="24"/>
    </row>
    <row r="170" spans="1:2">
      <c r="A170" s="23"/>
      <c r="B170" s="24"/>
    </row>
    <row r="171" spans="1:2">
      <c r="A171" s="23"/>
      <c r="B171" s="24"/>
    </row>
    <row r="172" spans="1:2">
      <c r="A172" s="23"/>
      <c r="B172" s="24"/>
    </row>
    <row r="173" spans="1:2">
      <c r="A173" s="23"/>
      <c r="B173" s="24"/>
    </row>
    <row r="174" spans="1:2">
      <c r="A174" s="23"/>
      <c r="B174" s="24"/>
    </row>
    <row r="175" spans="1:2">
      <c r="A175" s="23"/>
      <c r="B175" s="24"/>
    </row>
    <row r="176" spans="1:2">
      <c r="A176" s="23"/>
      <c r="B176" s="24"/>
    </row>
    <row r="177" spans="1:2">
      <c r="A177" s="23"/>
      <c r="B177" s="24"/>
    </row>
    <row r="178" spans="1:2">
      <c r="A178" s="23"/>
      <c r="B178" s="24"/>
    </row>
    <row r="179" spans="1:2">
      <c r="A179" s="23"/>
      <c r="B179" s="24"/>
    </row>
    <row r="180" spans="1:2">
      <c r="A180" s="23"/>
      <c r="B180" s="24"/>
    </row>
    <row r="181" spans="1:2">
      <c r="A181" s="23"/>
      <c r="B181" s="24"/>
    </row>
    <row r="182" spans="1:2">
      <c r="A182" s="23"/>
      <c r="B182" s="24"/>
    </row>
    <row r="183" spans="1:2">
      <c r="A183" s="23"/>
      <c r="B183" s="24"/>
    </row>
    <row r="184" spans="1:2">
      <c r="A184" s="23"/>
      <c r="B184" s="24"/>
    </row>
    <row r="185" spans="1:2">
      <c r="A185" s="23"/>
      <c r="B185" s="24"/>
    </row>
    <row r="186" spans="1:2">
      <c r="A186" s="23"/>
      <c r="B186" s="24"/>
    </row>
    <row r="187" spans="1:2">
      <c r="A187" s="23"/>
      <c r="B187" s="24"/>
    </row>
    <row r="188" spans="1:2">
      <c r="A188" s="23"/>
      <c r="B188" s="24"/>
    </row>
    <row r="189" spans="1:2">
      <c r="A189" s="23"/>
      <c r="B189" s="24"/>
    </row>
    <row r="190" spans="1:2">
      <c r="A190" s="23"/>
      <c r="B190" s="24"/>
    </row>
    <row r="191" spans="1:2">
      <c r="A191" s="23"/>
      <c r="B191" s="24"/>
    </row>
    <row r="192" spans="1:2">
      <c r="A192" s="23"/>
      <c r="B192" s="24"/>
    </row>
    <row r="193" spans="1:2">
      <c r="A193" s="23"/>
      <c r="B193" s="24"/>
    </row>
    <row r="194" spans="1:2">
      <c r="A194" s="23"/>
      <c r="B194" s="24"/>
    </row>
    <row r="195" spans="1:2">
      <c r="A195" s="23"/>
      <c r="B195" s="24"/>
    </row>
    <row r="196" spans="1:2">
      <c r="A196" s="23"/>
      <c r="B196" s="24"/>
    </row>
    <row r="197" spans="1:2">
      <c r="A197" s="23"/>
      <c r="B197" s="24"/>
    </row>
    <row r="198" spans="1:2">
      <c r="A198" s="23"/>
      <c r="B198" s="24"/>
    </row>
    <row r="199" spans="1:2">
      <c r="A199" s="23"/>
      <c r="B199" s="24"/>
    </row>
    <row r="200" spans="1:2">
      <c r="A200" s="23"/>
      <c r="B200" s="24"/>
    </row>
    <row r="201" spans="1:2">
      <c r="A201" s="23"/>
      <c r="B201" s="24"/>
    </row>
    <row r="202" spans="1:2">
      <c r="A202" s="23"/>
      <c r="B202" s="24"/>
    </row>
    <row r="203" spans="1:2">
      <c r="A203" s="23"/>
      <c r="B203" s="24"/>
    </row>
    <row r="204" spans="1:2">
      <c r="A204" s="23"/>
      <c r="B204" s="24"/>
    </row>
    <row r="205" spans="1:2">
      <c r="A205" s="23"/>
      <c r="B205" s="24"/>
    </row>
    <row r="206" spans="1:2">
      <c r="A206" s="23"/>
      <c r="B206" s="24"/>
    </row>
    <row r="207" spans="1:2">
      <c r="A207" s="23"/>
      <c r="B207" s="24"/>
    </row>
    <row r="208" spans="1:2">
      <c r="A208" s="23"/>
      <c r="B208" s="24"/>
    </row>
    <row r="209" spans="1:2">
      <c r="A209" s="23"/>
      <c r="B209" s="24"/>
    </row>
    <row r="210" spans="1:2">
      <c r="A210" s="23"/>
      <c r="B210" s="24"/>
    </row>
    <row r="211" spans="1:2">
      <c r="A211" s="23"/>
      <c r="B211" s="24"/>
    </row>
    <row r="212" spans="1:2">
      <c r="A212" s="23"/>
      <c r="B212" s="24"/>
    </row>
    <row r="213" spans="1:2">
      <c r="A213" s="23"/>
      <c r="B213" s="24"/>
    </row>
    <row r="214" spans="1:2">
      <c r="A214" s="23"/>
      <c r="B214" s="24"/>
    </row>
    <row r="215" spans="1:2">
      <c r="A215" s="23"/>
      <c r="B215" s="24"/>
    </row>
    <row r="216" spans="1:2">
      <c r="A216" s="23"/>
      <c r="B216" s="24"/>
    </row>
    <row r="217" spans="1:2">
      <c r="A217" s="23"/>
      <c r="B217" s="24"/>
    </row>
    <row r="218" spans="1:2">
      <c r="A218" s="23"/>
      <c r="B218" s="24"/>
    </row>
    <row r="219" spans="1:2">
      <c r="A219" s="23"/>
      <c r="B219" s="24"/>
    </row>
    <row r="220" spans="1:2">
      <c r="A220" s="23"/>
      <c r="B220" s="24"/>
    </row>
    <row r="221" spans="1:2">
      <c r="A221" s="23"/>
      <c r="B221" s="24"/>
    </row>
    <row r="222" spans="1:2">
      <c r="A222" s="23"/>
      <c r="B222" s="24"/>
    </row>
    <row r="223" spans="1:2">
      <c r="A223" s="23"/>
      <c r="B223" s="24"/>
    </row>
    <row r="224" spans="1:2">
      <c r="A224" s="23"/>
      <c r="B224" s="24"/>
    </row>
    <row r="225" spans="1:2">
      <c r="A225" s="23"/>
      <c r="B225" s="24"/>
    </row>
    <row r="226" spans="1:2">
      <c r="A226" s="23"/>
      <c r="B226" s="24"/>
    </row>
    <row r="227" spans="1:2">
      <c r="A227" s="23"/>
      <c r="B227" s="24"/>
    </row>
    <row r="228" spans="1:2">
      <c r="A228" s="23"/>
      <c r="B228" s="24"/>
    </row>
    <row r="229" spans="1:2">
      <c r="A229" s="23"/>
      <c r="B229" s="24"/>
    </row>
    <row r="230" spans="1:2">
      <c r="A230" s="23"/>
      <c r="B230" s="24"/>
    </row>
    <row r="231" spans="1:2">
      <c r="A231" s="23"/>
      <c r="B231" s="24"/>
    </row>
    <row r="232" spans="1:2">
      <c r="A232" s="23"/>
      <c r="B232" s="24"/>
    </row>
    <row r="233" spans="1:2">
      <c r="A233" s="23"/>
      <c r="B233" s="24"/>
    </row>
    <row r="234" spans="1:2">
      <c r="A234" s="23"/>
      <c r="B234" s="24"/>
    </row>
    <row r="235" spans="1:2">
      <c r="A235" s="23"/>
      <c r="B235" s="24"/>
    </row>
    <row r="236" spans="1:2">
      <c r="A236" s="23"/>
      <c r="B236" s="24"/>
    </row>
    <row r="237" spans="1:2">
      <c r="A237" s="23"/>
      <c r="B237" s="24"/>
    </row>
    <row r="238" spans="1:2">
      <c r="A238" s="23"/>
      <c r="B238" s="24"/>
    </row>
    <row r="239" spans="1:2">
      <c r="A239" s="23"/>
      <c r="B239" s="24"/>
    </row>
    <row r="240" spans="1:2">
      <c r="A240" s="23"/>
      <c r="B240" s="24"/>
    </row>
    <row r="241" spans="1:2">
      <c r="A241" s="23"/>
      <c r="B241" s="24"/>
    </row>
    <row r="242" spans="1:2">
      <c r="A242" s="23"/>
      <c r="B242" s="24"/>
    </row>
    <row r="243" spans="1:2">
      <c r="A243" s="23"/>
      <c r="B243" s="24"/>
    </row>
    <row r="244" spans="1:2">
      <c r="A244" s="23"/>
      <c r="B244" s="24"/>
    </row>
    <row r="245" spans="1:2">
      <c r="A245" s="23"/>
      <c r="B245" s="24"/>
    </row>
    <row r="246" spans="1:2">
      <c r="A246" s="23"/>
      <c r="B246" s="24"/>
    </row>
    <row r="247" spans="1:2">
      <c r="A247" s="23"/>
      <c r="B247" s="24"/>
    </row>
    <row r="248" spans="1:2">
      <c r="A248" s="23"/>
      <c r="B248" s="24"/>
    </row>
    <row r="249" spans="1:2">
      <c r="A249" s="23"/>
      <c r="B249" s="24"/>
    </row>
    <row r="250" spans="1:2">
      <c r="A250" s="23"/>
      <c r="B250" s="24"/>
    </row>
    <row r="251" spans="1:2">
      <c r="A251" s="23"/>
      <c r="B251" s="24"/>
    </row>
    <row r="252" spans="1:2">
      <c r="A252" s="23"/>
      <c r="B252" s="24"/>
    </row>
    <row r="253" spans="1:2">
      <c r="A253" s="23"/>
      <c r="B253" s="24"/>
    </row>
    <row r="254" spans="1:2">
      <c r="A254" s="23"/>
      <c r="B254" s="24"/>
    </row>
    <row r="255" spans="1:2">
      <c r="A255" s="23"/>
      <c r="B255" s="24"/>
    </row>
    <row r="256" spans="1:2">
      <c r="A256" s="23"/>
      <c r="B256" s="24"/>
    </row>
    <row r="257" spans="1:2">
      <c r="A257" s="23"/>
      <c r="B257" s="24"/>
    </row>
    <row r="258" spans="1:2">
      <c r="A258" s="23"/>
      <c r="B258" s="24"/>
    </row>
    <row r="259" spans="1:2">
      <c r="A259" s="23"/>
      <c r="B259" s="24"/>
    </row>
    <row r="260" spans="1:2">
      <c r="A260" s="23"/>
      <c r="B260" s="24"/>
    </row>
    <row r="261" spans="1:2">
      <c r="A261" s="23"/>
      <c r="B261" s="24"/>
    </row>
    <row r="262" spans="1:2">
      <c r="A262" s="23"/>
      <c r="B262" s="24"/>
    </row>
  </sheetData>
  <phoneticPr fontId="8" type="noConversion"/>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539B"/>
  </sheetPr>
  <dimension ref="A1:M889"/>
  <sheetViews>
    <sheetView tabSelected="1" zoomScale="80" zoomScaleNormal="80" workbookViewId="0">
      <pane ySplit="1" topLeftCell="A2" activePane="bottomLeft" state="frozen"/>
      <selection pane="bottomLeft" activeCell="K4" sqref="K4"/>
    </sheetView>
  </sheetViews>
  <sheetFormatPr defaultColWidth="8.85546875" defaultRowHeight="14.45"/>
  <cols>
    <col min="1" max="1" width="9.140625" customWidth="1"/>
    <col min="2" max="2" width="48.7109375" customWidth="1"/>
    <col min="3" max="3" width="22.28515625" style="6" customWidth="1"/>
    <col min="4" max="4" width="26.7109375" style="11" customWidth="1"/>
    <col min="5" max="6" width="32" style="11" customWidth="1"/>
    <col min="7" max="8" width="16.7109375" bestFit="1" customWidth="1"/>
    <col min="9" max="9" width="16.28515625" bestFit="1" customWidth="1"/>
    <col min="10" max="10" width="17.140625" customWidth="1"/>
    <col min="11" max="11" width="18" customWidth="1"/>
    <col min="12" max="12" width="16.28515625" style="11" customWidth="1"/>
    <col min="13" max="13" width="23.7109375" customWidth="1"/>
  </cols>
  <sheetData>
    <row r="1" spans="1:13" ht="45" customHeight="1">
      <c r="A1" s="1" t="s">
        <v>866</v>
      </c>
      <c r="B1" s="1" t="s">
        <v>1755</v>
      </c>
      <c r="C1" s="5" t="s">
        <v>1756</v>
      </c>
      <c r="D1" s="17" t="s">
        <v>1619</v>
      </c>
      <c r="E1" s="17" t="s">
        <v>1620</v>
      </c>
      <c r="F1" s="5" t="s">
        <v>1757</v>
      </c>
      <c r="G1" s="5" t="s">
        <v>1758</v>
      </c>
      <c r="H1" s="5" t="s">
        <v>1759</v>
      </c>
      <c r="I1" s="5" t="s">
        <v>1760</v>
      </c>
      <c r="J1" s="5" t="s">
        <v>1761</v>
      </c>
      <c r="K1" s="5" t="s">
        <v>1762</v>
      </c>
      <c r="L1" s="17" t="s">
        <v>1763</v>
      </c>
      <c r="M1" s="17" t="s">
        <v>1763</v>
      </c>
    </row>
    <row r="2" spans="1:13" ht="40.15" customHeight="1">
      <c r="A2" s="8" t="s">
        <v>875</v>
      </c>
      <c r="B2" s="7" t="str">
        <f>IF(A2="","",IFERROR(VLOOKUP(A2,Criterios!$A:$G,7,FALSE),"—"))</f>
        <v>El Operador tiene una política de compromiso para respetar los derechos humanos de acuerdo al UNGP.</v>
      </c>
      <c r="C2" s="33" t="s">
        <v>1764</v>
      </c>
      <c r="D2" s="34" t="s">
        <v>1636</v>
      </c>
      <c r="E2" s="30" t="str">
        <f>IF(D2="","",IFERROR(VLOOKUP(D2,Catalogo_Documentos!$A:$B,2,FALSE),"—"))</f>
        <v>Política corporativa de derechos humanos</v>
      </c>
      <c r="F2" s="65"/>
      <c r="G2" s="66">
        <v>0.33333333333333331</v>
      </c>
      <c r="H2" s="67">
        <v>1</v>
      </c>
      <c r="I2" s="67">
        <f>Relacion[[#This Row],[Ponderación Criterio]]*Relacion[[#This Row],[% Avance Documento]]</f>
        <v>0.33333333333333331</v>
      </c>
      <c r="J2" s="68"/>
      <c r="K2" s="68"/>
      <c r="L2" s="70">
        <f>SUM(I2:I4)</f>
        <v>0.79999999999999993</v>
      </c>
      <c r="M2" s="70" t="str">
        <f>IF(AND(L2&gt;=90%,L2&lt;=100%),"CUMPLE",IF(AND(L2&gt;=1%,L2&lt;90%),"CUMPLE PARCIALMENTE",IF(L2=0%,"NO CUMPLE","NO APLICA")))</f>
        <v>CUMPLE PARCIALMENTE</v>
      </c>
    </row>
    <row r="3" spans="1:13" ht="52.9">
      <c r="A3" s="8" t="s">
        <v>882</v>
      </c>
      <c r="B3" s="7" t="str">
        <f>IF(A3="","",IFERROR(VLOOKUP(A3,Criterios!$A:$G,7,FALSE),"—"))</f>
        <v>El Operador ha realizado el proceso de diligencias de derechos humanos específicas al sitio para informarlas decisiones de gestión a través del ciclo de vida de los relaves.</v>
      </c>
      <c r="C3" s="33" t="s">
        <v>1764</v>
      </c>
      <c r="D3" s="34" t="s">
        <v>1645</v>
      </c>
      <c r="E3" s="30" t="str">
        <f>IF(D3="","",IFERROR(VLOOKUP(D3,Catalogo_Documentos!$A:$B,2,FALSE),"—"))</f>
        <v xml:space="preserve">Debida deligencia de los derechos humanos </v>
      </c>
      <c r="F3" s="65"/>
      <c r="G3" s="66">
        <v>0.33333333333333331</v>
      </c>
      <c r="H3" s="67">
        <v>0.7</v>
      </c>
      <c r="I3" s="67">
        <f>Relacion[[#This Row],[Ponderación Criterio]]*Relacion[[#This Row],[% Avance Documento]]</f>
        <v>0.23333333333333331</v>
      </c>
      <c r="J3" s="68"/>
      <c r="K3" s="68"/>
      <c r="L3" s="71"/>
      <c r="M3" s="71"/>
    </row>
    <row r="4" spans="1:13" ht="52.9">
      <c r="A4" s="8" t="s">
        <v>885</v>
      </c>
      <c r="B4" s="7" t="str">
        <f>IF(A4="","",IFERROR(VLOOKUP(A4,Criterios!$A:$G,7,FALSE),"—"))</f>
        <v>El Operador ha abordado los riesgos a los derechos humanos de los escenarios de falla creíbles de la instalación de relaves donde aquellos escenarios existan para tal instalación.</v>
      </c>
      <c r="C4" s="33" t="s">
        <v>1764</v>
      </c>
      <c r="D4" s="34" t="s">
        <v>1645</v>
      </c>
      <c r="E4" s="30" t="str">
        <f>IF(D4="","",IFERROR(VLOOKUP(D4,Catalogo_Documentos!$A:$B,2,FALSE),"—"))</f>
        <v xml:space="preserve">Debida deligencia de los derechos humanos </v>
      </c>
      <c r="F4" s="65"/>
      <c r="G4" s="66">
        <v>0.33333333333333331</v>
      </c>
      <c r="H4" s="67">
        <v>0.7</v>
      </c>
      <c r="I4" s="67">
        <f>Relacion[[#This Row],[Ponderación Criterio]]*Relacion[[#This Row],[% Avance Documento]]</f>
        <v>0.23333333333333331</v>
      </c>
      <c r="J4" s="68"/>
      <c r="K4" s="68"/>
      <c r="L4" s="71"/>
      <c r="M4" s="71"/>
    </row>
    <row r="5" spans="1:13" ht="55.9" customHeight="1">
      <c r="A5" s="8" t="s">
        <v>888</v>
      </c>
      <c r="B5" s="7" t="str">
        <f>IF(A5="","",IFERROR(VLOOKUP(A5,Criterios!$A:$G,7,FALSE),"—"))</f>
        <v xml:space="preserve">El Operador ha identificado los grupos indígenas o tribales que puedan verse afectados por una nueva instalación de relaves, y entiende como los derechos de estas personas pueden verse impactados, incluyendo sus tierras y derechos a los recursos y su derecho a la libre determinación. </v>
      </c>
      <c r="C5" s="33" t="s">
        <v>1764</v>
      </c>
      <c r="D5" s="34" t="s">
        <v>1658</v>
      </c>
      <c r="E5" s="30" t="str">
        <f>IF(D5="","",IFERROR(VLOOKUP(D5,Catalogo_Documentos!$A:$B,2,FALSE),"—"))</f>
        <v>Estudio de impacto social, medioambiental y económico.</v>
      </c>
      <c r="F5" s="65"/>
      <c r="G5" s="66">
        <v>0.5</v>
      </c>
      <c r="H5" s="67">
        <v>0.2</v>
      </c>
      <c r="I5" s="67">
        <f>Relacion[[#This Row],[Ponderación Criterio]]*Relacion[[#This Row],[% Avance Documento]]</f>
        <v>0.1</v>
      </c>
      <c r="J5" s="68"/>
      <c r="K5" s="68"/>
      <c r="L5" s="70">
        <f>SUM(I5:I6)</f>
        <v>0.2</v>
      </c>
      <c r="M5" s="70" t="str">
        <f>IF(AND(L5&gt;=90%,L5&lt;=100%),"CUMPLE",IF(AND(L5&gt;=1%,L5&lt;90%),"CUMPLE PARCIALMENTE",IF(L5=0%,"NO CUMPLE","NO APLICA")))</f>
        <v>CUMPLE PARCIALMENTE</v>
      </c>
    </row>
    <row r="6" spans="1:13" ht="52.9">
      <c r="A6" s="8" t="s">
        <v>892</v>
      </c>
      <c r="B6" s="7" t="str">
        <f>IF(A6="","",IFERROR(VLOOKUP(A6,Criterios!$A:$G,7,FALSE),"—"))</f>
        <v>El Operador trabaja para obtener y mantener el CLPI por parte de los grupos indígenas o tribales, en cumplimiento con la guía internacional y marco de las mejores prácticas reconocidas.</v>
      </c>
      <c r="C6" s="32" t="s">
        <v>1765</v>
      </c>
      <c r="D6" s="34" t="s">
        <v>1722</v>
      </c>
      <c r="E6" s="30" t="str">
        <f>IF(D6="","",IFERROR(VLOOKUP(D6,Catalogo_Documentos!$A:$B,2,FALSE),"—"))</f>
        <v>Carta de consentimiento público</v>
      </c>
      <c r="F6" s="65" t="s">
        <v>1658</v>
      </c>
      <c r="G6" s="66">
        <v>0.5</v>
      </c>
      <c r="H6" s="67">
        <v>0.2</v>
      </c>
      <c r="I6" s="67">
        <f>Relacion[[#This Row],[Ponderación Criterio]]*Relacion[[#This Row],[% Avance Documento]]</f>
        <v>0.1</v>
      </c>
      <c r="J6" s="68"/>
      <c r="K6" s="68"/>
      <c r="L6" s="71"/>
      <c r="M6" s="71"/>
    </row>
    <row r="7" spans="1:13" ht="26.45">
      <c r="A7" s="8" t="s">
        <v>895</v>
      </c>
      <c r="B7" s="7" t="str">
        <f>IF(A7="","",IFERROR(VLOOKUP(A7,Criterios!$A:$G,7,FALSE),"—"))</f>
        <v>El Operador ha identificado a los grupos afectados por el proyecto.</v>
      </c>
      <c r="C7" s="33" t="s">
        <v>1764</v>
      </c>
      <c r="D7" s="31" t="s">
        <v>1658</v>
      </c>
      <c r="E7" s="30" t="str">
        <f>IF(D7="","",IFERROR(VLOOKUP(D7,Catalogo_Documentos!$A:$B,2,FALSE),"—"))</f>
        <v>Estudio de impacto social, medioambiental y económico.</v>
      </c>
      <c r="F7" s="65"/>
      <c r="G7" s="66">
        <v>0.5</v>
      </c>
      <c r="H7" s="67">
        <v>0.2</v>
      </c>
      <c r="I7" s="67">
        <f>Relacion[[#This Row],[Ponderación Criterio]]*Relacion[[#This Row],[% Avance Documento]]</f>
        <v>0.1</v>
      </c>
      <c r="J7" s="68"/>
      <c r="K7" s="68"/>
      <c r="L7" s="70">
        <f>SUM(I7:I8)</f>
        <v>0.2</v>
      </c>
      <c r="M7" s="70" t="str">
        <f>IF(AND(L7&gt;=90%,L7&lt;=100%),"CUMPLE",IF(AND(L7&gt;=1%,L7&lt;90%),"CUMPLE PARCIALMENTE",IF(L7=0%,"NO CUMPLE","NO APLICA")))</f>
        <v>CUMPLE PARCIALMENTE</v>
      </c>
    </row>
    <row r="8" spans="1:13" ht="145.15">
      <c r="A8" s="8" t="s">
        <v>899</v>
      </c>
      <c r="B8" s="7" t="str">
        <f>IF(A8="","",IFERROR(VLOOKUP(A8,Criterios!$A:$G,7,FALSE),"—"))</f>
        <v>El Operador ha asumido un compromiso significativo con los grupos afectados por el proyecto a través del ciclo de vida de la instalación de relaves para: 
– Compartir información relevante y accesible sobre la instalación de relaves; 
– Construir la base de conocimientos para la instalación de relaves, incluyendo el contexto social, medioambiental y económico local; y, 
– Buscar retroalimentación en las decisiones que pueden tener relación con la seguridad pública y la integridad de la instalación de relaves.</v>
      </c>
      <c r="C8" s="33" t="s">
        <v>1764</v>
      </c>
      <c r="D8" s="31" t="s">
        <v>1658</v>
      </c>
      <c r="E8" s="30" t="str">
        <f>IF(D8="","",IFERROR(VLOOKUP(D8,Catalogo_Documentos!$A:$B,2,FALSE),"—"))</f>
        <v>Estudio de impacto social, medioambiental y económico.</v>
      </c>
      <c r="F8" s="65"/>
      <c r="G8" s="66">
        <v>0.5</v>
      </c>
      <c r="H8" s="67">
        <v>0.2</v>
      </c>
      <c r="I8" s="67">
        <f>Relacion[[#This Row],[Ponderación Criterio]]*Relacion[[#This Row],[% Avance Documento]]</f>
        <v>0.1</v>
      </c>
      <c r="J8" s="68"/>
      <c r="K8" s="68"/>
      <c r="L8" s="71"/>
      <c r="M8" s="71"/>
    </row>
    <row r="9" spans="1:13" ht="39.6">
      <c r="A9" s="8" t="s">
        <v>902</v>
      </c>
      <c r="B9" s="7" t="str">
        <f>IF(A9="","",IFERROR(VLOOKUP(A9,Criterios!$A:$G,7,FALSE),"—"))</f>
        <v>Se desarrolló e implementó un mecanismo de reclamos accesible y eficaz a nivel operativo para personas afectadas por el proyecto.</v>
      </c>
      <c r="C9" s="33" t="s">
        <v>1764</v>
      </c>
      <c r="D9" s="31" t="s">
        <v>1716</v>
      </c>
      <c r="E9" s="30" t="str">
        <f>IF(D9="","",IFERROR(VLOOKUP(D9,Catalogo_Documentos!$A:$B,2,FALSE),"—"))</f>
        <v>Procedimiento de quejas y reclamos.</v>
      </c>
      <c r="F9" s="65"/>
      <c r="G9" s="66">
        <v>0.33333333333333331</v>
      </c>
      <c r="H9" s="67">
        <v>0.2</v>
      </c>
      <c r="I9" s="67">
        <f>Relacion[[#This Row],[Ponderación Criterio]]*Relacion[[#This Row],[% Avance Documento]]</f>
        <v>6.6666666666666666E-2</v>
      </c>
      <c r="J9" s="68"/>
      <c r="K9" s="68"/>
      <c r="L9" s="70">
        <f>SUM(I9:I11)</f>
        <v>0.2</v>
      </c>
      <c r="M9" s="70" t="str">
        <f>IF(AND(L9&gt;=90%,L9&lt;=100%),"CUMPLE",IF(AND(L9&gt;=1%,L9&lt;90%),"CUMPLE PARCIALMENTE",IF(L9=0%,"NO CUMPLE","NO APLICA")))</f>
        <v>CUMPLE PARCIALMENTE</v>
      </c>
    </row>
    <row r="10" spans="1:13" ht="39.6">
      <c r="A10" s="8" t="s">
        <v>906</v>
      </c>
      <c r="B10" s="7" t="str">
        <f>IF(A10="","",IFERROR(VLOOKUP(A10,Criterios!$A:$G,7,FALSE),"—"))</f>
        <v>El mecanismo de reclamos abarca quejas y agravios de las personas afectadas por el proyecto relacionado a la instalación de relaves.</v>
      </c>
      <c r="C10" s="33" t="s">
        <v>1764</v>
      </c>
      <c r="D10" s="31" t="s">
        <v>1716</v>
      </c>
      <c r="E10" s="30" t="str">
        <f>IF(D10="","",IFERROR(VLOOKUP(D10,Catalogo_Documentos!$A:$B,2,FALSE),"—"))</f>
        <v>Procedimiento de quejas y reclamos.</v>
      </c>
      <c r="F10" s="65"/>
      <c r="G10" s="66">
        <v>0.33333333333333331</v>
      </c>
      <c r="H10" s="67">
        <v>0.2</v>
      </c>
      <c r="I10" s="67">
        <f>Relacion[[#This Row],[Ponderación Criterio]]*Relacion[[#This Row],[% Avance Documento]]</f>
        <v>6.6666666666666666E-2</v>
      </c>
      <c r="J10" s="68"/>
      <c r="K10" s="68"/>
      <c r="L10" s="71"/>
      <c r="M10" s="71"/>
    </row>
    <row r="11" spans="1:13" ht="26.45">
      <c r="A11" s="8" t="s">
        <v>909</v>
      </c>
      <c r="B11" s="7" t="str">
        <f>IF(A11="","",IFERROR(VLOOKUP(A11,Criterios!$A:$G,7,FALSE),"—"))</f>
        <v>El mecanismo de reclamos brinda soluciones de acuerdo a las UNGPs 29-31.</v>
      </c>
      <c r="C11" s="33" t="s">
        <v>1764</v>
      </c>
      <c r="D11" s="31" t="s">
        <v>1716</v>
      </c>
      <c r="E11" s="30" t="str">
        <f>IF(D11="","",IFERROR(VLOOKUP(D11,Catalogo_Documentos!$A:$B,2,FALSE),"—"))</f>
        <v>Procedimiento de quejas y reclamos.</v>
      </c>
      <c r="F11" s="65"/>
      <c r="G11" s="66">
        <v>0.33333333333333331</v>
      </c>
      <c r="H11" s="67">
        <v>0.2</v>
      </c>
      <c r="I11" s="67">
        <f>Relacion[[#This Row],[Ponderación Criterio]]*Relacion[[#This Row],[% Avance Documento]]</f>
        <v>6.6666666666666666E-2</v>
      </c>
      <c r="J11" s="68"/>
      <c r="K11" s="68"/>
      <c r="L11" s="71"/>
      <c r="M11" s="71"/>
    </row>
    <row r="12" spans="1:13" ht="39.6">
      <c r="A12" s="8" t="s">
        <v>912</v>
      </c>
      <c r="B12" s="7" t="str">
        <f>IF(A12="","",IFERROR(VLOOKUP(A12,Criterios!$A:$G,7,FALSE),"—"))</f>
        <v>El Operador ha documentado el contexto social, medioambiental y económico específico del sitio con respecto a su instalación de relaves.</v>
      </c>
      <c r="C12" s="33" t="s">
        <v>1764</v>
      </c>
      <c r="D12" s="31" t="s">
        <v>1658</v>
      </c>
      <c r="E12" s="30" t="str">
        <f>IF(D12="","",IFERROR(VLOOKUP(D12,Catalogo_Documentos!$A:$B,2,FALSE),"—"))</f>
        <v>Estudio de impacto social, medioambiental y económico.</v>
      </c>
      <c r="F12" s="65"/>
      <c r="G12" s="66">
        <v>0.33333333333333331</v>
      </c>
      <c r="H12" s="67">
        <v>0.2</v>
      </c>
      <c r="I12" s="67">
        <f>Relacion[[#This Row],[Ponderación Criterio]]*Relacion[[#This Row],[% Avance Documento]]</f>
        <v>6.6666666666666666E-2</v>
      </c>
      <c r="J12" s="68"/>
      <c r="K12" s="68"/>
      <c r="L12" s="70">
        <f>SUM(I12:I14)</f>
        <v>0.2</v>
      </c>
      <c r="M12" s="70" t="str">
        <f>IF(AND(L12&gt;=90%,L12&lt;=100%),"CUMPLE",IF(AND(L12&gt;=1%,L12&lt;90%),"CUMPLE PARCIALMENTE",IF(L12=0%,"NO CUMPLE","NO APLICA")))</f>
        <v>CUMPLE PARCIALMENTE</v>
      </c>
    </row>
    <row r="13" spans="1:13" ht="39.6">
      <c r="A13" s="8" t="s">
        <v>917</v>
      </c>
      <c r="B13" s="7" t="str">
        <f>IF(A13="","",IFERROR(VLOOKUP(A13,Criterios!$A:$G,7,FALSE),"—"))</f>
        <v>Evalúa las incertidumbres asociadas al cambio climático que pueda impactar la seguridad de la instalación de relaves (véase también requisito GISTM 3.1)</v>
      </c>
      <c r="C13" s="32" t="s">
        <v>1765</v>
      </c>
      <c r="D13" s="31" t="s">
        <v>1726</v>
      </c>
      <c r="E13" s="30" t="str">
        <f>IF(D13="","",IFERROR(VLOOKUP(D13,Catalogo_Documentos!$A:$B,2,FALSE),"—"))</f>
        <v>Evaluación del cambio climático</v>
      </c>
      <c r="F13" s="65" t="s">
        <v>1658</v>
      </c>
      <c r="G13" s="66">
        <v>0.33333333333333331</v>
      </c>
      <c r="H13" s="67">
        <v>0.2</v>
      </c>
      <c r="I13" s="67">
        <f>Relacion[[#This Row],[Ponderación Criterio]]*Relacion[[#This Row],[% Avance Documento]]</f>
        <v>6.6666666666666666E-2</v>
      </c>
      <c r="J13" s="68"/>
      <c r="K13" s="68"/>
      <c r="L13" s="71"/>
      <c r="M13" s="71"/>
    </row>
    <row r="14" spans="1:13" ht="52.9">
      <c r="A14" s="8" t="s">
        <v>920</v>
      </c>
      <c r="B14" s="7" t="str">
        <f>IF(A14="","",IFERROR(VLOOKUP(A14,Criterios!$A:$G,7,FALSE),"—"))</f>
        <v>El Operador actualiza la información descrita arriba en un intervalo de por lo menos cinco años, y cada vez que haya un cambio material en la instalación de relaves o relacionado al contexto ambiental, social o económico.</v>
      </c>
      <c r="C14" s="33" t="s">
        <v>1764</v>
      </c>
      <c r="D14" s="31" t="s">
        <v>1658</v>
      </c>
      <c r="E14" s="30" t="str">
        <f>IF(D14="","",IFERROR(VLOOKUP(D14,Catalogo_Documentos!$A:$B,2,FALSE),"—"))</f>
        <v>Estudio de impacto social, medioambiental y económico.</v>
      </c>
      <c r="F14" s="65"/>
      <c r="G14" s="66">
        <v>0.33333333333333331</v>
      </c>
      <c r="H14" s="67">
        <v>0.2</v>
      </c>
      <c r="I14" s="67">
        <f>Relacion[[#This Row],[Ponderación Criterio]]*Relacion[[#This Row],[% Avance Documento]]</f>
        <v>6.6666666666666666E-2</v>
      </c>
      <c r="J14" s="68"/>
      <c r="K14" s="68"/>
      <c r="L14" s="71"/>
      <c r="M14" s="71"/>
    </row>
    <row r="15" spans="1:13" ht="52.9">
      <c r="A15" s="8" t="s">
        <v>923</v>
      </c>
      <c r="B15" s="7" t="str">
        <f>IF(A15="","",IFERROR(VLOOKUP(A15,Criterios!$A:$G,7,FALSE),"—"))</f>
        <v>Existe una caracterización detallada del(los) sitio(s) de la instalación de relaves y se actualiza según se justifica a través del ciclo de vida, para reflejar los cambios materiales en las condiciones y nuevos conocimientos.</v>
      </c>
      <c r="C15" s="33" t="s">
        <v>1764</v>
      </c>
      <c r="D15" s="31" t="s">
        <v>1649</v>
      </c>
      <c r="E15" s="30" t="str">
        <f>IF(D15="","",IFERROR(VLOOKUP(D15,Catalogo_Documentos!$A:$B,2,FALSE),"—"))</f>
        <v>Caracterización detallada del sitio y relaves.</v>
      </c>
      <c r="F15" s="65"/>
      <c r="G15" s="66">
        <v>0.33333333333333331</v>
      </c>
      <c r="H15" s="67">
        <v>0.2</v>
      </c>
      <c r="I15" s="67">
        <f>Relacion[[#This Row],[Ponderación Criterio]]*Relacion[[#This Row],[% Avance Documento]]</f>
        <v>6.6666666666666666E-2</v>
      </c>
      <c r="J15" s="68"/>
      <c r="K15" s="68"/>
      <c r="L15" s="70">
        <f>SUM(I15:I17)</f>
        <v>0.2</v>
      </c>
      <c r="M15" s="70" t="str">
        <f>IF(AND(L15&gt;=90%,L15&lt;=100%),"CUMPLE",IF(AND(L15&gt;=1%,L15&lt;90%),"CUMPLE PARCIALMENTE",IF(L15=0%,"NO CUMPLE","NO APLICA")))</f>
        <v>CUMPLE PARCIALMENTE</v>
      </c>
    </row>
    <row r="16" spans="1:13" ht="66">
      <c r="A16" s="8" t="s">
        <v>927</v>
      </c>
      <c r="B16" s="7" t="str">
        <f>IF(A16="","",IFERROR(VLOOKUP(A16,Criterios!$A:$G,7,FALSE),"—"))</f>
        <v>La caracterización del sitio es respaldada por datos incluyendo datos en clima, geomorfología, geología, geoquímica, hidrología, hidrogeología (flujo y calidad de aguas superficiales y subsuelo), geotécnicos y sísmicos).</v>
      </c>
      <c r="C16" s="33" t="s">
        <v>1764</v>
      </c>
      <c r="D16" s="31" t="s">
        <v>1649</v>
      </c>
      <c r="E16" s="30" t="str">
        <f>IF(D16="","",IFERROR(VLOOKUP(D16,Catalogo_Documentos!$A:$B,2,FALSE),"—"))</f>
        <v>Caracterización detallada del sitio y relaves.</v>
      </c>
      <c r="F16" s="65"/>
      <c r="G16" s="66">
        <v>0.33333333333333331</v>
      </c>
      <c r="H16" s="67">
        <v>0.2</v>
      </c>
      <c r="I16" s="67">
        <f>Relacion[[#This Row],[Ponderación Criterio]]*Relacion[[#This Row],[% Avance Documento]]</f>
        <v>6.6666666666666666E-2</v>
      </c>
      <c r="J16" s="68"/>
      <c r="K16" s="68"/>
      <c r="L16" s="71"/>
      <c r="M16" s="71"/>
    </row>
    <row r="17" spans="1:13" ht="66">
      <c r="A17" s="8" t="s">
        <v>930</v>
      </c>
      <c r="B17" s="7" t="str">
        <f>IF(A17="","",IFERROR(VLOOKUP(A17,Criterios!$A:$G,7,FALSE),"—"))</f>
        <v>Existe una caracterización de relaves, considerando las propiedades físicas y geoquímicas, y se actualizan a lo largo del ciclo de vida para tomar en cuenta la variabilidad en las propiedades y el procesamiento del mineral y la deposición de relaves.</v>
      </c>
      <c r="C17" s="33" t="s">
        <v>1764</v>
      </c>
      <c r="D17" s="31" t="s">
        <v>1649</v>
      </c>
      <c r="E17" s="30" t="str">
        <f>IF(D17="","",IFERROR(VLOOKUP(D17,Catalogo_Documentos!$A:$B,2,FALSE),"—"))</f>
        <v>Caracterización detallada del sitio y relaves.</v>
      </c>
      <c r="F17" s="65"/>
      <c r="G17" s="66">
        <v>0.33333333333333331</v>
      </c>
      <c r="H17" s="67">
        <v>0.2</v>
      </c>
      <c r="I17" s="67">
        <f>Relacion[[#This Row],[Ponderación Criterio]]*Relacion[[#This Row],[% Avance Documento]]</f>
        <v>6.6666666666666666E-2</v>
      </c>
      <c r="J17" s="68"/>
      <c r="K17" s="68"/>
      <c r="L17" s="71"/>
      <c r="M17" s="71"/>
    </row>
    <row r="18" spans="1:13" ht="79.150000000000006">
      <c r="A18" s="8" t="s">
        <v>933</v>
      </c>
      <c r="B18" s="7" t="str">
        <f>IF(A18="","",IFERROR(VLOOKUP(A18,Criterios!$A:$G,7,FALSE),"—"))</f>
        <v>Donde una instalación de relaves tiene un modelo/escenario de falla creíble, hay un análisis de brecha documentado para la instalación de relaves, utilizando una metodología que considere los modelos de falla creíbles, condiciones del sitio y propiedades de los relaves.</v>
      </c>
      <c r="C18" s="33" t="s">
        <v>1764</v>
      </c>
      <c r="D18" s="31" t="s">
        <v>1652</v>
      </c>
      <c r="E18" s="30" t="str">
        <f>IF(D18="","",IFERROR(VLOOKUP(D18,Catalogo_Documentos!$A:$B,2,FALSE),"—"))</f>
        <v>Análisis de rotura de presas (DBA).</v>
      </c>
      <c r="F18" s="65"/>
      <c r="G18" s="66">
        <v>0.25</v>
      </c>
      <c r="H18" s="67">
        <v>0.2</v>
      </c>
      <c r="I18" s="67">
        <f>Relacion[[#This Row],[Ponderación Criterio]]*Relacion[[#This Row],[% Avance Documento]]</f>
        <v>0.05</v>
      </c>
      <c r="J18" s="68"/>
      <c r="K18" s="68"/>
      <c r="L18" s="70">
        <f>SUM(I18:I21)</f>
        <v>0.8</v>
      </c>
      <c r="M18" s="70" t="str">
        <f>IF(AND(L18&gt;=90%,L18&lt;=100%),"CUMPLE",IF(AND(L18&gt;=1%,L18&lt;90%),"CUMPLE PARCIALMENTE",IF(L18=0%,"NO CUMPLE","NO APLICA")))</f>
        <v>CUMPLE PARCIALMENTE</v>
      </c>
    </row>
    <row r="19" spans="1:13" ht="26.45">
      <c r="A19" s="8" t="s">
        <v>937</v>
      </c>
      <c r="B19" s="7" t="str">
        <f>IF(A19="","",IFERROR(VLOOKUP(A19,Criterios!$A:$G,7,FALSE),"—"))</f>
        <v>El área física potencialmente afectada por una falla es estimada y definida.</v>
      </c>
      <c r="C19" s="33" t="s">
        <v>1764</v>
      </c>
      <c r="D19" s="31" t="s">
        <v>1652</v>
      </c>
      <c r="E19" s="30" t="str">
        <f>IF(D19="","",IFERROR(VLOOKUP(D19,Catalogo_Documentos!$A:$B,2,FALSE),"—"))</f>
        <v>Análisis de rotura de presas (DBA).</v>
      </c>
      <c r="F19" s="65"/>
      <c r="G19" s="66">
        <v>0.25</v>
      </c>
      <c r="H19" s="67">
        <v>1</v>
      </c>
      <c r="I19" s="67">
        <f>Relacion[[#This Row],[Ponderación Criterio]]*Relacion[[#This Row],[% Avance Documento]]</f>
        <v>0.25</v>
      </c>
      <c r="J19" s="68"/>
      <c r="K19" s="68"/>
      <c r="L19" s="71"/>
      <c r="M19" s="71"/>
    </row>
    <row r="20" spans="1:13" ht="79.150000000000006">
      <c r="A20" s="8" t="s">
        <v>940</v>
      </c>
      <c r="B20" s="7" t="str">
        <f>IF(A20="","",IFERROR(VLOOKUP(A20,Criterios!$A:$G,7,FALSE),"—"))</f>
        <v>Para las instalaciones con escenarios de falla creíbles involucrando materiales fluidos (agua y sólidos licuables) y con una clasificación de consecuencias de “Altas”, “Muy Altas” o “Extremas”, se estiman los tiempos de llegada de flujo, profundidades de flujo, velocidades de flujo y profundidad del material depositado.</v>
      </c>
      <c r="C20" s="33" t="s">
        <v>1764</v>
      </c>
      <c r="D20" s="31" t="s">
        <v>1652</v>
      </c>
      <c r="E20" s="30" t="str">
        <f>IF(D20="","",IFERROR(VLOOKUP(D20,Catalogo_Documentos!$A:$B,2,FALSE),"—"))</f>
        <v>Análisis de rotura de presas (DBA).</v>
      </c>
      <c r="F20" s="65"/>
      <c r="G20" s="66">
        <v>0.25</v>
      </c>
      <c r="H20" s="67">
        <v>1</v>
      </c>
      <c r="I20" s="67">
        <f>Relacion[[#This Row],[Ponderación Criterio]]*Relacion[[#This Row],[% Avance Documento]]</f>
        <v>0.25</v>
      </c>
      <c r="J20" s="68"/>
      <c r="K20" s="68"/>
      <c r="L20" s="71"/>
      <c r="M20" s="71"/>
    </row>
    <row r="21" spans="1:13" ht="66">
      <c r="A21" s="8" t="s">
        <v>943</v>
      </c>
      <c r="B21" s="7" t="str">
        <f>IF(A21="","",IFERROR(VLOOKUP(A21,Criterios!$A:$G,7,FALSE),"—"))</f>
        <v>Para las instalaciones que cumplen con las condiciones a, b y c, el análisis de brecha se completa/ actualiza si se da un cambio material en la instalación de relaves o a la base de conocimientos que resulte en un escenario de falla creíble que pueda llevar a una falla de flujo.</v>
      </c>
      <c r="C21" s="33" t="s">
        <v>1764</v>
      </c>
      <c r="D21" s="31" t="s">
        <v>1652</v>
      </c>
      <c r="E21" s="30" t="str">
        <f>IF(D21="","",IFERROR(VLOOKUP(D21,Catalogo_Documentos!$A:$B,2,FALSE),"—"))</f>
        <v>Análisis de rotura de presas (DBA).</v>
      </c>
      <c r="F21" s="65"/>
      <c r="G21" s="66">
        <v>0.25</v>
      </c>
      <c r="H21" s="67">
        <v>1</v>
      </c>
      <c r="I21" s="67">
        <f>Relacion[[#This Row],[Ponderación Criterio]]*Relacion[[#This Row],[% Avance Documento]]</f>
        <v>0.25</v>
      </c>
      <c r="J21" s="68"/>
      <c r="K21" s="68"/>
      <c r="L21" s="71"/>
      <c r="M21" s="71"/>
    </row>
    <row r="22" spans="1:13" ht="39.6">
      <c r="A22" s="8" t="s">
        <v>946</v>
      </c>
      <c r="B22" s="7" t="str">
        <f>IF(A22="","",IFERROR(VLOOKUP(A22,Criterios!$A:$G,7,FALSE),"—"))</f>
        <v>Se identifican los grupos de mayor riesgo, considerando el análisis de brechas para aquellas instalaciones con escenarios de fallas creíbles según el Requisito 2.3.</v>
      </c>
      <c r="C22" s="32" t="s">
        <v>1765</v>
      </c>
      <c r="D22" s="31" t="s">
        <v>1663</v>
      </c>
      <c r="E22" s="30" t="str">
        <f>IF(D22="","",IFERROR(VLOOKUP(D22,Catalogo_Documentos!$A:$B,2,FALSE),"—"))</f>
        <v>Clasificación por Consecuencia</v>
      </c>
      <c r="F22" s="65" t="s">
        <v>1652</v>
      </c>
      <c r="G22" s="66">
        <v>0.33333333333333331</v>
      </c>
      <c r="H22" s="67">
        <v>1</v>
      </c>
      <c r="I22" s="67">
        <f>Relacion[[#This Row],[Ponderación Criterio]]*Relacion[[#This Row],[% Avance Documento]]</f>
        <v>0.33333333333333331</v>
      </c>
      <c r="J22" s="68"/>
      <c r="K22" s="68"/>
      <c r="L22" s="70">
        <f>SUM(I22:I24)</f>
        <v>1</v>
      </c>
      <c r="M22" s="70" t="str">
        <f>IF(AND(L22&gt;=90%,L22&lt;=100%),"CUMPLE",IF(AND(L22&gt;=1%,L22&lt;90%),"CUMPLE PARCIALMENTE",IF(L22=0%,"NO CUMPLE","NO APLICA")))</f>
        <v>CUMPLE</v>
      </c>
    </row>
    <row r="23" spans="1:13" ht="39.6">
      <c r="A23" s="8" t="s">
        <v>951</v>
      </c>
      <c r="B23" s="7" t="str">
        <f>IF(A23="","",IFERROR(VLOOKUP(A23,Criterios!$A:$G,7,FALSE),"—"))</f>
        <v>Se documenta la exposición y vulnerabilidad humana potencial de los escenarios de fallas creíbles de la instalación de relaves.</v>
      </c>
      <c r="C23" s="32" t="s">
        <v>1765</v>
      </c>
      <c r="D23" s="31" t="s">
        <v>1663</v>
      </c>
      <c r="E23" s="30" t="str">
        <f>IF(D23="","",IFERROR(VLOOKUP(D23,Catalogo_Documentos!$A:$B,2,FALSE),"—"))</f>
        <v>Clasificación por Consecuencia</v>
      </c>
      <c r="F23" s="65" t="s">
        <v>1652</v>
      </c>
      <c r="G23" s="66">
        <v>0.33333333333333331</v>
      </c>
      <c r="H23" s="67">
        <v>1</v>
      </c>
      <c r="I23" s="67">
        <f>Relacion[[#This Row],[Ponderación Criterio]]*Relacion[[#This Row],[% Avance Documento]]</f>
        <v>0.33333333333333331</v>
      </c>
      <c r="J23" s="68"/>
      <c r="K23" s="68"/>
      <c r="L23" s="71"/>
      <c r="M23" s="71"/>
    </row>
    <row r="24" spans="1:13" ht="66">
      <c r="A24" s="8" t="s">
        <v>954</v>
      </c>
      <c r="B24" s="7" t="str">
        <f>IF(A24="","",IFERROR(VLOOKUP(A24,Criterios!$A:$G,7,FALSE),"—"))</f>
        <v>La evaluación de la exposición y vulnerabilidad humana se actualiza si es que se da un cambio material1 a la credibilidad de la falla de flujo potencial y su correspondiente análisis de brecha o base del conocimiento.</v>
      </c>
      <c r="C24" s="32" t="s">
        <v>1765</v>
      </c>
      <c r="D24" s="31" t="s">
        <v>1663</v>
      </c>
      <c r="E24" s="30" t="str">
        <f>IF(D24="","",IFERROR(VLOOKUP(D24,Catalogo_Documentos!$A:$B,2,FALSE),"—"))</f>
        <v>Clasificación por Consecuencia</v>
      </c>
      <c r="F24" s="65" t="s">
        <v>1652</v>
      </c>
      <c r="G24" s="66">
        <v>0.33333333333333331</v>
      </c>
      <c r="H24" s="67">
        <v>1</v>
      </c>
      <c r="I24" s="67">
        <f>Relacion[[#This Row],[Ponderación Criterio]]*Relacion[[#This Row],[% Avance Documento]]</f>
        <v>0.33333333333333331</v>
      </c>
      <c r="J24" s="68"/>
      <c r="K24" s="68"/>
      <c r="L24" s="71"/>
      <c r="M24" s="71"/>
    </row>
    <row r="25" spans="1:13" ht="79.150000000000006">
      <c r="A25" s="8" t="s">
        <v>957</v>
      </c>
      <c r="B25" s="7" t="str">
        <f>IF(A25="","",IFERROR(VLOOKUP(A25,Criterios!$A:$G,7,FALSE),"—"))</f>
        <v>Para mejorar la resistencia, se actualiza con regularidad el conocimiento sobre el cambio climático y se usa para evaluar los riesgos y oportunidades para el ciclo de vida de la instalación de relaves, en cumplimiento con los principios de gestión adaptativa, con la meta de mejorar la resistencia al cambio climático.</v>
      </c>
      <c r="C25" s="32" t="s">
        <v>1765</v>
      </c>
      <c r="D25" s="31" t="s">
        <v>1726</v>
      </c>
      <c r="E25" s="30" t="str">
        <f>IF(D25="","",IFERROR(VLOOKUP(D25,Catalogo_Documentos!$A:$B,2,FALSE),"—"))</f>
        <v>Evaluación del cambio climático</v>
      </c>
      <c r="F25" s="65" t="s">
        <v>1658</v>
      </c>
      <c r="G25" s="66">
        <v>1</v>
      </c>
      <c r="H25" s="67">
        <v>1</v>
      </c>
      <c r="I25" s="67">
        <f>Relacion[[#This Row],[Ponderación Criterio]]*Relacion[[#This Row],[% Avance Documento]]</f>
        <v>1</v>
      </c>
      <c r="J25" s="68"/>
      <c r="K25" s="68"/>
      <c r="L25" s="69">
        <f>Relacion[[#This Row],[Avance Ponderado Efectivo]]</f>
        <v>1</v>
      </c>
      <c r="M25" s="69" t="str">
        <f>IF(AND(L25&gt;=90%,L25&lt;=100%),"CUMPLE",IF(AND(L25&gt;=1%,L25&lt;90%),"CUMPLE PARCIALMENTE",IF(L25=0%,"NO CUMPLE","NO APLICA")))</f>
        <v>CUMPLE</v>
      </c>
    </row>
    <row r="26" spans="1:13" ht="92.45">
      <c r="A26" s="8" t="s">
        <v>961</v>
      </c>
      <c r="B26" s="7" t="str">
        <f>IF(A26="","",IFERROR(VLOOKUP(A26,Criterios!$A:$G,7,FALSE),"—"))</f>
        <v>Para las nuevas instalaciones de relaves, un Análisis de Alternativas se realiza para examinar sitios, tecnologías y estrategias factibles para el tratamiento de relaves durante el ciclo de vida, que busca minimizar: 
– riesgos a las personas y medio ambiente. 
– volumen de relaves y aguas almacenados en instalaciones superficiales.</v>
      </c>
      <c r="C26" s="33" t="s">
        <v>1764</v>
      </c>
      <c r="D26" s="31" t="s">
        <v>1655</v>
      </c>
      <c r="E26" s="30" t="str">
        <f>IF(D26="","",IFERROR(VLOOKUP(D26,Catalogo_Documentos!$A:$B,2,FALSE),"—"))</f>
        <v>Análisis de alternativas de criterio múltiple.</v>
      </c>
      <c r="F26" s="65"/>
      <c r="G26" s="66">
        <v>0.33333333333333331</v>
      </c>
      <c r="H26" s="67">
        <v>1</v>
      </c>
      <c r="I26" s="67">
        <f>Relacion[[#This Row],[Ponderación Criterio]]*Relacion[[#This Row],[% Avance Documento]]</f>
        <v>0.33333333333333331</v>
      </c>
      <c r="J26" s="68"/>
      <c r="K26" s="68"/>
      <c r="L26" s="70">
        <f>SUM(I26:I28)</f>
        <v>1</v>
      </c>
      <c r="M26" s="70" t="str">
        <f>IF(AND(L26&gt;=90%,L26&lt;=100%),"CUMPLE",IF(AND(L26&gt;=1%,L26&lt;90%),"CUMPLE PARCIALMENTE",IF(L26=0%,"NO CUMPLE","NO APLICA")))</f>
        <v>CUMPLE</v>
      </c>
    </row>
    <row r="27" spans="1:13" ht="66">
      <c r="A27" s="8" t="s">
        <v>966</v>
      </c>
      <c r="B27" s="7" t="str">
        <f>IF(A27="","",IFERROR(VLOOKUP(A27,Criterios!$A:$G,7,FALSE),"—"))</f>
        <v>Para instalaciones existentes que no estén en un estado de cierre seguro, hay revisiones periódicas de las tecnologías, diseños y estrategias de tratamiento de relaves, y evaluaciones del potencial para implementar mejoras que surjan de las revisiones.</v>
      </c>
      <c r="C27" s="33" t="s">
        <v>1764</v>
      </c>
      <c r="D27" s="31" t="s">
        <v>1655</v>
      </c>
      <c r="E27" s="30" t="str">
        <f>IF(D27="","",IFERROR(VLOOKUP(D27,Catalogo_Documentos!$A:$B,2,FALSE),"—"))</f>
        <v>Análisis de alternativas de criterio múltiple.</v>
      </c>
      <c r="F27" s="65"/>
      <c r="G27" s="66">
        <v>0.33333333333333331</v>
      </c>
      <c r="H27" s="67">
        <v>1</v>
      </c>
      <c r="I27" s="67">
        <f>Relacion[[#This Row],[Ponderación Criterio]]*Relacion[[#This Row],[% Avance Documento]]</f>
        <v>0.33333333333333331</v>
      </c>
      <c r="J27" s="68"/>
      <c r="K27" s="68"/>
      <c r="L27" s="71"/>
      <c r="M27" s="71"/>
    </row>
    <row r="28" spans="1:13" ht="26.45">
      <c r="A28" s="8" t="s">
        <v>969</v>
      </c>
      <c r="B28" s="7" t="str">
        <f>IF(A28="","",IFERROR(VLOOKUP(A28,Criterios!$A:$G,7,FALSE),"—"))</f>
        <v>Para las nuevas instalaciones, el análisis es revisado por el ITRB o un revisor técnico superior independiente.</v>
      </c>
      <c r="C28" s="33" t="s">
        <v>1764</v>
      </c>
      <c r="D28" s="31" t="s">
        <v>1655</v>
      </c>
      <c r="E28" s="30" t="str">
        <f>IF(D28="","",IFERROR(VLOOKUP(D28,Catalogo_Documentos!$A:$B,2,FALSE),"—"))</f>
        <v>Análisis de alternativas de criterio múltiple.</v>
      </c>
      <c r="F28" s="65"/>
      <c r="G28" s="66">
        <v>0.33333333333333331</v>
      </c>
      <c r="H28" s="67">
        <v>1</v>
      </c>
      <c r="I28" s="67">
        <f>Relacion[[#This Row],[Ponderación Criterio]]*Relacion[[#This Row],[% Avance Documento]]</f>
        <v>0.33333333333333331</v>
      </c>
      <c r="J28" s="68"/>
      <c r="K28" s="68"/>
      <c r="L28" s="71"/>
      <c r="M28" s="71"/>
    </row>
    <row r="29" spans="1:13" ht="39.6">
      <c r="A29" s="8" t="s">
        <v>972</v>
      </c>
      <c r="B29" s="7" t="str">
        <f>IF(A29="","",IFERROR(VLOOKUP(A29,Criterios!$A:$G,7,FALSE),"—"))</f>
        <v>Se realizan las evaluaciones de impacto medioambiental, social y económico locales y se informan a la base de conocimiento existente.</v>
      </c>
      <c r="C29" s="33" t="s">
        <v>1764</v>
      </c>
      <c r="D29" s="31" t="s">
        <v>1658</v>
      </c>
      <c r="E29" s="30" t="str">
        <f>IF(D29="","",IFERROR(VLOOKUP(D29,Catalogo_Documentos!$A:$B,2,FALSE),"—"))</f>
        <v>Estudio de impacto social, medioambiental y económico.</v>
      </c>
      <c r="F29" s="65"/>
      <c r="G29" s="66">
        <v>0.25</v>
      </c>
      <c r="H29" s="67">
        <v>1</v>
      </c>
      <c r="I29" s="67">
        <f>Relacion[[#This Row],[Ponderación Criterio]]*Relacion[[#This Row],[% Avance Documento]]</f>
        <v>0.25</v>
      </c>
      <c r="J29" s="68"/>
      <c r="K29" s="68"/>
      <c r="L29" s="70">
        <f>SUM(I29:I32)</f>
        <v>0.85</v>
      </c>
      <c r="M29" s="70" t="str">
        <f>IF(AND(L29&gt;=90%,L29&lt;=100%),"CUMPLE",IF(AND(L29&gt;=1%,L29&lt;90%),"CUMPLE PARCIALMENTE",IF(L29=0%,"NO CUMPLE","NO APLICA")))</f>
        <v>CUMPLE PARCIALMENTE</v>
      </c>
    </row>
    <row r="30" spans="1:13" ht="79.150000000000006">
      <c r="A30" s="8" t="s">
        <v>976</v>
      </c>
      <c r="B30" s="7" t="str">
        <f>IF(A30="","",IFERROR(VLOOKUP(A30,Criterios!$A:$G,7,FALSE),"—"))</f>
        <v>Las evaluaciones ambientales, sociales y económico locales demuestran que las incertidumbres son consideradas en la evaluación de la vida de los impactos de las instalaciones de relaves y si hay algún potencial para una falla creíble a lo largo del ciclo de vida de la instalación de relaves.</v>
      </c>
      <c r="C30" s="33" t="s">
        <v>1764</v>
      </c>
      <c r="D30" s="31" t="s">
        <v>1658</v>
      </c>
      <c r="E30" s="30" t="str">
        <f>IF(D30="","",IFERROR(VLOOKUP(D30,Catalogo_Documentos!$A:$B,2,FALSE),"—"))</f>
        <v>Estudio de impacto social, medioambiental y económico.</v>
      </c>
      <c r="F30" s="65"/>
      <c r="G30" s="66">
        <v>0.25</v>
      </c>
      <c r="H30" s="67">
        <v>1</v>
      </c>
      <c r="I30" s="67">
        <f>Relacion[[#This Row],[Ponderación Criterio]]*Relacion[[#This Row],[% Avance Documento]]</f>
        <v>0.25</v>
      </c>
      <c r="J30" s="68"/>
      <c r="K30" s="68"/>
      <c r="L30" s="71"/>
      <c r="M30" s="71"/>
    </row>
    <row r="31" spans="1:13" ht="39.6">
      <c r="A31" s="8" t="s">
        <v>979</v>
      </c>
      <c r="B31" s="7" t="str">
        <f>IF(A31="","",IFERROR(VLOOKUP(A31,Criterios!$A:$G,7,FALSE),"—"))</f>
        <v>Medidas y planes de mitigación y gestión son desarrollados, documentados e implementados para abarcar los impactos materiales crónicos y agudos.</v>
      </c>
      <c r="C31" s="33" t="s">
        <v>1764</v>
      </c>
      <c r="D31" s="31" t="s">
        <v>1658</v>
      </c>
      <c r="E31" s="30" t="str">
        <f>IF(D31="","",IFERROR(VLOOKUP(D31,Catalogo_Documentos!$A:$B,2,FALSE),"—"))</f>
        <v>Estudio de impacto social, medioambiental y económico.</v>
      </c>
      <c r="F31" s="65"/>
      <c r="G31" s="66">
        <v>0.25</v>
      </c>
      <c r="H31" s="67">
        <v>1</v>
      </c>
      <c r="I31" s="67">
        <f>Relacion[[#This Row],[Ponderación Criterio]]*Relacion[[#This Row],[% Avance Documento]]</f>
        <v>0.25</v>
      </c>
      <c r="J31" s="68"/>
      <c r="K31" s="68"/>
      <c r="L31" s="71"/>
      <c r="M31" s="71"/>
    </row>
    <row r="32" spans="1:13" ht="52.9">
      <c r="A32" s="8" t="s">
        <v>982</v>
      </c>
      <c r="B32" s="7" t="str">
        <f>IF(A32="","",IFERROR(VLOOKUP(A32,Criterios!$A:$G,7,FALSE),"—"))</f>
        <v>Los planes de gestión se basan en los principios y prácticas de una jerarquía de mitigación y planes de gestión para la instalación de relaves y se actualizan a lo largo del ciclo de vida de la instalación de relaves.</v>
      </c>
      <c r="C32" s="33" t="s">
        <v>1764</v>
      </c>
      <c r="D32" s="31" t="s">
        <v>1658</v>
      </c>
      <c r="E32" s="30" t="str">
        <f>IF(D32="","",IFERROR(VLOOKUP(D32,Catalogo_Documentos!$A:$B,2,FALSE),"—"))</f>
        <v>Estudio de impacto social, medioambiental y económico.</v>
      </c>
      <c r="F32" s="65"/>
      <c r="G32" s="66">
        <v>0.25</v>
      </c>
      <c r="H32" s="67">
        <v>0.4</v>
      </c>
      <c r="I32" s="67">
        <f>Relacion[[#This Row],[Ponderación Criterio]]*Relacion[[#This Row],[% Avance Documento]]</f>
        <v>0.1</v>
      </c>
      <c r="J32" s="68"/>
      <c r="K32" s="68"/>
      <c r="L32" s="71"/>
      <c r="M32" s="71"/>
    </row>
    <row r="33" spans="1:13" ht="52.9">
      <c r="A33" s="8" t="s">
        <v>985</v>
      </c>
      <c r="B33" s="7" t="str">
        <f>IF(A33="","",IFERROR(VLOOKUP(A33,Criterios!$A:$G,7,FALSE),"—"))</f>
        <v>El cambio material como ha sido definido por el Operador es aplicado consistentemente para generar actualizaciones en las evaluaciones medioambientales, sociales y económicas de la instalación de relaves.</v>
      </c>
      <c r="C33" s="32" t="s">
        <v>1765</v>
      </c>
      <c r="D33" s="31" t="s">
        <v>1661</v>
      </c>
      <c r="E33" s="30" t="str">
        <f>IF(D33="","",IFERROR(VLOOKUP(D33,Catalogo_Documentos!$A:$B,2,FALSE),"—"))</f>
        <v>Guía de gestión de cambios</v>
      </c>
      <c r="F33" s="65" t="s">
        <v>1708</v>
      </c>
      <c r="G33" s="66">
        <v>0.5</v>
      </c>
      <c r="H33" s="67">
        <v>0.2</v>
      </c>
      <c r="I33" s="67">
        <f>Relacion[[#This Row],[Ponderación Criterio]]*Relacion[[#This Row],[% Avance Documento]]</f>
        <v>0.1</v>
      </c>
      <c r="J33" s="68"/>
      <c r="K33" s="68"/>
      <c r="L33" s="70">
        <f>SUM(I33:I34)</f>
        <v>0.2</v>
      </c>
      <c r="M33" s="70" t="str">
        <f>IF(AND(L33&gt;=90%,L33&lt;=100%),"CUMPLE",IF(AND(L33&gt;=1%,L33&lt;90%),"CUMPLE PARCIALMENTE",IF(L33=0%,"NO CUMPLE","NO APLICA")))</f>
        <v>CUMPLE PARCIALMENTE</v>
      </c>
    </row>
    <row r="34" spans="1:13" ht="66">
      <c r="A34" s="8" t="s">
        <v>989</v>
      </c>
      <c r="B34" s="7" t="str">
        <f>IF(A34="","",IFERROR(VLOOKUP(A34,Criterios!$A:$G,7,FALSE),"—"))</f>
        <v>Se actualiza la gestión de la instalación de relaves de acuerdo a las mejores prácticas de gestión adaptativa si nuevos datos (incluyendo conocimientos sobre cambio climático) indican que los impactos de la instalación de relaves han cambiado materialmente.</v>
      </c>
      <c r="C34" s="32" t="s">
        <v>1765</v>
      </c>
      <c r="D34" s="31" t="s">
        <v>1708</v>
      </c>
      <c r="E34" s="30" t="str">
        <f>IF(D34="","",IFERROR(VLOOKUP(D34,Catalogo_Documentos!$A:$B,2,FALSE),"—"))</f>
        <v>Informe de revisión interna del SGR</v>
      </c>
      <c r="F34" s="65"/>
      <c r="G34" s="66">
        <v>0.5</v>
      </c>
      <c r="H34" s="67">
        <v>0.2</v>
      </c>
      <c r="I34" s="67">
        <f>Relacion[[#This Row],[Ponderación Criterio]]*Relacion[[#This Row],[% Avance Documento]]</f>
        <v>0.1</v>
      </c>
      <c r="J34" s="68"/>
      <c r="K34" s="68"/>
      <c r="L34" s="71"/>
      <c r="M34" s="71"/>
    </row>
    <row r="35" spans="1:13" ht="105.6">
      <c r="A35" s="8" t="s">
        <v>992</v>
      </c>
      <c r="B35" s="7" t="str">
        <f>IF(A35="","",IFERROR(VLOOKUP(A35,Criterios!$A:$G,7,FALSE),"—"))</f>
        <v>Se determina la clasificación de consecuencias de fallas de instalaciones de relaves al evaluar las condiciones aguas abajo documentadas en la base de conocimientos y adopta: (i) la clasificación de consecuencias para el nivel más alto en cada categoría en el Anexo 2, Tabla 1, o (ii) un enfoque más conservador mediante la adopción de criterios de diseño de carga post-cierre “Extremos” en el Anexo 2.</v>
      </c>
      <c r="C35" s="32" t="s">
        <v>1765</v>
      </c>
      <c r="D35" s="31" t="s">
        <v>1663</v>
      </c>
      <c r="E35" s="30" t="str">
        <f>IF(D35="","",IFERROR(VLOOKUP(D35,Catalogo_Documentos!$A:$B,2,FALSE),"—"))</f>
        <v>Clasificación por Consecuencia</v>
      </c>
      <c r="F35" s="65" t="s">
        <v>1652</v>
      </c>
      <c r="G35" s="66">
        <v>0.33333333333333331</v>
      </c>
      <c r="H35" s="67">
        <v>0.2</v>
      </c>
      <c r="I35" s="67">
        <f>Relacion[[#This Row],[Ponderación Criterio]]*Relacion[[#This Row],[% Avance Documento]]</f>
        <v>6.6666666666666666E-2</v>
      </c>
      <c r="J35" s="68"/>
      <c r="K35" s="68"/>
      <c r="L35" s="70">
        <f>SUM(I35:I37)</f>
        <v>0.2</v>
      </c>
      <c r="M35" s="70" t="str">
        <f>IF(AND(L35&gt;=90%,L35&lt;=100%),"CUMPLE",IF(AND(L35&gt;=1%,L35&lt;90%),"CUMPLE PARCIALMENTE",IF(L35=0%,"NO CUMPLE","NO APLICA")))</f>
        <v>CUMPLE PARCIALMENTE</v>
      </c>
    </row>
    <row r="36" spans="1:13" ht="26.45">
      <c r="A36" s="8" t="s">
        <v>997</v>
      </c>
      <c r="B36" s="7" t="str">
        <f>IF(A36="","",IFERROR(VLOOKUP(A36,Criterios!$A:$G,7,FALSE),"—"))</f>
        <v>Para a(i) basar la evaluación y selección de la clasificación en modelos/escenarios de fallas creíbles.</v>
      </c>
      <c r="C36" s="32" t="s">
        <v>1765</v>
      </c>
      <c r="D36" s="31" t="s">
        <v>1663</v>
      </c>
      <c r="E36" s="30" t="str">
        <f>IF(D36="","",IFERROR(VLOOKUP(D36,Catalogo_Documentos!$A:$B,2,FALSE),"—"))</f>
        <v>Clasificación por Consecuencia</v>
      </c>
      <c r="F36" s="65" t="s">
        <v>1652</v>
      </c>
      <c r="G36" s="66">
        <v>0.33333333333333331</v>
      </c>
      <c r="H36" s="67">
        <v>0.2</v>
      </c>
      <c r="I36" s="67">
        <f>Relacion[[#This Row],[Ponderación Criterio]]*Relacion[[#This Row],[% Avance Documento]]</f>
        <v>6.6666666666666666E-2</v>
      </c>
      <c r="J36" s="68"/>
      <c r="K36" s="68"/>
      <c r="L36" s="71"/>
      <c r="M36" s="71"/>
    </row>
    <row r="37" spans="1:13" ht="26.45">
      <c r="A37" s="8" t="s">
        <v>1000</v>
      </c>
      <c r="B37" s="7" t="str">
        <f>IF(A37="","",IFERROR(VLOOKUP(A37,Criterios!$A:$G,7,FALSE),"—"))</f>
        <v>Documentar la evaluación y selección con evidencia defendible.</v>
      </c>
      <c r="C37" s="32" t="s">
        <v>1765</v>
      </c>
      <c r="D37" s="31" t="s">
        <v>1663</v>
      </c>
      <c r="E37" s="30" t="str">
        <f>IF(D37="","",IFERROR(VLOOKUP(D37,Catalogo_Documentos!$A:$B,2,FALSE),"—"))</f>
        <v>Clasificación por Consecuencia</v>
      </c>
      <c r="F37" s="65" t="s">
        <v>1652</v>
      </c>
      <c r="G37" s="66">
        <v>0.33333333333333331</v>
      </c>
      <c r="H37" s="67">
        <v>0.2</v>
      </c>
      <c r="I37" s="67">
        <f>Relacion[[#This Row],[Ponderación Criterio]]*Relacion[[#This Row],[% Avance Documento]]</f>
        <v>6.6666666666666666E-2</v>
      </c>
      <c r="J37" s="68"/>
      <c r="K37" s="68"/>
      <c r="L37" s="71"/>
      <c r="M37" s="71"/>
    </row>
    <row r="38" spans="1:13" ht="79.150000000000006">
      <c r="A38" s="8" t="s">
        <v>1003</v>
      </c>
      <c r="B38" s="7" t="str">
        <f>IF(A38="","",IFERROR(VLOOKUP(A38,Criterios!$A:$G,7,FALSE),"—"))</f>
        <v>Se preparan diseños preliminares para la instalación de relaves, con consideración de las etapas del ciclo de vida, utilizando criterios de carga de diseños externos consistentes con la clasificación de consecuencias de fallas basada en condiciones actuales y la Clasificación de Consecuencias mayor (incluyendo “Extrema”).</v>
      </c>
      <c r="C38" s="32" t="s">
        <v>1765</v>
      </c>
      <c r="D38" s="31" t="s">
        <v>1728</v>
      </c>
      <c r="E38" s="30" t="str">
        <f>IF(D38="","",IFERROR(VLOOKUP(D38,Catalogo_Documentos!$A:$B,2,FALSE),"—"))</f>
        <v>Informe de ingeniería</v>
      </c>
      <c r="F38" s="65" t="s">
        <v>1665</v>
      </c>
      <c r="G38" s="66">
        <v>0.2</v>
      </c>
      <c r="H38" s="67">
        <v>0.2</v>
      </c>
      <c r="I38" s="67">
        <f>Relacion[[#This Row],[Ponderación Criterio]]*Relacion[[#This Row],[% Avance Documento]]</f>
        <v>4.0000000000000008E-2</v>
      </c>
      <c r="J38" s="68"/>
      <c r="K38" s="68"/>
      <c r="L38" s="70">
        <f>SUM(I38:I42)</f>
        <v>0.20000000000000004</v>
      </c>
      <c r="M38" s="70" t="str">
        <f>IF(AND(L38&gt;=90%,L38&lt;=100%),"CUMPLE",IF(AND(L38&gt;=1%,L38&lt;90%),"CUMPLE PARCIALMENTE",IF(L38=0%,"NO CUMPLE","NO APLICA")))</f>
        <v>CUMPLE PARCIALMENTE</v>
      </c>
    </row>
    <row r="39" spans="1:13" ht="105.6">
      <c r="A39" s="8" t="s">
        <v>1007</v>
      </c>
      <c r="B39" s="7" t="str">
        <f>IF(A39="","",IFERROR(VLOOKUP(A39,Criterios!$A:$G,7,FALSE),"—"))</f>
        <v>Adoptar (i) los criterios de carga externa de la Clasificación de Consecuencias “Extrema”, o (ii) adoptar los criterios de carga de la Clasificación de Consecuencias actual o una mayor, y demostrar la factibilidad, a nivel de prueba de concepto, para mejorar el diseño para que el criterio de clasificación “Extremo” se mantenga a lo largo del ciclo de vida de la instalación de relaves.</v>
      </c>
      <c r="C39" s="32" t="s">
        <v>1765</v>
      </c>
      <c r="D39" s="31" t="s">
        <v>1728</v>
      </c>
      <c r="E39" s="30" t="str">
        <f>IF(D39="","",IFERROR(VLOOKUP(D39,Catalogo_Documentos!$A:$B,2,FALSE),"—"))</f>
        <v>Informe de ingeniería</v>
      </c>
      <c r="F39" s="65" t="s">
        <v>1665</v>
      </c>
      <c r="G39" s="66">
        <v>0.2</v>
      </c>
      <c r="H39" s="67">
        <v>0.2</v>
      </c>
      <c r="I39" s="67">
        <f>Relacion[[#This Row],[Ponderación Criterio]]*Relacion[[#This Row],[% Avance Documento]]</f>
        <v>4.0000000000000008E-2</v>
      </c>
      <c r="J39" s="68"/>
      <c r="K39" s="68"/>
      <c r="L39" s="71"/>
      <c r="M39" s="71"/>
    </row>
    <row r="40" spans="1:13" ht="145.15">
      <c r="A40" s="8" t="s">
        <v>1010</v>
      </c>
      <c r="B40" s="7" t="str">
        <f>IF(A40="","",IFERROR(VLOOKUP(A40,Criterios!$A:$G,7,FALSE),"—"))</f>
        <v>Si la opción b(ii) anterior es implementada, la Clasificación de Consecuencias es revisada al momento de la Revisión de Seguridad de Represas (DRS) y por lo menos cada cinco años, o antes si se da algún cambio material en el contexto social, medioambiental o económico local, y completar la mejora de la instalación de relaves conforme a la nueva Clasificación de Consecuencias determinada por la DSR dentro de tres años. Esta revisión procederá hasta que la instalación de relaves haya sido cerrada de forma segura de acuerdo a este Estándar.</v>
      </c>
      <c r="C40" s="33" t="s">
        <v>1764</v>
      </c>
      <c r="D40" s="31" t="s">
        <v>1712</v>
      </c>
      <c r="E40" s="30" t="str">
        <f>IF(D40="","",IFERROR(VLOOKUP(D40,Catalogo_Documentos!$A:$B,2,FALSE),"—"))</f>
        <v>Revisión de seguridad de presas (DSR)</v>
      </c>
      <c r="F40" s="65"/>
      <c r="G40" s="66">
        <v>0.2</v>
      </c>
      <c r="H40" s="67">
        <v>0.2</v>
      </c>
      <c r="I40" s="67">
        <f>Relacion[[#This Row],[Ponderación Criterio]]*Relacion[[#This Row],[% Avance Documento]]</f>
        <v>4.0000000000000008E-2</v>
      </c>
      <c r="J40" s="68"/>
      <c r="K40" s="68"/>
      <c r="L40" s="71"/>
      <c r="M40" s="71"/>
    </row>
    <row r="41" spans="1:13" ht="66">
      <c r="A41" s="8" t="s">
        <v>1013</v>
      </c>
      <c r="B41" s="7" t="str">
        <f>IF(A41="","",IFERROR(VLOOKUP(A41,Criterios!$A:$G,7,FALSE),"—"))</f>
        <v>El proceso descrito en a, b y c, deberá ser revisado por la Junta de Revisión de Relaves Independiente (ITRB) o el revisor técnico senior independiente, según sea apropiado para la Clasificación de Consecuencias de la instalación de relaves.</v>
      </c>
      <c r="C41" s="32" t="s">
        <v>1765</v>
      </c>
      <c r="D41" s="31" t="s">
        <v>1665</v>
      </c>
      <c r="E41" s="30" t="str">
        <f>IF(D41="","",IFERROR(VLOOKUP(D41,Catalogo_Documentos!$A:$B,2,FALSE),"—"))</f>
        <v>Reporte de diseño base (DBR)</v>
      </c>
      <c r="F41" s="65" t="s">
        <v>1728</v>
      </c>
      <c r="G41" s="66">
        <v>0.2</v>
      </c>
      <c r="H41" s="67">
        <v>0.2</v>
      </c>
      <c r="I41" s="67">
        <f>Relacion[[#This Row],[Ponderación Criterio]]*Relacion[[#This Row],[% Avance Documento]]</f>
        <v>4.0000000000000008E-2</v>
      </c>
      <c r="J41" s="68"/>
      <c r="K41" s="68"/>
      <c r="L41" s="71"/>
      <c r="M41" s="71"/>
    </row>
    <row r="42" spans="1:13" ht="39.6">
      <c r="A42" s="8" t="s">
        <v>1016</v>
      </c>
      <c r="B42" s="7" t="str">
        <f>IF(A42="","",IFERROR(VLOOKUP(A42,Criterios!$A:$G,7,FALSE),"—"))</f>
        <v>Sujeto al Requisito 4.7, los Requisitos 4.2 c y 4.2 d deberán aplicarse también a instalaciones de relaves existentes.</v>
      </c>
      <c r="C42" s="32" t="s">
        <v>1765</v>
      </c>
      <c r="D42" s="31" t="s">
        <v>1665</v>
      </c>
      <c r="E42" s="30" t="str">
        <f>IF(D42="","",IFERROR(VLOOKUP(D42,Catalogo_Documentos!$A:$B,2,FALSE),"—"))</f>
        <v>Reporte de diseño base (DBR)</v>
      </c>
      <c r="F42" s="65" t="s">
        <v>1728</v>
      </c>
      <c r="G42" s="66">
        <v>0.2</v>
      </c>
      <c r="H42" s="67">
        <v>0.2</v>
      </c>
      <c r="I42" s="67">
        <f>Relacion[[#This Row],[Ponderación Criterio]]*Relacion[[#This Row],[% Avance Documento]]</f>
        <v>4.0000000000000008E-2</v>
      </c>
      <c r="J42" s="68"/>
      <c r="K42" s="68"/>
      <c r="L42" s="71"/>
      <c r="M42" s="71"/>
    </row>
    <row r="43" spans="1:13">
      <c r="A43" s="8" t="s">
        <v>1019</v>
      </c>
      <c r="B43" s="7" t="str">
        <f>IF(A43="","",IFERROR(VLOOKUP(A43,Criterios!$A:$G,7,FALSE),"—"))</f>
        <v>Las cargas extremas ya están en su lugar.</v>
      </c>
      <c r="C43" s="32" t="s">
        <v>1765</v>
      </c>
      <c r="D43" s="31" t="s">
        <v>1665</v>
      </c>
      <c r="E43" s="30" t="str">
        <f>IF(D43="","",IFERROR(VLOOKUP(D43,Catalogo_Documentos!$A:$B,2,FALSE),"—"))</f>
        <v>Reporte de diseño base (DBR)</v>
      </c>
      <c r="F43" s="65" t="s">
        <v>1728</v>
      </c>
      <c r="G43" s="66">
        <v>0.5</v>
      </c>
      <c r="H43" s="67">
        <v>0.2</v>
      </c>
      <c r="I43" s="67">
        <f>Relacion[[#This Row],[Ponderación Criterio]]*Relacion[[#This Row],[% Avance Documento]]</f>
        <v>0.1</v>
      </c>
      <c r="J43" s="68"/>
      <c r="K43" s="68"/>
      <c r="L43" s="70">
        <f>SUM(I43:I44)</f>
        <v>0.2</v>
      </c>
      <c r="M43" s="70" t="str">
        <f>IF(AND(L43&gt;=90%,L43&lt;=100%),"CUMPLE",IF(AND(L43&gt;=1%,L43&lt;90%),"CUMPLE PARCIALMENTE",IF(L43=0%,"NO CUMPLE","NO APLICA")))</f>
        <v>CUMPLE PARCIALMENTE</v>
      </c>
    </row>
    <row r="44" spans="1:13" ht="92.45">
      <c r="A44" s="8" t="s">
        <v>1023</v>
      </c>
      <c r="B44" s="7" t="str">
        <f>IF(A44="","",IFERROR(VLOOKUP(A44,Criterios!$A:$G,7,FALSE),"—"))</f>
        <v>Si no se adopta el criterio de carga externo de Clasificación de Consecuencias Extremas, el Ejecutivo Responsable deberá tomar la decisión de adoptar un diseño para el criterio actual de Clasificación de Consecuencias y mantener la flexibilidad para actualizar el diseño para el criterio de clasificación más alto más adelante en el ciclo de vida de la instalación de relaves.</v>
      </c>
      <c r="C44" s="32" t="s">
        <v>1765</v>
      </c>
      <c r="D44" s="31" t="s">
        <v>1665</v>
      </c>
      <c r="E44" s="30" t="str">
        <f>IF(D44="","",IFERROR(VLOOKUP(D44,Catalogo_Documentos!$A:$B,2,FALSE),"—"))</f>
        <v>Reporte de diseño base (DBR)</v>
      </c>
      <c r="F44" s="65" t="s">
        <v>1728</v>
      </c>
      <c r="G44" s="66">
        <v>0.5</v>
      </c>
      <c r="H44" s="67">
        <v>0.2</v>
      </c>
      <c r="I44" s="67">
        <f>Relacion[[#This Row],[Ponderación Criterio]]*Relacion[[#This Row],[% Avance Documento]]</f>
        <v>0.1</v>
      </c>
      <c r="J44" s="68"/>
      <c r="K44" s="68"/>
      <c r="L44" s="71"/>
      <c r="M44" s="71"/>
    </row>
    <row r="45" spans="1:13" ht="52.9">
      <c r="A45" s="8" t="s">
        <v>1026</v>
      </c>
      <c r="B45" s="7" t="str">
        <f>IF(A45="","",IFERROR(VLOOKUP(A45,Criterios!$A:$G,7,FALSE),"—"))</f>
        <v>Seleccionar e identificar criterios de diseño que son adecuados para minimizar los riesgos para todos los modelos de falla creíbles durante cada fase del ciclo de vida de la instalación de relaves.</v>
      </c>
      <c r="C45" s="32" t="s">
        <v>1765</v>
      </c>
      <c r="D45" s="31" t="s">
        <v>1665</v>
      </c>
      <c r="E45" s="30" t="str">
        <f>IF(D45="","",IFERROR(VLOOKUP(D45,Catalogo_Documentos!$A:$B,2,FALSE),"—"))</f>
        <v>Reporte de diseño base (DBR)</v>
      </c>
      <c r="F45" s="65" t="s">
        <v>1728</v>
      </c>
      <c r="G45" s="66">
        <v>0.5</v>
      </c>
      <c r="H45" s="67">
        <v>0.2</v>
      </c>
      <c r="I45" s="67">
        <f>Relacion[[#This Row],[Ponderación Criterio]]*Relacion[[#This Row],[% Avance Documento]]</f>
        <v>0.1</v>
      </c>
      <c r="J45" s="68"/>
      <c r="K45" s="68"/>
      <c r="L45" s="70">
        <f>SUM(I45:I46)</f>
        <v>0.2</v>
      </c>
      <c r="M45" s="70" t="str">
        <f>IF(AND(L45&gt;=90%,L45&lt;=100%),"CUMPLE",IF(AND(L45&gt;=1%,L45&lt;90%),"CUMPLE PARCIALMENTE",IF(L45=0%,"NO CUMPLE","NO APLICA")))</f>
        <v>CUMPLE PARCIALMENTE</v>
      </c>
    </row>
    <row r="46" spans="1:13" ht="26.45">
      <c r="A46" s="8" t="s">
        <v>1030</v>
      </c>
      <c r="B46" s="7" t="str">
        <f>IF(A46="","",IFERROR(VLOOKUP(A46,Criterios!$A:$G,7,FALSE),"—"))</f>
        <v>Documentar el razonamiento detrás del criterio de diseño seleccionado para minimizar riesgos.</v>
      </c>
      <c r="C46" s="32" t="s">
        <v>1765</v>
      </c>
      <c r="D46" s="31" t="s">
        <v>1665</v>
      </c>
      <c r="E46" s="30" t="str">
        <f>IF(D46="","",IFERROR(VLOOKUP(D46,Catalogo_Documentos!$A:$B,2,FALSE),"—"))</f>
        <v>Reporte de diseño base (DBR)</v>
      </c>
      <c r="F46" s="65" t="s">
        <v>1728</v>
      </c>
      <c r="G46" s="66">
        <v>0.5</v>
      </c>
      <c r="H46" s="67">
        <v>0.2</v>
      </c>
      <c r="I46" s="67">
        <f>Relacion[[#This Row],[Ponderación Criterio]]*Relacion[[#This Row],[% Avance Documento]]</f>
        <v>0.1</v>
      </c>
      <c r="J46" s="68"/>
      <c r="K46" s="68"/>
      <c r="L46" s="71"/>
      <c r="M46" s="71"/>
    </row>
    <row r="47" spans="1:13" ht="105.6">
      <c r="A47" s="8" t="s">
        <v>1033</v>
      </c>
      <c r="B47" s="7" t="str">
        <f>IF(A47="","",IFERROR(VLOOKUP(A47,Criterios!$A:$G,7,FALSE),"—"))</f>
        <v>Un desarrollo y aplicación de un criterio de diseño tales como factores de seguridad para la estabilidad de taludes y manejo de filtraciones, para cada fase del ciclo de vida que considere:
 – las propiedades operativas estimadas de los materiales y desempeño esperado de los elementos de diseño y 
– la calidad de la implementación de los sistemas de gestión de riesgos.</v>
      </c>
      <c r="C47" s="32" t="s">
        <v>1765</v>
      </c>
      <c r="D47" s="31" t="s">
        <v>1728</v>
      </c>
      <c r="E47" s="30" t="str">
        <f>IF(D47="","",IFERROR(VLOOKUP(D47,Catalogo_Documentos!$A:$B,2,FALSE),"—"))</f>
        <v>Informe de ingeniería</v>
      </c>
      <c r="F47" s="65" t="s">
        <v>1665</v>
      </c>
      <c r="G47" s="66">
        <v>0.5</v>
      </c>
      <c r="H47" s="67">
        <v>0.2</v>
      </c>
      <c r="I47" s="67">
        <f>Relacion[[#This Row],[Ponderación Criterio]]*Relacion[[#This Row],[% Avance Documento]]</f>
        <v>0.1</v>
      </c>
      <c r="J47" s="68"/>
      <c r="K47" s="68"/>
      <c r="L47" s="70">
        <f>SUM(I47:I48)</f>
        <v>0.2</v>
      </c>
      <c r="M47" s="70" t="str">
        <f>IF(AND(L47&gt;=90%,L47&lt;=100%),"CUMPLE",IF(AND(L47&gt;=1%,L47&lt;90%),"CUMPLE PARCIALMENTE",IF(L47=0%,"NO CUMPLE","NO APLICA")))</f>
        <v>CUMPLE PARCIALMENTE</v>
      </c>
    </row>
    <row r="48" spans="1:13" ht="39.6">
      <c r="A48" s="8" t="s">
        <v>1037</v>
      </c>
      <c r="B48" s="7" t="str">
        <f>IF(A48="","",IFERROR(VLOOKUP(A48,Criterios!$A:$G,7,FALSE),"—"))</f>
        <v>Tener en cuenta estos problemas de diseño e implementación en las evaluaciones que estén basadas en análisis de deformación.</v>
      </c>
      <c r="C48" s="32" t="s">
        <v>1765</v>
      </c>
      <c r="D48" s="31" t="s">
        <v>1730</v>
      </c>
      <c r="E48" s="30" t="str">
        <f>IF(D48="","",IFERROR(VLOOKUP(D48,Catalogo_Documentos!$A:$B,2,FALSE),"—"))</f>
        <v>Análisis de estabilidad y deformaciones</v>
      </c>
      <c r="F48" s="65" t="s">
        <v>1766</v>
      </c>
      <c r="G48" s="66">
        <v>0.5</v>
      </c>
      <c r="H48" s="67">
        <v>0.2</v>
      </c>
      <c r="I48" s="67">
        <f>Relacion[[#This Row],[Ponderación Criterio]]*Relacion[[#This Row],[% Avance Documento]]</f>
        <v>0.1</v>
      </c>
      <c r="J48" s="68"/>
      <c r="K48" s="68"/>
      <c r="L48" s="71"/>
      <c r="M48" s="71"/>
    </row>
    <row r="49" spans="1:13" ht="39.6">
      <c r="A49" s="8" t="s">
        <v>1040</v>
      </c>
      <c r="B49" s="7" t="str">
        <f>IF(A49="","",IFERROR(VLOOKUP(A49,Criterios!$A:$G,7,FALSE),"—"))</f>
        <v>Se documenta una evaluación del potencial del modelo de falla frágil y se abordan los análisis en el Reporte de Diseño Base (DBR) 2.</v>
      </c>
      <c r="C49" s="33" t="s">
        <v>1764</v>
      </c>
      <c r="D49" s="31" t="s">
        <v>1665</v>
      </c>
      <c r="E49" s="30" t="str">
        <f>IF(D49="","",IFERROR(VLOOKUP(D49,Catalogo_Documentos!$A:$B,2,FALSE),"—"))</f>
        <v>Reporte de diseño base (DBR)</v>
      </c>
      <c r="F49" s="65"/>
      <c r="G49" s="66">
        <v>1</v>
      </c>
      <c r="H49" s="67">
        <v>0.2</v>
      </c>
      <c r="I49" s="67">
        <f>Relacion[[#This Row],[Ponderación Criterio]]*Relacion[[#This Row],[% Avance Documento]]</f>
        <v>0.2</v>
      </c>
      <c r="J49" s="68"/>
      <c r="K49" s="68"/>
      <c r="L49" s="69">
        <f>Relacion[[#This Row],[Avance Ponderado Efectivo]]</f>
        <v>0.2</v>
      </c>
      <c r="M49" s="69" t="str">
        <f>IF(AND(L49&gt;=90%,L49&lt;=100%),"CUMPLE",IF(AND(L49&gt;=1%,L49&lt;90%),"CUMPLE PARCIALMENTE",IF(L49=0%,"NO CUMPLE","NO APLICA")))</f>
        <v>CUMPLE PARCIALMENTE</v>
      </c>
    </row>
    <row r="50" spans="1:13" ht="105.6">
      <c r="A50" s="8" t="s">
        <v>1044</v>
      </c>
      <c r="B50" s="7" t="str">
        <f>IF(A50="","",IFERROR(VLOOKUP(A50,Criterios!$A:$G,7,FALSE),"—"))</f>
        <v>Que las instalaciones de relaves existentes deberán cumplir con los requisitos bajo el Principio 4, a excepción de aquellos aspectos donde el Ingeniero de Registro (EOR), con revisión de la ITRB o de un revisor técnico senior independiente, como sea adecuado, determine que una mejora de una instalación de relaves existente no es requerida, viable o no se puede aplicar de forma retroactiva.</v>
      </c>
      <c r="C50" s="32" t="s">
        <v>1765</v>
      </c>
      <c r="D50" s="31" t="s">
        <v>1677</v>
      </c>
      <c r="E50" s="30" t="str">
        <f>IF(D50="","",IFERROR(VLOOKUP(D50,Catalogo_Documentos!$A:$B,2,FALSE),"—"))</f>
        <v>Reporte ALARP</v>
      </c>
      <c r="F50" s="65" t="s">
        <v>1665</v>
      </c>
      <c r="G50" s="66">
        <v>0.33333333333333331</v>
      </c>
      <c r="H50" s="67">
        <v>0.2</v>
      </c>
      <c r="I50" s="67">
        <f>Relacion[[#This Row],[Ponderación Criterio]]*Relacion[[#This Row],[% Avance Documento]]</f>
        <v>6.6666666666666666E-2</v>
      </c>
      <c r="J50" s="68"/>
      <c r="K50" s="68"/>
      <c r="L50" s="70">
        <f>SUM(I50:I52)</f>
        <v>0.26666666666666666</v>
      </c>
      <c r="M50" s="70" t="str">
        <f>IF(AND(L50&gt;=90%,L50&lt;=100%),"CUMPLE",IF(AND(L50&gt;=1%,L50&lt;90%),"CUMPLE PARCIALMENTE",IF(L50=0%,"NO CUMPLE","NO APLICA")))</f>
        <v>CUMPLE PARCIALMENTE</v>
      </c>
    </row>
    <row r="51" spans="1:13" ht="92.45">
      <c r="A51" s="8" t="s">
        <v>1048</v>
      </c>
      <c r="B51" s="7" t="str">
        <f>IF(A51="","",IFERROR(VLOOKUP(A51,Criterios!$A:$G,7,FALSE),"—"))</f>
        <v>Que si la condición (a). de arriba aplica, el Ejecutivo Responsable deberá aprobar y documentar la implementación de medidas para reducir tanto la probabilidad de, como las consecuencias de una falla de una instalación de relaves para reducir el riesgo a un nivel tan bajo como sea razonablemente factible (ALARP).</v>
      </c>
      <c r="C51" s="32" t="s">
        <v>1765</v>
      </c>
      <c r="D51" s="31" t="s">
        <v>1677</v>
      </c>
      <c r="E51" s="30" t="str">
        <f>IF(D51="","",IFERROR(VLOOKUP(D51,Catalogo_Documentos!$A:$B,2,FALSE),"—"))</f>
        <v>Reporte ALARP</v>
      </c>
      <c r="F51" s="65" t="s">
        <v>1665</v>
      </c>
      <c r="G51" s="66">
        <v>0.33333333333333331</v>
      </c>
      <c r="H51" s="67">
        <v>0.2</v>
      </c>
      <c r="I51" s="67">
        <f>Relacion[[#This Row],[Ponderación Criterio]]*Relacion[[#This Row],[% Avance Documento]]</f>
        <v>6.6666666666666666E-2</v>
      </c>
      <c r="J51" s="68"/>
      <c r="K51" s="68"/>
      <c r="L51" s="71"/>
      <c r="M51" s="71"/>
    </row>
    <row r="52" spans="1:13" ht="52.9">
      <c r="A52" s="8" t="s">
        <v>1051</v>
      </c>
      <c r="B52" s="7" t="str">
        <f>IF(A52="","",IFERROR(VLOOKUP(A52,Criterios!$A:$G,7,FALSE),"—"))</f>
        <v>La base y tiempo para abordar la mejora de las instalaciones de relaves existentes deberá estar informado sobre los riesgos y debe llevarse a cabo tan pronto como sea razonablemente factible.</v>
      </c>
      <c r="C52" s="32" t="s">
        <v>1765</v>
      </c>
      <c r="D52" s="31" t="s">
        <v>1677</v>
      </c>
      <c r="E52" s="30" t="str">
        <f>IF(D52="","",IFERROR(VLOOKUP(D52,Catalogo_Documentos!$A:$B,2,FALSE),"—"))</f>
        <v>Reporte ALARP</v>
      </c>
      <c r="F52" s="65" t="s">
        <v>1665</v>
      </c>
      <c r="G52" s="66">
        <v>0.33333333333333331</v>
      </c>
      <c r="H52" s="67">
        <v>0.4</v>
      </c>
      <c r="I52" s="67">
        <f>Relacion[[#This Row],[Ponderación Criterio]]*Relacion[[#This Row],[% Avance Documento]]</f>
        <v>0.13333333333333333</v>
      </c>
      <c r="J52" s="68"/>
      <c r="K52" s="68"/>
      <c r="L52" s="71"/>
      <c r="M52" s="71"/>
    </row>
    <row r="53" spans="1:13" ht="66">
      <c r="A53" s="8" t="s">
        <v>1054</v>
      </c>
      <c r="B53" s="7" t="str">
        <f>IF(A53="","",IFERROR(VLOOKUP(A53,Criterios!$A:$G,7,FALSE),"—"))</f>
        <v>Que el EOR preparará un Reporte de Base de Diseño (DBR) que detalle las hipótesis y criterios de diseño, incluyendo las restricciones de operación, y que proporcione la base para el diseño de todas las fases del ciclo de vida de la instalación de relaves.</v>
      </c>
      <c r="C53" s="33" t="s">
        <v>1764</v>
      </c>
      <c r="D53" s="31" t="s">
        <v>1665</v>
      </c>
      <c r="E53" s="30" t="str">
        <f>IF(D53="","",IFERROR(VLOOKUP(D53,Catalogo_Documentos!$A:$B,2,FALSE),"—"))</f>
        <v>Reporte de diseño base (DBR)</v>
      </c>
      <c r="F53" s="65"/>
      <c r="G53" s="66">
        <v>0.33333333333333331</v>
      </c>
      <c r="H53" s="67">
        <v>0.4</v>
      </c>
      <c r="I53" s="67">
        <f>Relacion[[#This Row],[Ponderación Criterio]]*Relacion[[#This Row],[% Avance Documento]]</f>
        <v>0.13333333333333333</v>
      </c>
      <c r="J53" s="68"/>
      <c r="K53" s="68"/>
      <c r="L53" s="70">
        <f>SUM(I53:I55)</f>
        <v>0.26666666666666666</v>
      </c>
      <c r="M53" s="70" t="str">
        <f>IF(AND(L53&gt;=90%,L53&lt;=100%),"CUMPLE",IF(AND(L53&gt;=1%,L53&lt;90%),"CUMPLE PARCIALMENTE",IF(L53=0%,"NO CUMPLE","NO APLICA")))</f>
        <v>CUMPLE PARCIALMENTE</v>
      </c>
    </row>
    <row r="54" spans="1:13" ht="26.45">
      <c r="A54" s="8" t="s">
        <v>1058</v>
      </c>
      <c r="B54" s="7" t="str">
        <f>IF(A54="","",IFERROR(VLOOKUP(A54,Criterios!$A:$G,7,FALSE),"—"))</f>
        <v>Que el DBR será revisado por la ITRB o el revisor técnico senior independiente.</v>
      </c>
      <c r="C54" s="33" t="s">
        <v>1764</v>
      </c>
      <c r="D54" s="31" t="s">
        <v>1665</v>
      </c>
      <c r="E54" s="30" t="str">
        <f>IF(D54="","",IFERROR(VLOOKUP(D54,Catalogo_Documentos!$A:$B,2,FALSE),"—"))</f>
        <v>Reporte de diseño base (DBR)</v>
      </c>
      <c r="F54" s="65"/>
      <c r="G54" s="66">
        <v>0.33333333333333331</v>
      </c>
      <c r="H54" s="67">
        <v>0.2</v>
      </c>
      <c r="I54" s="67">
        <f>Relacion[[#This Row],[Ponderación Criterio]]*Relacion[[#This Row],[% Avance Documento]]</f>
        <v>6.6666666666666666E-2</v>
      </c>
      <c r="J54" s="68"/>
      <c r="K54" s="68"/>
      <c r="L54" s="71"/>
      <c r="M54" s="71"/>
    </row>
    <row r="55" spans="1:13" ht="52.9">
      <c r="A55" s="8" t="s">
        <v>1061</v>
      </c>
      <c r="B55" s="7" t="str">
        <f>IF(A55="","",IFERROR(VLOOKUP(A55,Criterios!$A:$G,7,FALSE),"—"))</f>
        <v>Que el EOR actualizará el DBR cada vez que haya un cambio material en las hipótesis del diseño, criterios del diseño, diseño o base de conocimiento y confirmar la consistencia interna entre estos elementos.</v>
      </c>
      <c r="C55" s="33" t="s">
        <v>1764</v>
      </c>
      <c r="D55" s="31" t="s">
        <v>1665</v>
      </c>
      <c r="E55" s="30" t="str">
        <f>IF(D55="","",IFERROR(VLOOKUP(D55,Catalogo_Documentos!$A:$B,2,FALSE),"—"))</f>
        <v>Reporte de diseño base (DBR)</v>
      </c>
      <c r="F55" s="65"/>
      <c r="G55" s="66">
        <v>0.33333333333333331</v>
      </c>
      <c r="H55" s="67">
        <v>0.2</v>
      </c>
      <c r="I55" s="67">
        <f>Relacion[[#This Row],[Ponderación Criterio]]*Relacion[[#This Row],[% Avance Documento]]</f>
        <v>6.6666666666666666E-2</v>
      </c>
      <c r="J55" s="68"/>
      <c r="K55" s="68"/>
      <c r="L55" s="71"/>
      <c r="M55" s="71"/>
    </row>
    <row r="56" spans="1:13" ht="39.6">
      <c r="A56" s="8" t="s">
        <v>1064</v>
      </c>
      <c r="B56" s="7" t="str">
        <f>IF(A56="","",IFERROR(VLOOKUP(A56,Criterios!$A:$G,7,FALSE),"—"))</f>
        <v>Que, para las nuevas instalaciones de relaves, el diseño incorpora los resultados del análisis de alternativas (según el Requisito 3.2).</v>
      </c>
      <c r="C56" s="32" t="s">
        <v>1765</v>
      </c>
      <c r="D56" s="30" t="s">
        <v>1655</v>
      </c>
      <c r="E56" s="30" t="str">
        <f>IF(D56="","",IFERROR(VLOOKUP(D56,Catalogo_Documentos!$A:$B,2,FALSE),"—"))</f>
        <v>Análisis de alternativas de criterio múltiple.</v>
      </c>
      <c r="F56" s="65"/>
      <c r="G56" s="66">
        <v>0.33333333333333331</v>
      </c>
      <c r="H56" s="67">
        <v>0.2</v>
      </c>
      <c r="I56" s="67">
        <f>Relacion[[#This Row],[Ponderación Criterio]]*Relacion[[#This Row],[% Avance Documento]]</f>
        <v>6.6666666666666666E-2</v>
      </c>
      <c r="J56" s="68"/>
      <c r="K56" s="68"/>
      <c r="L56" s="70">
        <f>SUM(I56:I58)</f>
        <v>0.2</v>
      </c>
      <c r="M56" s="70" t="str">
        <f>IF(AND(L56&gt;=90%,L56&lt;=100%),"CUMPLE",IF(AND(L56&gt;=1%,L56&lt;90%),"CUMPLE PARCIALMENTE",IF(L56=0%,"NO CUMPLE","NO APLICA")))</f>
        <v>CUMPLE PARCIALMENTE</v>
      </c>
    </row>
    <row r="57" spans="1:13" ht="52.9">
      <c r="A57" s="8" t="s">
        <v>1068</v>
      </c>
      <c r="B57" s="7" t="str">
        <f>IF(A57="","",IFERROR(VLOOKUP(A57,Criterios!$A:$G,7,FALSE),"—"))</f>
        <v>Que, para las expansiones de instalaciones existentes, se evalúan los resultados de las revisiones periódicas de refinamientos potenciales de tecnologías de relaves y enfoques de diseño (según Requisito 3.2).</v>
      </c>
      <c r="C57" s="32" t="s">
        <v>1765</v>
      </c>
      <c r="D57" s="30" t="s">
        <v>1655</v>
      </c>
      <c r="E57" s="30" t="str">
        <f>IF(D57="","",IFERROR(VLOOKUP(D57,Catalogo_Documentos!$A:$B,2,FALSE),"—"))</f>
        <v>Análisis de alternativas de criterio múltiple.</v>
      </c>
      <c r="F57" s="65"/>
      <c r="G57" s="66">
        <v>0.33333333333333331</v>
      </c>
      <c r="H57" s="67">
        <v>0.2</v>
      </c>
      <c r="I57" s="67">
        <f>Relacion[[#This Row],[Ponderación Criterio]]*Relacion[[#This Row],[% Avance Documento]]</f>
        <v>6.6666666666666666E-2</v>
      </c>
      <c r="J57" s="68"/>
      <c r="K57" s="68"/>
      <c r="L57" s="71"/>
      <c r="M57" s="71"/>
    </row>
    <row r="58" spans="1:13" ht="52.9">
      <c r="A58" s="8" t="s">
        <v>1071</v>
      </c>
      <c r="B58" s="7" t="str">
        <f>IF(A58="","",IFERROR(VLOOKUP(A58,Criterios!$A:$G,7,FALSE),"—"))</f>
        <v>Donde el diseño difiere del análisis de alternativas, hay una justificación que incorpora el objetivo de minimizar los riesgos a las personas y medioambiente a lo largo del ciclo de vida de la instalación de relaves.</v>
      </c>
      <c r="C58" s="32" t="s">
        <v>1765</v>
      </c>
      <c r="D58" s="30" t="s">
        <v>1655</v>
      </c>
      <c r="E58" s="30" t="str">
        <f>IF(D58="","",IFERROR(VLOOKUP(D58,Catalogo_Documentos!$A:$B,2,FALSE),"—"))</f>
        <v>Análisis de alternativas de criterio múltiple.</v>
      </c>
      <c r="F58" s="65"/>
      <c r="G58" s="66">
        <v>0.33333333333333331</v>
      </c>
      <c r="H58" s="67">
        <v>0.2</v>
      </c>
      <c r="I58" s="67">
        <f>Relacion[[#This Row],[Ponderación Criterio]]*Relacion[[#This Row],[% Avance Documento]]</f>
        <v>6.6666666666666666E-2</v>
      </c>
      <c r="J58" s="68"/>
      <c r="K58" s="68"/>
      <c r="L58" s="71"/>
      <c r="M58" s="71"/>
    </row>
    <row r="59" spans="1:13" ht="105.6">
      <c r="A59" s="8" t="s">
        <v>1074</v>
      </c>
      <c r="B59" s="7" t="str">
        <f>IF(A59="","",IFERROR(VLOOKUP(A59,Criterios!$A:$G,7,FALSE),"—"))</f>
        <v>Que un diseño robusto considera: 
– El contexto técnico, social, medioambiental, y económico local de la instalación de relaves. 
– La Clasificación de Consecuencias, condiciones del sitio, gestión de aguas, operaciones de planta minera, y problemas operacionales y de construcción de relaves. 
– El diseño muestra la factibilidad del cierre seguro de la instalación de relaves.</v>
      </c>
      <c r="C59" s="33" t="s">
        <v>1764</v>
      </c>
      <c r="D59" s="31" t="s">
        <v>1728</v>
      </c>
      <c r="E59" s="30" t="str">
        <f>IF(D59="","",IFERROR(VLOOKUP(D59,Catalogo_Documentos!$A:$B,2,FALSE),"—"))</f>
        <v>Informe de ingeniería</v>
      </c>
      <c r="F59" s="65"/>
      <c r="G59" s="66">
        <v>0.5</v>
      </c>
      <c r="H59" s="67">
        <v>0.2</v>
      </c>
      <c r="I59" s="67">
        <f>Relacion[[#This Row],[Ponderación Criterio]]*Relacion[[#This Row],[% Avance Documento]]</f>
        <v>0.1</v>
      </c>
      <c r="J59" s="68"/>
      <c r="K59" s="68"/>
      <c r="L59" s="70">
        <f>SUM(I59:I60)</f>
        <v>0.2</v>
      </c>
      <c r="M59" s="70" t="str">
        <f>IF(AND(L59&gt;=90%,L59&lt;=100%),"CUMPLE",IF(AND(L59&gt;=1%,L59&lt;90%),"CUMPLE PARCIALMENTE",IF(L59=0%,"NO CUMPLE","NO APLICA")))</f>
        <v>CUMPLE PARCIALMENTE</v>
      </c>
    </row>
    <row r="60" spans="1:13" ht="66">
      <c r="A60" s="8" t="s">
        <v>1078</v>
      </c>
      <c r="B60" s="7" t="str">
        <f>IF(A60="","",IFERROR(VLOOKUP(A60,Criterios!$A:$G,7,FALSE),"—"))</f>
        <v>El diseño es revisado y actualizado a la vez que el desempeño y los datos desempeño de sitio lleguen a estar disponibles a través del ciclo de vida de la instalación de relaves y/o en respuesta a los cambios materiales.</v>
      </c>
      <c r="C60" s="33" t="s">
        <v>1764</v>
      </c>
      <c r="D60" s="31" t="s">
        <v>1728</v>
      </c>
      <c r="E60" s="30" t="str">
        <f>IF(D60="","",IFERROR(VLOOKUP(D60,Catalogo_Documentos!$A:$B,2,FALSE),"—"))</f>
        <v>Informe de ingeniería</v>
      </c>
      <c r="F60" s="65"/>
      <c r="G60" s="66">
        <v>0.5</v>
      </c>
      <c r="H60" s="67">
        <v>0.2</v>
      </c>
      <c r="I60" s="67">
        <f>Relacion[[#This Row],[Ponderación Criterio]]*Relacion[[#This Row],[% Avance Documento]]</f>
        <v>0.1</v>
      </c>
      <c r="J60" s="68"/>
      <c r="K60" s="68"/>
      <c r="L60" s="71"/>
      <c r="M60" s="71"/>
    </row>
    <row r="61" spans="1:13" ht="79.150000000000006">
      <c r="A61" s="8" t="s">
        <v>1081</v>
      </c>
      <c r="B61" s="7" t="str">
        <f>IF(A61="","",IFERROR(VLOOKUP(A61,Criterios!$A:$G,7,FALSE),"—"))</f>
        <v>Un plan de tratamiento de aguas que tome en consideración la base del conocimiento, el plan minero para el estado actual del ciclo de vida de la instalación de relaves, cuencas hidrológicas e hidrogeológicas aguas arriba y aguas abajo, y el potencial para el cambio climático.</v>
      </c>
      <c r="C61" s="32" t="s">
        <v>1765</v>
      </c>
      <c r="D61" s="31" t="s">
        <v>1669</v>
      </c>
      <c r="E61" s="30" t="str">
        <f>IF(D61="","",IFERROR(VLOOKUP(D61,Catalogo_Documentos!$A:$B,2,FALSE),"—"))</f>
        <v>Balance hídrico y planes de gestión de agua</v>
      </c>
      <c r="F61" s="65"/>
      <c r="G61" s="66">
        <v>0.33333333333333331</v>
      </c>
      <c r="H61" s="67">
        <v>0.2</v>
      </c>
      <c r="I61" s="67">
        <f>Relacion[[#This Row],[Ponderación Criterio]]*Relacion[[#This Row],[% Avance Documento]]</f>
        <v>6.6666666666666666E-2</v>
      </c>
      <c r="J61" s="68"/>
      <c r="K61" s="68"/>
      <c r="L61" s="70">
        <f>SUM(I61:I63)</f>
        <v>0.2</v>
      </c>
      <c r="M61" s="70" t="str">
        <f>IF(AND(L61&gt;=90%,L61&lt;=100%),"CUMPLE",IF(AND(L61&gt;=1%,L61&lt;90%),"CUMPLE PARCIALMENTE",IF(L61=0%,"NO CUMPLE","NO APLICA")))</f>
        <v>CUMPLE PARCIALMENTE</v>
      </c>
    </row>
    <row r="62" spans="1:13" ht="26.45">
      <c r="A62" s="8" t="s">
        <v>1085</v>
      </c>
      <c r="B62" s="7" t="str">
        <f>IF(A62="","",IFERROR(VLOOKUP(A62,Criterios!$A:$G,7,FALSE),"—"))</f>
        <v>Un modelo de balance de aguas que considere el plan general de tratamiento de aguas.</v>
      </c>
      <c r="C62" s="32" t="s">
        <v>1765</v>
      </c>
      <c r="D62" s="31" t="s">
        <v>1669</v>
      </c>
      <c r="E62" s="30" t="str">
        <f>IF(D62="","",IFERROR(VLOOKUP(D62,Catalogo_Documentos!$A:$B,2,FALSE),"—"))</f>
        <v>Balance hídrico y planes de gestión de agua</v>
      </c>
      <c r="F62" s="65"/>
      <c r="G62" s="66">
        <v>0.33333333333333331</v>
      </c>
      <c r="H62" s="67">
        <v>0.2</v>
      </c>
      <c r="I62" s="67">
        <f>Relacion[[#This Row],[Ponderación Criterio]]*Relacion[[#This Row],[% Avance Documento]]</f>
        <v>6.6666666666666666E-2</v>
      </c>
      <c r="J62" s="68"/>
      <c r="K62" s="68"/>
      <c r="L62" s="71"/>
      <c r="M62" s="71"/>
    </row>
    <row r="63" spans="1:13" ht="39.6">
      <c r="A63" s="8" t="s">
        <v>1088</v>
      </c>
      <c r="B63" s="7" t="str">
        <f>IF(A63="","",IFERROR(VLOOKUP(A63,Criterios!$A:$G,7,FALSE),"—"))</f>
        <v>El plan de tratamiento de aguas y el balance de aguas abarcan la seguridad de la instalación de relaves y la prevención de descargas involuntarias.</v>
      </c>
      <c r="C63" s="32" t="s">
        <v>1765</v>
      </c>
      <c r="D63" s="31" t="s">
        <v>1669</v>
      </c>
      <c r="E63" s="30" t="str">
        <f>IF(D63="","",IFERROR(VLOOKUP(D63,Catalogo_Documentos!$A:$B,2,FALSE),"—"))</f>
        <v>Balance hídrico y planes de gestión de agua</v>
      </c>
      <c r="F63" s="65"/>
      <c r="G63" s="66">
        <v>0.33333333333333331</v>
      </c>
      <c r="H63" s="67">
        <v>0.2</v>
      </c>
      <c r="I63" s="67">
        <f>Relacion[[#This Row],[Ponderación Criterio]]*Relacion[[#This Row],[% Avance Documento]]</f>
        <v>6.6666666666666666E-2</v>
      </c>
      <c r="J63" s="68"/>
      <c r="K63" s="68"/>
      <c r="L63" s="71"/>
      <c r="M63" s="71"/>
    </row>
    <row r="64" spans="1:13" ht="92.45">
      <c r="A64" s="8" t="s">
        <v>1091</v>
      </c>
      <c r="B64" s="7" t="str">
        <f>IF(A64="","",IFERROR(VLOOKUP(A64,Criterios!$A:$G,7,FALSE),"—"))</f>
        <v>Modelos de falla potencial a la estructura, su fundación, estribos, reservorio (depósitos de relaves y poza de agua recuperada)), Borde del embalse, y estructuras de apertura son identificadas y categorizadas por las evaluaciones de riesgos, y abarcadas a través de medidas preventivas incorporadas en el diseño y/o a través de controles operativos.</v>
      </c>
      <c r="C64" s="32" t="s">
        <v>1765</v>
      </c>
      <c r="D64" s="31" t="s">
        <v>1652</v>
      </c>
      <c r="E64" s="30" t="str">
        <f>IF(D64="","",IFERROR(VLOOKUP(D64,Catalogo_Documentos!$A:$B,2,FALSE),"—"))</f>
        <v>Análisis de rotura de presas (DBA).</v>
      </c>
      <c r="F64" s="65" t="s">
        <v>1663</v>
      </c>
      <c r="G64" s="66">
        <v>0.5</v>
      </c>
      <c r="H64" s="67">
        <v>0.2</v>
      </c>
      <c r="I64" s="67">
        <f>Relacion[[#This Row],[Ponderación Criterio]]*Relacion[[#This Row],[% Avance Documento]]</f>
        <v>0.1</v>
      </c>
      <c r="J64" s="68"/>
      <c r="K64" s="68"/>
      <c r="L64" s="70">
        <f>SUM(I64:I65)</f>
        <v>0.2</v>
      </c>
      <c r="M64" s="70" t="str">
        <f>IF(AND(L64&gt;=90%,L64&lt;=100%),"CUMPLE",IF(AND(L64&gt;=1%,L64&lt;90%),"CUMPLE PARCIALMENTE",IF(L64=0%,"NO CUMPLE","NO APLICA")))</f>
        <v>CUMPLE PARCIALMENTE</v>
      </c>
    </row>
    <row r="65" spans="1:13" ht="52.9">
      <c r="A65" s="8" t="s">
        <v>1095</v>
      </c>
      <c r="B65" s="7" t="str">
        <f>IF(A65="","",IFERROR(VLOOKUP(A65,Criterios!$A:$G,7,FALSE),"—"))</f>
        <v>Evaluaciones de riesgos son utilizadas para informar el diseño para minimizar el riesgo al ALARP. Evaluaciones de riesgo deben utilizarse para determinar si los modelos/escenarios de falla creíbles son fiables.</v>
      </c>
      <c r="C65" s="32" t="s">
        <v>1765</v>
      </c>
      <c r="D65" s="31" t="s">
        <v>1671</v>
      </c>
      <c r="E65" s="30" t="str">
        <f>IF(D65="","",IFERROR(VLOOKUP(D65,Catalogo_Documentos!$A:$B,2,FALSE),"—"))</f>
        <v>Evaluación de riesgos</v>
      </c>
      <c r="F65" s="65" t="s">
        <v>1677</v>
      </c>
      <c r="G65" s="66">
        <v>0.5</v>
      </c>
      <c r="H65" s="67">
        <v>0.2</v>
      </c>
      <c r="I65" s="67">
        <f>Relacion[[#This Row],[Ponderación Criterio]]*Relacion[[#This Row],[% Avance Documento]]</f>
        <v>0.1</v>
      </c>
      <c r="J65" s="68"/>
      <c r="K65" s="68"/>
      <c r="L65" s="71"/>
      <c r="M65" s="71"/>
    </row>
    <row r="66" spans="1:13" ht="92.45">
      <c r="A66" s="8" t="s">
        <v>1098</v>
      </c>
      <c r="B66" s="7" t="str">
        <f>IF(A66="","",IFERROR(VLOOKUP(A66,Criterios!$A:$G,7,FALSE),"—"))</f>
        <v>Se realizan diseños para cada etapa de construcción de la instalación de relaves, incluyendo, pero no limitándose al inicio, levantamiento parcial y configuraciones internas, levantamiento final, y todas las etapas de cierre previas a la construcción. El nivel de detalle del diseño debe ser acorde a la fase del ciclo de vida de la instalación de relaves2.</v>
      </c>
      <c r="C66" s="32" t="s">
        <v>1765</v>
      </c>
      <c r="D66" s="31" t="s">
        <v>1732</v>
      </c>
      <c r="E66" s="30" t="str">
        <f>IF(D66="","",IFERROR(VLOOKUP(D66,Catalogo_Documentos!$A:$B,2,FALSE),"—"))</f>
        <v>Plan de disposición de relaves (LOM)</v>
      </c>
      <c r="F66" s="65" t="s">
        <v>1728</v>
      </c>
      <c r="G66" s="66">
        <v>1</v>
      </c>
      <c r="H66" s="67">
        <v>0.4</v>
      </c>
      <c r="I66" s="67">
        <f>Relacion[[#This Row],[Ponderación Criterio]]*Relacion[[#This Row],[% Avance Documento]]</f>
        <v>0.4</v>
      </c>
      <c r="J66" s="68"/>
      <c r="K66" s="68"/>
      <c r="L66" s="69">
        <f>Relacion[[#This Row],[Avance Ponderado Efectivo]]</f>
        <v>0.4</v>
      </c>
      <c r="M66" s="69" t="str">
        <f>IF(AND(L66&gt;=90%,L66&lt;=100%),"CUMPLE",IF(AND(L66&gt;=1%,L66&lt;90%),"CUMPLE PARCIALMENTE",IF(L66=0%,"NO CUMPLE","NO APLICA")))</f>
        <v>CUMPLE PARCIALMENTE</v>
      </c>
    </row>
    <row r="67" spans="1:13" ht="39.6">
      <c r="A67" s="8" t="s">
        <v>1102</v>
      </c>
      <c r="B67" s="7" t="str">
        <f>IF(A67="","",IFERROR(VLOOKUP(A67,Criterios!$A:$G,7,FALSE),"—"))</f>
        <v>El diseño de cierre cumple con todos los Requisitos del Estándar con suficiente detalle para demostrar la factibilidad del escenario de cierre.</v>
      </c>
      <c r="C67" s="33" t="s">
        <v>1764</v>
      </c>
      <c r="D67" s="31" t="s">
        <v>1673</v>
      </c>
      <c r="E67" s="30" t="str">
        <f>IF(D67="","",IFERROR(VLOOKUP(D67,Catalogo_Documentos!$A:$B,2,FALSE),"—"))</f>
        <v>Plan de cierre</v>
      </c>
      <c r="F67" s="65"/>
      <c r="G67" s="66">
        <v>0.33333333333333331</v>
      </c>
      <c r="H67" s="67">
        <v>0.4</v>
      </c>
      <c r="I67" s="67">
        <f>Relacion[[#This Row],[Ponderación Criterio]]*Relacion[[#This Row],[% Avance Documento]]</f>
        <v>0.13333333333333333</v>
      </c>
      <c r="J67" s="68"/>
      <c r="K67" s="68"/>
      <c r="L67" s="70">
        <f>SUM(I67:I69)</f>
        <v>0.43333333333333329</v>
      </c>
      <c r="M67" s="70" t="str">
        <f>IF(AND(L67&gt;=90%,L67&lt;=100%),"CUMPLE",IF(AND(L67&gt;=1%,L67&lt;90%),"CUMPLE PARCIALMENTE",IF(L67=0%,"NO CUMPLE","NO APLICA")))</f>
        <v>CUMPLE PARCIALMENTE</v>
      </c>
    </row>
    <row r="68" spans="1:13" ht="39.6">
      <c r="A68" s="8" t="s">
        <v>1106</v>
      </c>
      <c r="B68" s="7" t="str">
        <f>IF(A68="","",IFERROR(VLOOKUP(A68,Criterios!$A:$G,7,FALSE),"—"))</f>
        <v>El diseño de cierre permite la implementación del diseño de cierre durante la construcción y operación según sea adecuado.</v>
      </c>
      <c r="C68" s="33" t="s">
        <v>1764</v>
      </c>
      <c r="D68" s="31" t="s">
        <v>1673</v>
      </c>
      <c r="E68" s="30" t="str">
        <f>IF(D68="","",IFERROR(VLOOKUP(D68,Catalogo_Documentos!$A:$B,2,FALSE),"—"))</f>
        <v>Plan de cierre</v>
      </c>
      <c r="F68" s="65"/>
      <c r="G68" s="66">
        <v>0.33333333333333331</v>
      </c>
      <c r="H68" s="67">
        <v>0.7</v>
      </c>
      <c r="I68" s="67">
        <f>Relacion[[#This Row],[Ponderación Criterio]]*Relacion[[#This Row],[% Avance Documento]]</f>
        <v>0.23333333333333331</v>
      </c>
      <c r="J68" s="68"/>
      <c r="K68" s="68"/>
      <c r="L68" s="71"/>
      <c r="M68" s="71"/>
    </row>
    <row r="69" spans="1:13" ht="26.45">
      <c r="A69" s="8" t="s">
        <v>1109</v>
      </c>
      <c r="B69" s="7" t="str">
        <f>IF(A69="","",IFERROR(VLOOKUP(A69,Criterios!$A:$G,7,FALSE),"—"))</f>
        <v>El diseño incluye el cierre progresivo y la recuperación durante operaciones.</v>
      </c>
      <c r="C69" s="33" t="s">
        <v>1764</v>
      </c>
      <c r="D69" s="31" t="s">
        <v>1673</v>
      </c>
      <c r="E69" s="30" t="str">
        <f>IF(D69="","",IFERROR(VLOOKUP(D69,Catalogo_Documentos!$A:$B,2,FALSE),"—"))</f>
        <v>Plan de cierre</v>
      </c>
      <c r="F69" s="65"/>
      <c r="G69" s="66">
        <v>0.33333333333333331</v>
      </c>
      <c r="H69" s="67">
        <v>0.2</v>
      </c>
      <c r="I69" s="67">
        <f>Relacion[[#This Row],[Ponderación Criterio]]*Relacion[[#This Row],[% Avance Documento]]</f>
        <v>6.6666666666666666E-2</v>
      </c>
      <c r="J69" s="68"/>
      <c r="K69" s="68"/>
      <c r="L69" s="71"/>
      <c r="M69" s="71"/>
    </row>
    <row r="70" spans="1:13">
      <c r="A70" s="8" t="s">
        <v>1112</v>
      </c>
      <c r="B70" s="7" t="str">
        <f>IF(A70="","",IFERROR(VLOOKUP(A70,Criterios!$A:$G,7,FALSE),"—"))</f>
        <v>Confirmar que el diseño cumpla con ALARP.</v>
      </c>
      <c r="C70" s="32" t="s">
        <v>1765</v>
      </c>
      <c r="D70" s="31" t="s">
        <v>1677</v>
      </c>
      <c r="E70" s="30" t="str">
        <f>IF(D70="","",IFERROR(VLOOKUP(D70,Catalogo_Documentos!$A:$B,2,FALSE),"—"))</f>
        <v>Reporte ALARP</v>
      </c>
      <c r="F70" s="65" t="s">
        <v>1665</v>
      </c>
      <c r="G70" s="66">
        <v>0.16666666666666666</v>
      </c>
      <c r="H70" s="67">
        <v>1</v>
      </c>
      <c r="I70" s="67">
        <f>Relacion[[#This Row],[Ponderación Criterio]]*Relacion[[#This Row],[% Avance Documento]]</f>
        <v>0.16666666666666666</v>
      </c>
      <c r="J70" s="68"/>
      <c r="K70" s="68"/>
      <c r="L70" s="70">
        <f>SUM(I70:I75)</f>
        <v>0.86666666666666659</v>
      </c>
      <c r="M70" s="70" t="str">
        <f>IF(AND(L70&gt;=90%,L70&lt;=100%),"CUMPLE",IF(AND(L70&gt;=1%,L70&lt;90%),"CUMPLE PARCIALMENTE",IF(L70=0%,"NO CUMPLE","NO APLICA")))</f>
        <v>CUMPLE PARCIALMENTE</v>
      </c>
    </row>
    <row r="71" spans="1:13" ht="52.9">
      <c r="A71" s="8" t="s">
        <v>1116</v>
      </c>
      <c r="B71" s="7" t="str">
        <f>IF(A71="","",IFERROR(VLOOKUP(A71,Criterios!$A:$G,7,FALSE),"—"))</f>
        <v>Aprobar pasos adicionales razonables que se puedan tomar aguas abajo, para reducir aún más las consecuencias potenciales hacia las personas y medioambiente.</v>
      </c>
      <c r="C71" s="32" t="s">
        <v>1765</v>
      </c>
      <c r="D71" s="31" t="s">
        <v>1677</v>
      </c>
      <c r="E71" s="30" t="str">
        <f>IF(D71="","",IFERROR(VLOOKUP(D71,Catalogo_Documentos!$A:$B,2,FALSE),"—"))</f>
        <v>Reporte ALARP</v>
      </c>
      <c r="F71" s="65" t="s">
        <v>1665</v>
      </c>
      <c r="G71" s="66">
        <v>0.16666666666666666</v>
      </c>
      <c r="H71" s="67">
        <v>1</v>
      </c>
      <c r="I71" s="67">
        <f>Relacion[[#This Row],[Ponderación Criterio]]*Relacion[[#This Row],[% Avance Documento]]</f>
        <v>0.16666666666666666</v>
      </c>
      <c r="J71" s="68"/>
      <c r="K71" s="68"/>
      <c r="L71" s="71"/>
      <c r="M71" s="71"/>
    </row>
    <row r="72" spans="1:13" ht="39.6">
      <c r="A72" s="8" t="s">
        <v>1119</v>
      </c>
      <c r="B72" s="7" t="str">
        <f>IF(A72="","",IFERROR(VLOOKUP(A72,Criterios!$A:$G,7,FALSE),"—"))</f>
        <v xml:space="preserve">Explicar y documentar las decisiones con respecto al ALARP y medidas de reducción de consecuencias adicionales. </v>
      </c>
      <c r="C72" s="32" t="s">
        <v>1765</v>
      </c>
      <c r="D72" s="31" t="s">
        <v>1677</v>
      </c>
      <c r="E72" s="30" t="str">
        <f>IF(D72="","",IFERROR(VLOOKUP(D72,Catalogo_Documentos!$A:$B,2,FALSE),"—"))</f>
        <v>Reporte ALARP</v>
      </c>
      <c r="F72" s="65" t="s">
        <v>1665</v>
      </c>
      <c r="G72" s="66">
        <v>0.16666666666666666</v>
      </c>
      <c r="H72" s="67">
        <v>1</v>
      </c>
      <c r="I72" s="67">
        <f>Relacion[[#This Row],[Ponderación Criterio]]*Relacion[[#This Row],[% Avance Documento]]</f>
        <v>0.16666666666666666</v>
      </c>
      <c r="J72" s="68"/>
      <c r="K72" s="68"/>
      <c r="L72" s="71"/>
      <c r="M72" s="71"/>
    </row>
    <row r="73" spans="1:13">
      <c r="A73" s="8" t="s">
        <v>1122</v>
      </c>
      <c r="B73" s="7" t="str">
        <f>IF(A73="","",IFERROR(VLOOKUP(A73,Criterios!$A:$G,7,FALSE),"—"))</f>
        <v>Confirmar que el diseño cumpla con ALARP.</v>
      </c>
      <c r="C73" s="32" t="s">
        <v>1765</v>
      </c>
      <c r="D73" s="31" t="s">
        <v>1677</v>
      </c>
      <c r="E73" s="30" t="str">
        <f>IF(D73="","",IFERROR(VLOOKUP(D73,Catalogo_Documentos!$A:$B,2,FALSE),"—"))</f>
        <v>Reporte ALARP</v>
      </c>
      <c r="F73" s="65" t="s">
        <v>1665</v>
      </c>
      <c r="G73" s="66">
        <v>0.16666666666666666</v>
      </c>
      <c r="H73" s="67">
        <v>1</v>
      </c>
      <c r="I73" s="67">
        <f>Relacion[[#This Row],[Ponderación Criterio]]*Relacion[[#This Row],[% Avance Documento]]</f>
        <v>0.16666666666666666</v>
      </c>
      <c r="J73" s="68"/>
      <c r="K73" s="68"/>
      <c r="L73" s="71"/>
      <c r="M73" s="71"/>
    </row>
    <row r="74" spans="1:13" ht="52.9">
      <c r="A74" s="8" t="s">
        <v>1124</v>
      </c>
      <c r="B74" s="7" t="str">
        <f>IF(A74="","",IFERROR(VLOOKUP(A74,Criterios!$A:$G,7,FALSE),"—"))</f>
        <v>Buscar la identificación e implementación de pasos razonables adicionales que se puedan tomar para reducir aún más las consecuencias potenciales hacia las personas y medioambiente.</v>
      </c>
      <c r="C74" s="32" t="s">
        <v>1765</v>
      </c>
      <c r="D74" s="31" t="s">
        <v>1677</v>
      </c>
      <c r="E74" s="30" t="str">
        <f>IF(D74="","",IFERROR(VLOOKUP(D74,Catalogo_Documentos!$A:$B,2,FALSE),"—"))</f>
        <v>Reporte ALARP</v>
      </c>
      <c r="F74" s="65" t="s">
        <v>1665</v>
      </c>
      <c r="G74" s="66">
        <v>0.16666666666666666</v>
      </c>
      <c r="H74" s="67">
        <v>1</v>
      </c>
      <c r="I74" s="67">
        <f>Relacion[[#This Row],[Ponderación Criterio]]*Relacion[[#This Row],[% Avance Documento]]</f>
        <v>0.16666666666666666</v>
      </c>
      <c r="J74" s="68"/>
      <c r="K74" s="68"/>
      <c r="L74" s="71"/>
      <c r="M74" s="71"/>
    </row>
    <row r="75" spans="1:13" ht="52.9">
      <c r="A75" s="8" t="s">
        <v>1127</v>
      </c>
      <c r="B75" s="7" t="str">
        <f>IF(A75="","",IFERROR(VLOOKUP(A75,Criterios!$A:$G,7,FALSE),"—"))</f>
        <v>Explicar y documentar las decisiones con respecto al ALARP y medidas de reducción de consecuencias adicionales, consultando con grupos externos de ser adecuado.</v>
      </c>
      <c r="C75" s="32" t="s">
        <v>1765</v>
      </c>
      <c r="D75" s="31" t="s">
        <v>1677</v>
      </c>
      <c r="E75" s="30" t="str">
        <f>IF(D75="","",IFERROR(VLOOKUP(D75,Catalogo_Documentos!$A:$B,2,FALSE),"—"))</f>
        <v>Reporte ALARP</v>
      </c>
      <c r="F75" s="65" t="s">
        <v>1665</v>
      </c>
      <c r="G75" s="66">
        <v>0.16666666666666666</v>
      </c>
      <c r="H75" s="67">
        <v>0.2</v>
      </c>
      <c r="I75" s="67">
        <f>Relacion[[#This Row],[Ponderación Criterio]]*Relacion[[#This Row],[% Avance Documento]]</f>
        <v>3.3333333333333333E-2</v>
      </c>
      <c r="J75" s="68"/>
      <c r="K75" s="68"/>
      <c r="L75" s="71"/>
      <c r="M75" s="71"/>
    </row>
    <row r="76" spans="1:13" ht="52.9">
      <c r="A76" s="8" t="s">
        <v>1130</v>
      </c>
      <c r="B76" s="7" t="str">
        <f>IF(A76="","",IFERROR(VLOOKUP(A76,Criterios!$A:$G,7,FALSE),"—"))</f>
        <v>Los Operadores que poseen una instalación con un modelo de falla creíble, conforme al análisis de brecha, han agotado las medidas para reducir las consecuencias y no pueden evitar un reasentamiento preventivo.</v>
      </c>
      <c r="C76" s="32" t="s">
        <v>1765</v>
      </c>
      <c r="D76" s="31" t="s">
        <v>1665</v>
      </c>
      <c r="E76" s="30" t="str">
        <f>IF(D76="","",IFERROR(VLOOKUP(D76,Catalogo_Documentos!$A:$B,2,FALSE),"—"))</f>
        <v>Reporte de diseño base (DBR)</v>
      </c>
      <c r="F76" s="65" t="s">
        <v>1677</v>
      </c>
      <c r="G76" s="66">
        <v>0.5</v>
      </c>
      <c r="H76" s="67">
        <v>1</v>
      </c>
      <c r="I76" s="67">
        <f>Relacion[[#This Row],[Ponderación Criterio]]*Relacion[[#This Row],[% Avance Documento]]</f>
        <v>0.5</v>
      </c>
      <c r="J76" s="68"/>
      <c r="K76" s="68"/>
      <c r="L76" s="70">
        <f>SUM(I76:I77)</f>
        <v>1</v>
      </c>
      <c r="M76" s="70" t="str">
        <f>IF(AND(L76&gt;=90%,L76&lt;=100%),"CUMPLE",IF(AND(L76&gt;=1%,L76&lt;90%),"CUMPLE PARCIALMENTE",IF(L76=0%,"NO CUMPLE","NO APLICA")))</f>
        <v>CUMPLE</v>
      </c>
    </row>
    <row r="77" spans="1:13" ht="26.45">
      <c r="A77" s="8" t="s">
        <v>1134</v>
      </c>
      <c r="B77" s="7" t="str">
        <f>IF(A77="","",IFERROR(VLOOKUP(A77,Criterios!$A:$G,7,FALSE),"—"))</f>
        <v>El Operador ha cumplido con los estándares internacionales para el reasentamiento involuntario.</v>
      </c>
      <c r="C77" s="32" t="s">
        <v>1765</v>
      </c>
      <c r="D77" s="31" t="s">
        <v>1665</v>
      </c>
      <c r="E77" s="30" t="str">
        <f>IF(D77="","",IFERROR(VLOOKUP(D77,Catalogo_Documentos!$A:$B,2,FALSE),"—"))</f>
        <v>Reporte de diseño base (DBR)</v>
      </c>
      <c r="F77" s="65" t="s">
        <v>1677</v>
      </c>
      <c r="G77" s="66">
        <v>0.5</v>
      </c>
      <c r="H77" s="67">
        <v>1</v>
      </c>
      <c r="I77" s="67">
        <f>Relacion[[#This Row],[Ponderación Criterio]]*Relacion[[#This Row],[% Avance Documento]]</f>
        <v>0.5</v>
      </c>
      <c r="J77" s="68"/>
      <c r="K77" s="68"/>
      <c r="L77" s="71"/>
      <c r="M77" s="71"/>
    </row>
    <row r="78" spans="1:13" ht="52.9">
      <c r="A78" s="8" t="s">
        <v>1137</v>
      </c>
      <c r="B78" s="7" t="str">
        <f>IF(A78="","",IFERROR(VLOOKUP(A78,Criterios!$A:$G,7,FALSE),"—"))</f>
        <v>La intención del diseño, establecida en el DBR, es comprendida e implementada para la construcción, operación y cierre de cada fase del ciclo de vida de la instalación de relaves.</v>
      </c>
      <c r="C78" s="32" t="s">
        <v>1765</v>
      </c>
      <c r="D78" s="31" t="s">
        <v>1738</v>
      </c>
      <c r="E78" s="30" t="str">
        <f>IF(D78="","",IFERROR(VLOOKUP(D78,Catalogo_Documentos!$A:$B,2,FALSE),"—"))</f>
        <v>Permisos legales y permisos</v>
      </c>
      <c r="F78" s="65"/>
      <c r="G78" s="66">
        <v>0.25</v>
      </c>
      <c r="H78" s="67">
        <v>1</v>
      </c>
      <c r="I78" s="67">
        <f>Relacion[[#This Row],[Ponderación Criterio]]*Relacion[[#This Row],[% Avance Documento]]</f>
        <v>0.25</v>
      </c>
      <c r="J78" s="68"/>
      <c r="K78" s="68"/>
      <c r="L78" s="70">
        <f>SUM(I78:I81)</f>
        <v>0.54999999999999993</v>
      </c>
      <c r="M78" s="70" t="str">
        <f>IF(AND(L78&gt;=90%,L78&lt;=100%),"CUMPLE",IF(AND(L78&gt;=1%,L78&lt;90%),"CUMPLE PARCIALMENTE",IF(L78=0%,"NO CUMPLE","NO APLICA")))</f>
        <v>CUMPLE PARCIALMENTE</v>
      </c>
    </row>
    <row r="79" spans="1:13" ht="52.9">
      <c r="A79" s="8" t="s">
        <v>1141</v>
      </c>
      <c r="B79" s="7" t="str">
        <f>IF(A79="","",IFERROR(VLOOKUP(A79,Criterios!$A:$G,7,FALSE),"—"))</f>
        <v>El personal de construcción y operación asignado a las tareas relacionadas a los relaves están calificados en base a las cualidades definidas en el Sistema de Tratamiento de Relaves (TMS).</v>
      </c>
      <c r="C79" s="33" t="s">
        <v>1764</v>
      </c>
      <c r="D79" s="31" t="s">
        <v>1742</v>
      </c>
      <c r="E79" s="30" t="str">
        <f>IF(D79="","",IFERROR(VLOOKUP(D79,Catalogo_Documentos!$A:$B,2,FALSE),"—"))</f>
        <v>Sistema de gestión de relaves (TMS)</v>
      </c>
      <c r="F79" s="65"/>
      <c r="G79" s="66">
        <v>0.25</v>
      </c>
      <c r="H79" s="67">
        <v>0.4</v>
      </c>
      <c r="I79" s="67">
        <f>Relacion[[#This Row],[Ponderación Criterio]]*Relacion[[#This Row],[% Avance Documento]]</f>
        <v>0.1</v>
      </c>
      <c r="J79" s="68"/>
      <c r="K79" s="68"/>
      <c r="L79" s="71"/>
      <c r="M79" s="71"/>
    </row>
    <row r="80" spans="1:13" ht="79.150000000000006">
      <c r="A80" s="8" t="s">
        <v>1144</v>
      </c>
      <c r="B80" s="7" t="str">
        <f>IF(A80="","",IFERROR(VLOOKUP(A80,Criterios!$A:$G,7,FALSE),"—"))</f>
        <v>A lo largo de las etapas del ciclo de vida de la instalación de relaves se utiliza la metodología, equipo y procedimientos adecuados, métodos de adquisición de datos son utilizados e incorporados dentro del TMS y en el Sistema de Gestión Medioambiental y Social (ESMS) para la mina e infraestructura asociada.</v>
      </c>
      <c r="C80" s="33" t="s">
        <v>1764</v>
      </c>
      <c r="D80" s="31" t="s">
        <v>1742</v>
      </c>
      <c r="E80" s="30" t="str">
        <f>IF(D80="","",IFERROR(VLOOKUP(D80,Catalogo_Documentos!$A:$B,2,FALSE),"—"))</f>
        <v>Sistema de gestión de relaves (TMS)</v>
      </c>
      <c r="F80" s="65"/>
      <c r="G80" s="66">
        <v>0.25</v>
      </c>
      <c r="H80" s="67">
        <v>0.4</v>
      </c>
      <c r="I80" s="67">
        <f>Relacion[[#This Row],[Ponderación Criterio]]*Relacion[[#This Row],[% Avance Documento]]</f>
        <v>0.1</v>
      </c>
      <c r="J80" s="68"/>
      <c r="K80" s="68"/>
      <c r="L80" s="71"/>
      <c r="M80" s="71"/>
    </row>
    <row r="81" spans="1:13" ht="36" customHeight="1">
      <c r="A81" s="8" t="s">
        <v>1147</v>
      </c>
      <c r="B81" s="7" t="str">
        <f>IF(A81="","",IFERROR(VLOOKUP(A81,Criterios!$A:$G,7,FALSE),"—"))</f>
        <v>El TMS y el ESMS son implementados durante la construcción, operación y cierre.</v>
      </c>
      <c r="C81" s="33" t="s">
        <v>1764</v>
      </c>
      <c r="D81" s="31" t="s">
        <v>1742</v>
      </c>
      <c r="E81" s="30" t="str">
        <f>IF(D81="","",IFERROR(VLOOKUP(D81,Catalogo_Documentos!$A:$B,2,FALSE),"—"))</f>
        <v>Sistema de gestión de relaves (TMS)</v>
      </c>
      <c r="F81" s="65"/>
      <c r="G81" s="66">
        <v>0.25</v>
      </c>
      <c r="H81" s="67">
        <v>0.4</v>
      </c>
      <c r="I81" s="67">
        <f>Relacion[[#This Row],[Ponderación Criterio]]*Relacion[[#This Row],[% Avance Documento]]</f>
        <v>0.1</v>
      </c>
      <c r="J81" s="68"/>
      <c r="K81" s="68"/>
      <c r="L81" s="71"/>
      <c r="M81" s="71"/>
    </row>
    <row r="82" spans="1:13" ht="52.9">
      <c r="A82" s="8" t="s">
        <v>1150</v>
      </c>
      <c r="B82" s="7" t="str">
        <f>IF(A82="","",IFERROR(VLOOKUP(A82,Criterios!$A:$G,7,FALSE),"—"))</f>
        <v>Programas de Control de Calidad (QC) y Aseguramiento de Calidad (QA) sean establecidos para supervisar la calidad y adecuación de los procesos de construcción y operación.</v>
      </c>
      <c r="C82" s="32" t="s">
        <v>1765</v>
      </c>
      <c r="D82" s="31" t="s">
        <v>1681</v>
      </c>
      <c r="E82" s="30" t="str">
        <f>IF(D82="","",IFERROR(VLOOKUP(D82,Catalogo_Documentos!$A:$B,2,FALSE),"—"))</f>
        <v>Construcción vs verificación de la intención de diseño (CDIV)</v>
      </c>
      <c r="F82" s="65" t="s">
        <v>1767</v>
      </c>
      <c r="G82" s="66">
        <v>1</v>
      </c>
      <c r="H82" s="67">
        <v>0.4</v>
      </c>
      <c r="I82" s="67">
        <f>Relacion[[#This Row],[Ponderación Criterio]]*Relacion[[#This Row],[% Avance Documento]]</f>
        <v>0.4</v>
      </c>
      <c r="J82" s="68"/>
      <c r="K82" s="68"/>
      <c r="L82" s="70">
        <f>SUM(I82:I83)</f>
        <v>0.8</v>
      </c>
      <c r="M82" s="70" t="str">
        <f>IF(AND(L82&gt;=90%,L82&lt;=100%),"CUMPLE",IF(AND(L82&gt;=1%,L82&lt;90%),"CUMPLE PARCIALMENTE",IF(L82=0%,"NO CUMPLE","NO APLICA")))</f>
        <v>CUMPLE PARCIALMENTE</v>
      </c>
    </row>
    <row r="83" spans="1:13" ht="39.6">
      <c r="A83" s="8" t="s">
        <v>1154</v>
      </c>
      <c r="B83" s="7" t="str">
        <f>IF(A83="","",IFERROR(VLOOKUP(A83,Criterios!$A:$G,7,FALSE),"—"))</f>
        <v>Se cumple con un programa CDIV que confirme que se cumpla con la intención de diseño si las condiciones varían a las hipótesis de diseño.</v>
      </c>
      <c r="C83" s="33" t="s">
        <v>1764</v>
      </c>
      <c r="D83" s="31" t="s">
        <v>1681</v>
      </c>
      <c r="E83" s="30" t="str">
        <f>IF(D83="","",IFERROR(VLOOKUP(D83,Catalogo_Documentos!$A:$B,2,FALSE),"—"))</f>
        <v>Construcción vs verificación de la intención de diseño (CDIV)</v>
      </c>
      <c r="F83" s="65"/>
      <c r="G83" s="66">
        <v>1</v>
      </c>
      <c r="H83" s="67">
        <v>0.4</v>
      </c>
      <c r="I83" s="67">
        <f>Relacion[[#This Row],[Ponderación Criterio]]*Relacion[[#This Row],[% Avance Documento]]</f>
        <v>0.4</v>
      </c>
      <c r="J83" s="68"/>
      <c r="K83" s="68"/>
      <c r="L83" s="71"/>
      <c r="M83" s="71"/>
    </row>
    <row r="84" spans="1:13" ht="52.9">
      <c r="A84" s="8" t="s">
        <v>1157</v>
      </c>
      <c r="B84" s="7" t="str">
        <f>IF(A84="","",IFERROR(VLOOKUP(A84,Criterios!$A:$G,7,FALSE),"—"))</f>
        <v>Los Reportes de Registros de Construcción (CRR) están actualizados y listos para cuando haya un cambio material en la instalación de relaves, su infraestructura, o sistema de monitoreo.</v>
      </c>
      <c r="C84" s="33" t="s">
        <v>1764</v>
      </c>
      <c r="D84" s="31" t="s">
        <v>1675</v>
      </c>
      <c r="E84" s="30" t="str">
        <f>IF(D84="","",IFERROR(VLOOKUP(D84,Catalogo_Documentos!$A:$B,2,FALSE),"—"))</f>
        <v>Reportes de registro de construcción / incluye QA y QC (CRR)</v>
      </c>
      <c r="F84" s="65"/>
      <c r="G84" s="66">
        <v>0.5</v>
      </c>
      <c r="H84" s="67">
        <v>0.4</v>
      </c>
      <c r="I84" s="67">
        <f>Relacion[[#This Row],[Ponderación Criterio]]*Relacion[[#This Row],[% Avance Documento]]</f>
        <v>0.2</v>
      </c>
      <c r="J84" s="68"/>
      <c r="K84" s="68"/>
      <c r="L84" s="70">
        <f>SUM(I84:I85)</f>
        <v>0.30000000000000004</v>
      </c>
      <c r="M84" s="70" t="str">
        <f>IF(AND(L84&gt;=90%,L84&lt;=100%),"CUMPLE",IF(AND(L84&gt;=1%,L84&lt;90%),"CUMPLE PARCIALMENTE",IF(L84=0%,"NO CUMPLE","NO APLICA")))</f>
        <v>CUMPLE PARCIALMENTE</v>
      </c>
    </row>
    <row r="85" spans="1:13" ht="26.45">
      <c r="A85" s="8" t="s">
        <v>1161</v>
      </c>
      <c r="B85" s="7" t="str">
        <f>IF(A85="","",IFERROR(VLOOKUP(A85,Criterios!$A:$G,7,FALSE),"—"))</f>
        <v>Los CRRs han sido firmados por el RTFE y el EOR.</v>
      </c>
      <c r="C85" s="33" t="s">
        <v>1764</v>
      </c>
      <c r="D85" s="31" t="s">
        <v>1675</v>
      </c>
      <c r="E85" s="30" t="str">
        <f>IF(D85="","",IFERROR(VLOOKUP(D85,Catalogo_Documentos!$A:$B,2,FALSE),"—"))</f>
        <v>Reportes de registro de construcción / incluye QA y QC (CRR)</v>
      </c>
      <c r="F85" s="65"/>
      <c r="G85" s="66">
        <v>0.5</v>
      </c>
      <c r="H85" s="67">
        <v>0.2</v>
      </c>
      <c r="I85" s="67">
        <f>Relacion[[#This Row],[Ponderación Criterio]]*Relacion[[#This Row],[% Avance Documento]]</f>
        <v>0.1</v>
      </c>
      <c r="J85" s="68"/>
      <c r="K85" s="68"/>
      <c r="L85" s="71"/>
      <c r="M85" s="71"/>
    </row>
    <row r="86" spans="1:13" ht="66">
      <c r="A86" s="8" t="s">
        <v>1164</v>
      </c>
      <c r="B86" s="7" t="str">
        <f>IF(A86="","",IFERROR(VLOOKUP(A86,Criterios!$A:$G,7,FALSE),"—"))</f>
        <v>Se implementa un Manual de Operación, Mantenimiento y Supervisión (OMS), cubre todas las instalaciones de relaves e incluye los requisitos para las actividades del manual de OMS necesarias para la gestión eficaz de riesgos basadas en las mejores prácticas.</v>
      </c>
      <c r="C86" s="33" t="s">
        <v>1764</v>
      </c>
      <c r="D86" s="31" t="s">
        <v>1683</v>
      </c>
      <c r="E86" s="30" t="str">
        <f>IF(D86="","",IFERROR(VLOOKUP(D86,Catalogo_Documentos!$A:$B,2,FALSE),"—"))</f>
        <v>Manual de Operación, Mantenimiento y Vigilancia (OMS)</v>
      </c>
      <c r="F86" s="65"/>
      <c r="G86" s="66">
        <v>0.2</v>
      </c>
      <c r="H86" s="67">
        <v>0.2</v>
      </c>
      <c r="I86" s="67">
        <f>Relacion[[#This Row],[Ponderación Criterio]]*Relacion[[#This Row],[% Avance Documento]]</f>
        <v>4.0000000000000008E-2</v>
      </c>
      <c r="J86" s="68"/>
      <c r="K86" s="68"/>
      <c r="L86" s="70">
        <f>SUM(I86:I90)</f>
        <v>0.20000000000000004</v>
      </c>
      <c r="M86" s="70" t="str">
        <f>IF(AND(L86&gt;=90%,L86&lt;=100%),"CUMPLE",IF(AND(L86&gt;=1%,L86&lt;90%),"CUMPLE PARCIALMENTE",IF(L86=0%,"NO CUMPLE","NO APLICA")))</f>
        <v>CUMPLE PARCIALMENTE</v>
      </c>
    </row>
    <row r="87" spans="1:13" ht="39.6">
      <c r="A87" s="8" t="s">
        <v>1168</v>
      </c>
      <c r="B87" s="7" t="str">
        <f>IF(A87="","",IFERROR(VLOOKUP(A87,Criterios!$A:$G,7,FALSE),"—"))</f>
        <v>El manual de OMS se revisa anualmente o más frecuentemente si hay alguna actualización debido a un cambio material según lo defina el Operador.</v>
      </c>
      <c r="C87" s="33" t="s">
        <v>1764</v>
      </c>
      <c r="D87" s="31" t="s">
        <v>1683</v>
      </c>
      <c r="E87" s="30" t="str">
        <f>IF(D87="","",IFERROR(VLOOKUP(D87,Catalogo_Documentos!$A:$B,2,FALSE),"—"))</f>
        <v>Manual de Operación, Mantenimiento y Vigilancia (OMS)</v>
      </c>
      <c r="F87" s="65"/>
      <c r="G87" s="66">
        <v>0.2</v>
      </c>
      <c r="H87" s="67">
        <v>0.2</v>
      </c>
      <c r="I87" s="67">
        <f>Relacion[[#This Row],[Ponderación Criterio]]*Relacion[[#This Row],[% Avance Documento]]</f>
        <v>4.0000000000000008E-2</v>
      </c>
      <c r="J87" s="68"/>
      <c r="K87" s="68"/>
      <c r="L87" s="71"/>
      <c r="M87" s="71"/>
    </row>
    <row r="88" spans="1:13" ht="66">
      <c r="A88" s="8" t="s">
        <v>1171</v>
      </c>
      <c r="B88" s="7" t="str">
        <f>IF(A88="","",IFERROR(VLOOKUP(A88,Criterios!$A:$G,7,FALSE),"—"))</f>
        <v>El manual de OMS proporciona un contexto claro e incluye la inspección, mantenimiento y monitoreo de los requisitos identificados incluyendo los controles fundamentales para la operación segura y es revisado para su eficacia.</v>
      </c>
      <c r="C88" s="33" t="s">
        <v>1764</v>
      </c>
      <c r="D88" s="31" t="s">
        <v>1683</v>
      </c>
      <c r="E88" s="30" t="str">
        <f>IF(D88="","",IFERROR(VLOOKUP(D88,Catalogo_Documentos!$A:$B,2,FALSE),"—"))</f>
        <v>Manual de Operación, Mantenimiento y Vigilancia (OMS)</v>
      </c>
      <c r="F88" s="65"/>
      <c r="G88" s="66">
        <v>0.2</v>
      </c>
      <c r="H88" s="67">
        <v>0.2</v>
      </c>
      <c r="I88" s="67">
        <f>Relacion[[#This Row],[Ponderación Criterio]]*Relacion[[#This Row],[% Avance Documento]]</f>
        <v>4.0000000000000008E-2</v>
      </c>
      <c r="J88" s="68"/>
      <c r="K88" s="68"/>
      <c r="L88" s="71"/>
      <c r="M88" s="71"/>
    </row>
    <row r="89" spans="1:13" ht="26.45">
      <c r="A89" s="8" t="s">
        <v>1174</v>
      </c>
      <c r="B89" s="7" t="str">
        <f>IF(A89="","",IFERROR(VLOOKUP(A89,Criterios!$A:$G,7,FALSE),"—"))</f>
        <v>El RTFE asegura que el personal involucrado en el TMS tiene acceso al Manual de OMS,</v>
      </c>
      <c r="C89" s="33" t="s">
        <v>1764</v>
      </c>
      <c r="D89" s="31" t="s">
        <v>1683</v>
      </c>
      <c r="E89" s="30" t="str">
        <f>IF(D89="","",IFERROR(VLOOKUP(D89,Catalogo_Documentos!$A:$B,2,FALSE),"—"))</f>
        <v>Manual de Operación, Mantenimiento y Vigilancia (OMS)</v>
      </c>
      <c r="F89" s="65"/>
      <c r="G89" s="66">
        <v>0.2</v>
      </c>
      <c r="H89" s="67">
        <v>0.2</v>
      </c>
      <c r="I89" s="67">
        <f>Relacion[[#This Row],[Ponderación Criterio]]*Relacion[[#This Row],[% Avance Documento]]</f>
        <v>4.0000000000000008E-2</v>
      </c>
      <c r="J89" s="68"/>
      <c r="K89" s="68"/>
      <c r="L89" s="71"/>
      <c r="M89" s="71"/>
    </row>
    <row r="90" spans="1:13" ht="26.45">
      <c r="A90" s="8" t="s">
        <v>1177</v>
      </c>
      <c r="B90" s="7" t="str">
        <f>IF(A90="","",IFERROR(VLOOKUP(A90,Criterios!$A:$G,7,FALSE),"—"))</f>
        <v>El RTFE debe proporcionar acceso a la capacitación del personal en todos los niveles involucrados en el TMS.</v>
      </c>
      <c r="C90" s="33" t="s">
        <v>1764</v>
      </c>
      <c r="D90" s="31" t="s">
        <v>1683</v>
      </c>
      <c r="E90" s="30" t="str">
        <f>IF(D90="","",IFERROR(VLOOKUP(D90,Catalogo_Documentos!$A:$B,2,FALSE),"—"))</f>
        <v>Manual de Operación, Mantenimiento y Vigilancia (OMS)</v>
      </c>
      <c r="F90" s="65"/>
      <c r="G90" s="66">
        <v>0.2</v>
      </c>
      <c r="H90" s="67">
        <v>0.2</v>
      </c>
      <c r="I90" s="67">
        <f>Relacion[[#This Row],[Ponderación Criterio]]*Relacion[[#This Row],[% Avance Documento]]</f>
        <v>4.0000000000000008E-2</v>
      </c>
      <c r="J90" s="68"/>
      <c r="K90" s="68"/>
      <c r="L90" s="71"/>
      <c r="M90" s="71"/>
    </row>
    <row r="91" spans="1:13" ht="26.45" customHeight="1">
      <c r="A91" s="8" t="s">
        <v>1180</v>
      </c>
      <c r="B91" s="7" t="str">
        <f>IF(A91="","",IFERROR(VLOOKUP(A91,Criterios!$A:$G,7,FALSE),"—"))</f>
        <v>Se establece un Sistema de Gestión de Cambios.</v>
      </c>
      <c r="C91" s="33" t="s">
        <v>1764</v>
      </c>
      <c r="D91" s="31" t="s">
        <v>1661</v>
      </c>
      <c r="E91" s="30" t="str">
        <f>IF(D91="","",IFERROR(VLOOKUP(D91,Catalogo_Documentos!$A:$B,2,FALSE),"—"))</f>
        <v>Guía de gestión de cambios</v>
      </c>
      <c r="F91" s="65"/>
      <c r="G91" s="66">
        <v>0.16666666666666666</v>
      </c>
      <c r="H91" s="67">
        <v>0.2</v>
      </c>
      <c r="I91" s="67">
        <f>Relacion[[#This Row],[Ponderación Criterio]]*Relacion[[#This Row],[% Avance Documento]]</f>
        <v>3.3333333333333333E-2</v>
      </c>
      <c r="J91" s="68"/>
      <c r="K91" s="68"/>
      <c r="L91" s="70">
        <f>SUM(I91:I96)</f>
        <v>0.19999999999999998</v>
      </c>
      <c r="M91" s="70" t="str">
        <f>IF(AND(L91&gt;=90%,L91&lt;=100%),"CUMPLE",IF(AND(L91&gt;=1%,L91&lt;90%),"CUMPLE PARCIALMENTE",IF(L91=0%,"NO CUMPLE","NO APLICA")))</f>
        <v>CUMPLE PARCIALMENTE</v>
      </c>
    </row>
    <row r="92" spans="1:13" ht="52.9">
      <c r="A92" s="8" t="s">
        <v>1184</v>
      </c>
      <c r="B92" s="7" t="str">
        <f>IF(A92="","",IFERROR(VLOOKUP(A92,Criterios!$A:$G,7,FALSE),"—"))</f>
        <v>El Sistema de Gestión de Cambios incluye procesos para la identificación de cambios y procesos para la evaluación, revisión, aprobación y documentación de cambios a lo largo del ciclo de vida de la instalación.</v>
      </c>
      <c r="C92" s="33" t="s">
        <v>1764</v>
      </c>
      <c r="D92" s="31" t="s">
        <v>1661</v>
      </c>
      <c r="E92" s="30" t="str">
        <f>IF(D92="","",IFERROR(VLOOKUP(D92,Catalogo_Documentos!$A:$B,2,FALSE),"—"))</f>
        <v>Guía de gestión de cambios</v>
      </c>
      <c r="F92" s="65"/>
      <c r="G92" s="66">
        <v>0.16666666666666666</v>
      </c>
      <c r="H92" s="67">
        <v>0.2</v>
      </c>
      <c r="I92" s="67">
        <f>Relacion[[#This Row],[Ponderación Criterio]]*Relacion[[#This Row],[% Avance Documento]]</f>
        <v>3.3333333333333333E-2</v>
      </c>
      <c r="J92" s="68"/>
      <c r="K92" s="68"/>
      <c r="L92" s="71"/>
      <c r="M92" s="71"/>
    </row>
    <row r="93" spans="1:13" ht="39.6">
      <c r="A93" s="8" t="s">
        <v>1187</v>
      </c>
      <c r="B93" s="7" t="str">
        <f>IF(A93="","",IFERROR(VLOOKUP(A93,Criterios!$A:$G,7,FALSE),"—"))</f>
        <v>El Sistema de Gestión de Cambios abarca y documenta cambios materiales al diseño, construcción, operaciones o monitoreo.</v>
      </c>
      <c r="C93" s="33" t="s">
        <v>1764</v>
      </c>
      <c r="D93" s="31" t="s">
        <v>1661</v>
      </c>
      <c r="E93" s="30" t="str">
        <f>IF(D93="","",IFERROR(VLOOKUP(D93,Catalogo_Documentos!$A:$B,2,FALSE),"—"))</f>
        <v>Guía de gestión de cambios</v>
      </c>
      <c r="F93" s="65"/>
      <c r="G93" s="66">
        <v>0.16666666666666666</v>
      </c>
      <c r="H93" s="67">
        <v>0.2</v>
      </c>
      <c r="I93" s="67">
        <f>Relacion[[#This Row],[Ponderación Criterio]]*Relacion[[#This Row],[% Avance Documento]]</f>
        <v>3.3333333333333333E-2</v>
      </c>
      <c r="J93" s="68"/>
      <c r="K93" s="68"/>
      <c r="L93" s="71"/>
      <c r="M93" s="71"/>
    </row>
    <row r="94" spans="1:13" ht="39.6">
      <c r="A94" s="8" t="s">
        <v>1190</v>
      </c>
      <c r="B94" s="7" t="str">
        <f>IF(A94="","",IFERROR(VLOOKUP(A94,Criterios!$A:$G,7,FALSE),"—"))</f>
        <v>Un DAR es preparado y actualizado periódicamente por el EOR, el cual abarcar el impacto acumulativo de los cambios materiales a la instalación construida.</v>
      </c>
      <c r="C94" s="33" t="s">
        <v>1764</v>
      </c>
      <c r="D94" s="31" t="s">
        <v>1689</v>
      </c>
      <c r="E94" s="30" t="str">
        <f>IF(D94="","",IFERROR(VLOOKUP(D94,Catalogo_Documentos!$A:$B,2,FALSE),"—"))</f>
        <v>Reporte de responsabilidad por desviación (DAR)</v>
      </c>
      <c r="F94" s="65"/>
      <c r="G94" s="66">
        <v>0.16666666666666666</v>
      </c>
      <c r="H94" s="67">
        <v>0.2</v>
      </c>
      <c r="I94" s="67">
        <f>Relacion[[#This Row],[Ponderación Criterio]]*Relacion[[#This Row],[% Avance Documento]]</f>
        <v>3.3333333333333333E-2</v>
      </c>
      <c r="J94" s="68"/>
      <c r="K94" s="68"/>
      <c r="L94" s="71"/>
      <c r="M94" s="71"/>
    </row>
    <row r="95" spans="1:13" ht="39.6">
      <c r="A95" s="8" t="s">
        <v>1193</v>
      </c>
      <c r="B95" s="7" t="str">
        <f>IF(A95="","",IFERROR(VLOOKUP(A95,Criterios!$A:$G,7,FALSE),"—"))</f>
        <v>Se han implementado recomendaciones del DAR a través de actualizaciones para la construcción, diseño, DBR, Manual de OMS y al programa de monitoreo.</v>
      </c>
      <c r="C95" s="33" t="s">
        <v>1764</v>
      </c>
      <c r="D95" s="31" t="s">
        <v>1689</v>
      </c>
      <c r="E95" s="30" t="str">
        <f>IF(D95="","",IFERROR(VLOOKUP(D95,Catalogo_Documentos!$A:$B,2,FALSE),"—"))</f>
        <v>Reporte de responsabilidad por desviación (DAR)</v>
      </c>
      <c r="F95" s="65"/>
      <c r="G95" s="66">
        <v>0.16666666666666666</v>
      </c>
      <c r="H95" s="67">
        <v>0.2</v>
      </c>
      <c r="I95" s="67">
        <f>Relacion[[#This Row],[Ponderación Criterio]]*Relacion[[#This Row],[% Avance Documento]]</f>
        <v>3.3333333333333333E-2</v>
      </c>
      <c r="J95" s="68"/>
      <c r="K95" s="68"/>
      <c r="L95" s="71"/>
      <c r="M95" s="71"/>
    </row>
    <row r="96" spans="1:13" ht="26.45">
      <c r="A96" s="8" t="s">
        <v>1196</v>
      </c>
      <c r="B96" s="7" t="str">
        <f>IF(A96="","",IFERROR(VLOOKUP(A96,Criterios!$A:$G,7,FALSE),"—"))</f>
        <v>El Ejecutivo Responsable ha aprobado el DAR.</v>
      </c>
      <c r="C96" s="33" t="s">
        <v>1764</v>
      </c>
      <c r="D96" s="31" t="s">
        <v>1689</v>
      </c>
      <c r="E96" s="30" t="str">
        <f>IF(D96="","",IFERROR(VLOOKUP(D96,Catalogo_Documentos!$A:$B,2,FALSE),"—"))</f>
        <v>Reporte de responsabilidad por desviación (DAR)</v>
      </c>
      <c r="F96" s="65"/>
      <c r="G96" s="66">
        <v>0.16666666666666666</v>
      </c>
      <c r="H96" s="67">
        <v>0.2</v>
      </c>
      <c r="I96" s="67">
        <f>Relacion[[#This Row],[Ponderación Criterio]]*Relacion[[#This Row],[% Avance Documento]]</f>
        <v>3.3333333333333333E-2</v>
      </c>
      <c r="J96" s="68"/>
      <c r="K96" s="68"/>
      <c r="L96" s="71"/>
      <c r="M96" s="71"/>
    </row>
    <row r="97" spans="1:13" ht="39.6">
      <c r="A97" s="8" t="s">
        <v>1199</v>
      </c>
      <c r="B97" s="7" t="str">
        <f>IF(A97="","",IFERROR(VLOOKUP(A97,Criterios!$A:$G,7,FALSE),"—"))</f>
        <v>Revisiones de nuevas tecnologías y enfoques para el tratamiento de relaves se llevan a cabo considerando el ciclo de vida de la instalación de relaves.</v>
      </c>
      <c r="C97" s="32" t="s">
        <v>1765</v>
      </c>
      <c r="D97" s="31" t="s">
        <v>1655</v>
      </c>
      <c r="E97" s="30" t="str">
        <f>IF(D97="","",IFERROR(VLOOKUP(D97,Catalogo_Documentos!$A:$B,2,FALSE),"—"))</f>
        <v>Análisis de alternativas de criterio múltiple.</v>
      </c>
      <c r="F97" s="65"/>
      <c r="G97" s="66">
        <v>0.5</v>
      </c>
      <c r="H97" s="67">
        <v>0.2</v>
      </c>
      <c r="I97" s="67">
        <f>Relacion[[#This Row],[Ponderación Criterio]]*Relacion[[#This Row],[% Avance Documento]]</f>
        <v>0.1</v>
      </c>
      <c r="J97" s="68"/>
      <c r="K97" s="68"/>
      <c r="L97" s="70">
        <f>SUM(I97:I98)</f>
        <v>0.2</v>
      </c>
      <c r="M97" s="70" t="str">
        <f>IF(AND(L97&gt;=90%,L97&lt;=100%),"CUMPLE",IF(AND(L97&gt;=1%,L97&lt;90%),"CUMPLE PARCIALMENTE",IF(L97=0%,"NO CUMPLE","NO APLICA")))</f>
        <v>CUMPLE PARCIALMENTE</v>
      </c>
    </row>
    <row r="98" spans="1:13" ht="39.6">
      <c r="A98" s="8" t="s">
        <v>1203</v>
      </c>
      <c r="B98" s="7" t="str">
        <f>IF(A98="","",IFERROR(VLOOKUP(A98,Criterios!$A:$G,7,FALSE),"—"))</f>
        <v>Los resultados materiales de las revisiones han sido incorporados en las mejoras del diseño, construcción y operación de la instalación.</v>
      </c>
      <c r="C98" s="32" t="s">
        <v>1765</v>
      </c>
      <c r="D98" s="31" t="s">
        <v>1655</v>
      </c>
      <c r="E98" s="30" t="str">
        <f>IF(D98="","",IFERROR(VLOOKUP(D98,Catalogo_Documentos!$A:$B,2,FALSE),"—"))</f>
        <v>Análisis de alternativas de criterio múltiple.</v>
      </c>
      <c r="F98" s="65"/>
      <c r="G98" s="66">
        <v>0.5</v>
      </c>
      <c r="H98" s="67">
        <v>0.2</v>
      </c>
      <c r="I98" s="67">
        <f>Relacion[[#This Row],[Ponderación Criterio]]*Relacion[[#This Row],[% Avance Documento]]</f>
        <v>0.1</v>
      </c>
      <c r="J98" s="68"/>
      <c r="K98" s="68"/>
      <c r="L98" s="71"/>
      <c r="M98" s="71"/>
    </row>
    <row r="99" spans="1:13" ht="79.150000000000006">
      <c r="A99" s="8" t="s">
        <v>1206</v>
      </c>
      <c r="B99" s="7" t="str">
        <f>IF(A99="","",IFERROR(VLOOKUP(A99,Criterios!$A:$G,7,FALSE),"—"))</f>
        <v>Se ha desarrollado un programa de monitoreo de desempeño integrado completo para la instalación de relaves y sus estructuras correspondientes y forma parte del TMS, e incluye actividades para la inspección, revisión, y requisitos de monitoreo en regla con la instalación del manual de OMS.</v>
      </c>
      <c r="C99" s="33" t="s">
        <v>1764</v>
      </c>
      <c r="D99" s="31" t="s">
        <v>1742</v>
      </c>
      <c r="E99" s="30" t="str">
        <f>IF(D99="","",IFERROR(VLOOKUP(D99,Catalogo_Documentos!$A:$B,2,FALSE),"—"))</f>
        <v>Sistema de gestión de relaves (TMS)</v>
      </c>
      <c r="F99" s="65"/>
      <c r="G99" s="66">
        <v>0.33333333333333331</v>
      </c>
      <c r="H99" s="67">
        <v>0.2</v>
      </c>
      <c r="I99" s="67">
        <f>Relacion[[#This Row],[Ponderación Criterio]]*Relacion[[#This Row],[% Avance Documento]]</f>
        <v>6.6666666666666666E-2</v>
      </c>
      <c r="J99" s="68"/>
      <c r="K99" s="68"/>
      <c r="L99" s="70">
        <f>SUM(I99:I101)</f>
        <v>0.2</v>
      </c>
      <c r="M99" s="70" t="str">
        <f>IF(AND(L99&gt;=90%,L99&lt;=100%),"CUMPLE",IF(AND(L99&gt;=1%,L99&lt;90%),"CUMPLE PARCIALMENTE",IF(L99=0%,"NO CUMPLE","NO APLICA")))</f>
        <v>CUMPLE PARCIALMENTE</v>
      </c>
    </row>
    <row r="100" spans="1:13" ht="52.9">
      <c r="A100" s="8" t="s">
        <v>1210</v>
      </c>
      <c r="B100" s="7" t="str">
        <f>IF(A100="","",IFERROR(VLOOKUP(A100,Criterios!$A:$G,7,FALSE),"—"))</f>
        <v>Los aspectos del ESMS que están vinculados al monitoreo del desempeño de la instalación de relaves son identificados e incluidos en el programa de monitoreo de desempeño.</v>
      </c>
      <c r="C100" s="32" t="s">
        <v>1765</v>
      </c>
      <c r="D100" s="31" t="s">
        <v>1742</v>
      </c>
      <c r="E100" s="30" t="str">
        <f>IF(D100="","",IFERROR(VLOOKUP(D100,Catalogo_Documentos!$A:$B,2,FALSE),"—"))</f>
        <v>Sistema de gestión de relaves (TMS)</v>
      </c>
      <c r="F100" s="65"/>
      <c r="G100" s="66">
        <v>0.33333333333333331</v>
      </c>
      <c r="H100" s="67">
        <v>0.2</v>
      </c>
      <c r="I100" s="67">
        <f>Relacion[[#This Row],[Ponderación Criterio]]*Relacion[[#This Row],[% Avance Documento]]</f>
        <v>6.6666666666666666E-2</v>
      </c>
      <c r="J100" s="68"/>
      <c r="K100" s="68"/>
      <c r="L100" s="71"/>
      <c r="M100" s="71"/>
    </row>
    <row r="101" spans="1:13" ht="52.9">
      <c r="A101" s="8" t="s">
        <v>1213</v>
      </c>
      <c r="B101" s="7" t="str">
        <f>IF(A101="","",IFERROR(VLOOKUP(A101,Criterios!$A:$G,7,FALSE),"—"))</f>
        <v>El programa de monitoreo de desempeño es integrado y refleja otros programas tales como el manual de OMS y se actualiza manteniendo los principios de la Gestión Adaptativa.</v>
      </c>
      <c r="C101" s="32" t="s">
        <v>1765</v>
      </c>
      <c r="D101" s="31" t="s">
        <v>1742</v>
      </c>
      <c r="E101" s="30" t="str">
        <f>IF(D101="","",IFERROR(VLOOKUP(D101,Catalogo_Documentos!$A:$B,2,FALSE),"—"))</f>
        <v>Sistema de gestión de relaves (TMS)</v>
      </c>
      <c r="F101" s="65" t="s">
        <v>1683</v>
      </c>
      <c r="G101" s="66">
        <v>0.33333333333333331</v>
      </c>
      <c r="H101" s="67">
        <v>0.2</v>
      </c>
      <c r="I101" s="67">
        <f>Relacion[[#This Row],[Ponderación Criterio]]*Relacion[[#This Row],[% Avance Documento]]</f>
        <v>6.6666666666666666E-2</v>
      </c>
      <c r="J101" s="68"/>
      <c r="K101" s="68"/>
      <c r="L101" s="71"/>
      <c r="M101" s="71"/>
    </row>
    <row r="102" spans="1:13" ht="52.9">
      <c r="A102" s="8" t="s">
        <v>1216</v>
      </c>
      <c r="B102" s="7" t="str">
        <f>IF(A102="","",IFERROR(VLOOKUP(A102,Criterios!$A:$G,7,FALSE),"—"))</f>
        <v>Un sistema de monitoreo de ingeniería completo e integrado ha sido diseñado y utilizado para verificar variables en el diseño y para monitorear modelos de falla potenciales.</v>
      </c>
      <c r="C102" s="32" t="s">
        <v>1765</v>
      </c>
      <c r="D102" s="31" t="s">
        <v>1728</v>
      </c>
      <c r="E102" s="30" t="str">
        <f>IF(D102="","",IFERROR(VLOOKUP(D102,Catalogo_Documentos!$A:$B,2,FALSE),"—"))</f>
        <v>Informe de ingeniería</v>
      </c>
      <c r="F102" s="65" t="s">
        <v>1752</v>
      </c>
      <c r="G102" s="66">
        <v>0.33333333333333331</v>
      </c>
      <c r="H102" s="67">
        <v>1</v>
      </c>
      <c r="I102" s="67">
        <f>Relacion[[#This Row],[Ponderación Criterio]]*Relacion[[#This Row],[% Avance Documento]]</f>
        <v>0.33333333333333331</v>
      </c>
      <c r="J102" s="68"/>
      <c r="K102" s="68"/>
      <c r="L102" s="70">
        <f>SUM(I102:I104)</f>
        <v>0.46666666666666662</v>
      </c>
      <c r="M102" s="70" t="str">
        <f>IF(AND(L102&gt;=90%,L102&lt;=100%),"CUMPLE",IF(AND(L102&gt;=1%,L102&lt;90%),"CUMPLE PARCIALMENTE",IF(L102=0%,"NO CUMPLE","NO APLICA")))</f>
        <v>CUMPLE PARCIALMENTE</v>
      </c>
    </row>
    <row r="103" spans="1:13" ht="39.6">
      <c r="A103" s="8" t="s">
        <v>1220</v>
      </c>
      <c r="B103" s="7" t="str">
        <f>IF(A103="","",IFERROR(VLOOKUP(A103,Criterios!$A:$G,7,FALSE),"—"))</f>
        <v>Los procedimientos de monitoreo para modelos de falla no frágiles son desarrollados e implementados para respaldar el Método de Observación.</v>
      </c>
      <c r="C103" s="32" t="s">
        <v>1765</v>
      </c>
      <c r="D103" s="31" t="s">
        <v>1728</v>
      </c>
      <c r="E103" s="30" t="str">
        <f>IF(D103="","",IFERROR(VLOOKUP(D103,Catalogo_Documentos!$A:$B,2,FALSE),"—"))</f>
        <v>Informe de ingeniería</v>
      </c>
      <c r="F103" s="65" t="s">
        <v>1752</v>
      </c>
      <c r="G103" s="66">
        <v>0.33333333333333331</v>
      </c>
      <c r="H103" s="67">
        <v>0.2</v>
      </c>
      <c r="I103" s="67">
        <f>Relacion[[#This Row],[Ponderación Criterio]]*Relacion[[#This Row],[% Avance Documento]]</f>
        <v>6.6666666666666666E-2</v>
      </c>
      <c r="J103" s="68"/>
      <c r="K103" s="68"/>
      <c r="L103" s="71"/>
      <c r="M103" s="71"/>
    </row>
    <row r="104" spans="1:13" ht="26.45">
      <c r="A104" s="8" t="s">
        <v>1223</v>
      </c>
      <c r="B104" s="7" t="str">
        <f>IF(A104="","",IFERROR(VLOOKUP(A104,Criterios!$A:$G,7,FALSE),"—"))</f>
        <v>Los modelos de falla frágiles son abordados con un criterio de diseño conservador.</v>
      </c>
      <c r="C104" s="32" t="s">
        <v>1765</v>
      </c>
      <c r="D104" s="31" t="s">
        <v>1728</v>
      </c>
      <c r="E104" s="30" t="str">
        <f>IF(D104="","",IFERROR(VLOOKUP(D104,Catalogo_Documentos!$A:$B,2,FALSE),"—"))</f>
        <v>Informe de ingeniería</v>
      </c>
      <c r="F104" s="65" t="s">
        <v>1752</v>
      </c>
      <c r="G104" s="66">
        <v>0.33333333333333331</v>
      </c>
      <c r="H104" s="67">
        <v>0.2</v>
      </c>
      <c r="I104" s="67">
        <f>Relacion[[#This Row],[Ponderación Criterio]]*Relacion[[#This Row],[% Avance Documento]]</f>
        <v>6.6666666666666666E-2</v>
      </c>
      <c r="J104" s="68"/>
      <c r="K104" s="68"/>
      <c r="L104" s="71"/>
      <c r="M104" s="71"/>
    </row>
    <row r="105" spans="1:13" ht="52.9">
      <c r="A105" s="8" t="s">
        <v>1226</v>
      </c>
      <c r="B105" s="7" t="str">
        <f>IF(A105="","",IFERROR(VLOOKUP(A105,Criterios!$A:$G,7,FALSE),"—"))</f>
        <v>Objetivos, indicadores y criterios de desempeño se establecen que miden el desempeño de la instalación de relaves. Estos son específicos y cuantificables y se incluyen en los programas de monitoreo.</v>
      </c>
      <c r="C105" s="32" t="s">
        <v>1765</v>
      </c>
      <c r="D105" s="31" t="s">
        <v>1683</v>
      </c>
      <c r="E105" s="30" t="str">
        <f>IF(D105="","",IFERROR(VLOOKUP(D105,Catalogo_Documentos!$A:$B,2,FALSE),"—"))</f>
        <v>Manual de Operación, Mantenimiento y Vigilancia (OMS)</v>
      </c>
      <c r="F105" s="65" t="s">
        <v>1728</v>
      </c>
      <c r="G105" s="66">
        <v>0.33333333333333331</v>
      </c>
      <c r="H105" s="67">
        <v>0.2</v>
      </c>
      <c r="I105" s="67">
        <f>Relacion[[#This Row],[Ponderación Criterio]]*Relacion[[#This Row],[% Avance Documento]]</f>
        <v>6.6666666666666666E-2</v>
      </c>
      <c r="J105" s="68"/>
      <c r="K105" s="68"/>
      <c r="L105" s="70">
        <f>SUM(I105:I107)</f>
        <v>0.73333333333333328</v>
      </c>
      <c r="M105" s="70" t="str">
        <f>IF(AND(L105&gt;=90%,L105&lt;=100%),"CUMPLE",IF(AND(L105&gt;=1%,L105&lt;90%),"CUMPLE PARCIALMENTE",IF(L105=0%,"NO CUMPLE","NO APLICA")))</f>
        <v>CUMPLE PARCIALMENTE</v>
      </c>
    </row>
    <row r="106" spans="1:13" ht="52.9">
      <c r="A106" s="8" t="s">
        <v>1230</v>
      </c>
      <c r="B106" s="7" t="str">
        <f>IF(A106="","",IFERROR(VLOOKUP(A106,Criterios!$A:$G,7,FALSE),"—"))</f>
        <v>Se realizan inspecciones, monitoreos, pruebas, registros, evaluaciones y reportes de rutina y regulares de los datos de los programas de monitoreo de acuerdo con la frecuencia adecuada establecida.</v>
      </c>
      <c r="C106" s="32" t="s">
        <v>1765</v>
      </c>
      <c r="D106" s="31" t="s">
        <v>1683</v>
      </c>
      <c r="E106" s="30" t="str">
        <f>IF(D106="","",IFERROR(VLOOKUP(D106,Catalogo_Documentos!$A:$B,2,FALSE),"—"))</f>
        <v>Manual de Operación, Mantenimiento y Vigilancia (OMS)</v>
      </c>
      <c r="F106" s="65" t="s">
        <v>1728</v>
      </c>
      <c r="G106" s="66">
        <v>0.33333333333333331</v>
      </c>
      <c r="H106" s="67">
        <v>1</v>
      </c>
      <c r="I106" s="67">
        <f>Relacion[[#This Row],[Ponderación Criterio]]*Relacion[[#This Row],[% Avance Documento]]</f>
        <v>0.33333333333333331</v>
      </c>
      <c r="J106" s="68"/>
      <c r="K106" s="68"/>
      <c r="L106" s="71"/>
      <c r="M106" s="71"/>
    </row>
    <row r="107" spans="1:13" ht="66">
      <c r="A107" s="8" t="s">
        <v>1233</v>
      </c>
      <c r="B107" s="7" t="str">
        <f>IF(A107="","",IFERROR(VLOOKUP(A107,Criterios!$A:$G,7,FALSE),"—"))</f>
        <v>El programa de monitoreo es actualizado a lo largo del ciclo de vida de la instalación de relaves en base a la evaluación de los datos para confirmar que los objetivos, indicadores y criterios de desempeño se mantienen efectivos para gestionar riesgos.</v>
      </c>
      <c r="C107" s="32" t="s">
        <v>1765</v>
      </c>
      <c r="D107" s="31" t="s">
        <v>1683</v>
      </c>
      <c r="E107" s="30" t="str">
        <f>IF(D107="","",IFERROR(VLOOKUP(D107,Catalogo_Documentos!$A:$B,2,FALSE),"—"))</f>
        <v>Manual de Operación, Mantenimiento y Vigilancia (OMS)</v>
      </c>
      <c r="F107" s="65" t="s">
        <v>1728</v>
      </c>
      <c r="G107" s="66">
        <v>0.33333333333333331</v>
      </c>
      <c r="H107" s="67">
        <v>1</v>
      </c>
      <c r="I107" s="67">
        <f>Relacion[[#This Row],[Ponderación Criterio]]*Relacion[[#This Row],[% Avance Documento]]</f>
        <v>0.33333333333333331</v>
      </c>
      <c r="J107" s="68"/>
      <c r="K107" s="68"/>
      <c r="L107" s="71"/>
      <c r="M107" s="71"/>
    </row>
    <row r="108" spans="1:13" ht="39.6">
      <c r="A108" s="8" t="s">
        <v>1236</v>
      </c>
      <c r="B108" s="7" t="str">
        <f>IF(A108="","",IFERROR(VLOOKUP(A108,Criterios!$A:$G,7,FALSE),"—"))</f>
        <v>El desempeño de la instalación de relaves se evalúa al analizar los datos técnicos de monitoreo con la frecuencia establecida por el EOR.</v>
      </c>
      <c r="C108" s="32" t="s">
        <v>1765</v>
      </c>
      <c r="D108" s="31" t="s">
        <v>1752</v>
      </c>
      <c r="E108" s="30" t="str">
        <f>IF(D108="","",IFERROR(VLOOKUP(D108,Catalogo_Documentos!$A:$B,2,FALSE),"—"))</f>
        <v>Informes periódicos del EoR</v>
      </c>
      <c r="F108" s="65" t="s">
        <v>1683</v>
      </c>
      <c r="G108" s="66">
        <v>0.2</v>
      </c>
      <c r="H108" s="67">
        <v>1</v>
      </c>
      <c r="I108" s="67">
        <f>Relacion[[#This Row],[Ponderación Criterio]]*Relacion[[#This Row],[% Avance Documento]]</f>
        <v>0.2</v>
      </c>
      <c r="J108" s="68"/>
      <c r="K108" s="68"/>
      <c r="L108" s="70">
        <f>SUM(I108:I112)</f>
        <v>0.54</v>
      </c>
      <c r="M108" s="70" t="str">
        <f>IF(AND(L108&gt;=90%,L108&lt;=100%),"CUMPLE",IF(AND(L108&gt;=1%,L108&lt;90%),"CUMPLE PARCIALMENTE",IF(L108=0%,"NO CUMPLE","NO APLICA")))</f>
        <v>CUMPLE PARCIALMENTE</v>
      </c>
    </row>
    <row r="109" spans="1:13" ht="66">
      <c r="A109" s="8" t="s">
        <v>1240</v>
      </c>
      <c r="B109" s="7" t="str">
        <f>IF(A109="","",IFERROR(VLOOKUP(A109,Criterios!$A:$G,7,FALSE),"—"))</f>
        <v>El análisis de los datos técnicos de monitoreo de la instalación de relaves identifica claramente y presentan evidencia de las desviaciones de los objetivos de desempeño esperados y el deterioro del desempeño de la instalación de relaves con el paso del tiempo.</v>
      </c>
      <c r="C109" s="32" t="s">
        <v>1765</v>
      </c>
      <c r="D109" s="31" t="s">
        <v>1752</v>
      </c>
      <c r="E109" s="30" t="str">
        <f>IF(D109="","",IFERROR(VLOOKUP(D109,Catalogo_Documentos!$A:$B,2,FALSE),"—"))</f>
        <v>Informes periódicos del EoR</v>
      </c>
      <c r="F109" s="65" t="s">
        <v>1683</v>
      </c>
      <c r="G109" s="66">
        <v>0.2</v>
      </c>
      <c r="H109" s="67">
        <v>0.7</v>
      </c>
      <c r="I109" s="67">
        <f>Relacion[[#This Row],[Ponderación Criterio]]*Relacion[[#This Row],[% Avance Documento]]</f>
        <v>0.13999999999999999</v>
      </c>
      <c r="J109" s="68"/>
      <c r="K109" s="68"/>
      <c r="L109" s="71"/>
      <c r="M109" s="71"/>
    </row>
    <row r="110" spans="1:13" ht="39.6">
      <c r="A110" s="8" t="s">
        <v>1243</v>
      </c>
      <c r="B110" s="7" t="str">
        <f>IF(A110="","",IFERROR(VLOOKUP(A110,Criterios!$A:$G,7,FALSE),"—"))</f>
        <v>Los resultados del análisis del monitoreo de desempeño de la instalación de relaves son reportados con prontitud al EOR.</v>
      </c>
      <c r="C110" s="32" t="s">
        <v>1765</v>
      </c>
      <c r="D110" s="31" t="s">
        <v>1752</v>
      </c>
      <c r="E110" s="30" t="str">
        <f>IF(D110="","",IFERROR(VLOOKUP(D110,Catalogo_Documentos!$A:$B,2,FALSE),"—"))</f>
        <v>Informes periódicos del EoR</v>
      </c>
      <c r="F110" s="65" t="s">
        <v>1683</v>
      </c>
      <c r="G110" s="66">
        <v>0.2</v>
      </c>
      <c r="H110" s="67">
        <v>0.2</v>
      </c>
      <c r="I110" s="67">
        <f>Relacion[[#This Row],[Ponderación Criterio]]*Relacion[[#This Row],[% Avance Documento]]</f>
        <v>4.0000000000000008E-2</v>
      </c>
      <c r="J110" s="68"/>
      <c r="K110" s="68"/>
      <c r="L110" s="71"/>
      <c r="M110" s="71"/>
    </row>
    <row r="111" spans="1:13" ht="52.9">
      <c r="A111" s="8" t="s">
        <v>1246</v>
      </c>
      <c r="B111" s="7" t="str">
        <f>IF(A111="","",IFERROR(VLOOKUP(A111,Criterios!$A:$G,7,FALSE),"—"))</f>
        <v>El EOR revisa con prontitud los resultados del análisis del monitoreo de desempeño de la instalación de relaves y si es requerido, indicará que se actualice la evaluación de riesgos y el diseño.</v>
      </c>
      <c r="C111" s="32" t="s">
        <v>1765</v>
      </c>
      <c r="D111" s="31" t="s">
        <v>1752</v>
      </c>
      <c r="E111" s="30" t="str">
        <f>IF(D111="","",IFERROR(VLOOKUP(D111,Catalogo_Documentos!$A:$B,2,FALSE),"—"))</f>
        <v>Informes periódicos del EoR</v>
      </c>
      <c r="F111" s="65" t="s">
        <v>1683</v>
      </c>
      <c r="G111" s="66">
        <v>0.2</v>
      </c>
      <c r="H111" s="67">
        <v>0.4</v>
      </c>
      <c r="I111" s="67">
        <f>Relacion[[#This Row],[Ponderación Criterio]]*Relacion[[#This Row],[% Avance Documento]]</f>
        <v>8.0000000000000016E-2</v>
      </c>
      <c r="J111" s="68"/>
      <c r="K111" s="68"/>
      <c r="L111" s="71"/>
      <c r="M111" s="71"/>
    </row>
    <row r="112" spans="1:13" ht="52.9">
      <c r="A112" s="8" t="s">
        <v>1249</v>
      </c>
      <c r="B112" s="7" t="str">
        <f>IF(A112="","",IFERROR(VLOOKUP(A112,Criterios!$A:$G,7,FALSE),"—"))</f>
        <v>Las expectativas de desempeño se incorporaron a los Planes de Acción de Respuesta Desencadenante o a los criterios fundamentales para indicar cuando una acción es o no necesaria.</v>
      </c>
      <c r="C112" s="32" t="s">
        <v>1765</v>
      </c>
      <c r="D112" s="31" t="s">
        <v>1752</v>
      </c>
      <c r="E112" s="30" t="str">
        <f>IF(D112="","",IFERROR(VLOOKUP(D112,Catalogo_Documentos!$A:$B,2,FALSE),"—"))</f>
        <v>Informes periódicos del EoR</v>
      </c>
      <c r="F112" s="65" t="s">
        <v>1683</v>
      </c>
      <c r="G112" s="66">
        <v>0.2</v>
      </c>
      <c r="H112" s="67">
        <v>0.4</v>
      </c>
      <c r="I112" s="67">
        <f>Relacion[[#This Row],[Ponderación Criterio]]*Relacion[[#This Row],[% Avance Documento]]</f>
        <v>8.0000000000000016E-2</v>
      </c>
      <c r="J112" s="68"/>
      <c r="K112" s="68"/>
      <c r="L112" s="71"/>
      <c r="M112" s="71"/>
    </row>
    <row r="113" spans="1:13" ht="52.9">
      <c r="A113" s="8" t="s">
        <v>1252</v>
      </c>
      <c r="B113" s="7" t="str">
        <f>IF(A113="","",IFERROR(VLOOKUP(A113,Criterios!$A:$G,7,FALSE),"—"))</f>
        <v>Los resultados de los programas de monitoreo se reportan con una frecuencia que cumpla las expectativas de la compañía y los requisitos reglamentarios y como mínimo que se complete anualmente.</v>
      </c>
      <c r="C113" s="32" t="s">
        <v>1765</v>
      </c>
      <c r="D113" s="31" t="s">
        <v>1691</v>
      </c>
      <c r="E113" s="30" t="str">
        <f>IF(D113="","",IFERROR(VLOOKUP(D113,Catalogo_Documentos!$A:$B,2,FALSE),"—"))</f>
        <v>Informes de monitoreo del TSF</v>
      </c>
      <c r="F113" s="65"/>
      <c r="G113" s="66">
        <v>0.5</v>
      </c>
      <c r="H113" s="67">
        <v>0.4</v>
      </c>
      <c r="I113" s="67">
        <f>Relacion[[#This Row],[Ponderación Criterio]]*Relacion[[#This Row],[% Avance Documento]]</f>
        <v>0.2</v>
      </c>
      <c r="J113" s="68"/>
      <c r="K113" s="68"/>
      <c r="L113" s="70">
        <f>SUM(I113:I114)</f>
        <v>0.4</v>
      </c>
      <c r="M113" s="70" t="str">
        <f>IF(AND(L113&gt;=90%,L113&lt;=100%),"CUMPLE",IF(AND(L113&gt;=1%,L113&lt;90%),"CUMPLE PARCIALMENTE",IF(L113=0%,"NO CUMPLE","NO APLICA")))</f>
        <v>CUMPLE PARCIALMENTE</v>
      </c>
    </row>
    <row r="114" spans="1:13" ht="26.45">
      <c r="A114" s="8" t="s">
        <v>1256</v>
      </c>
      <c r="B114" s="7" t="str">
        <f>IF(A114="","",IFERROR(VLOOKUP(A114,Criterios!$A:$G,7,FALSE),"—"))</f>
        <v>Los reportes de monitoreo técnicos son revisados y aprobados por el RTFE y el EOR.</v>
      </c>
      <c r="C114" s="32" t="s">
        <v>1765</v>
      </c>
      <c r="D114" s="31" t="s">
        <v>1691</v>
      </c>
      <c r="E114" s="30" t="str">
        <f>IF(D114="","",IFERROR(VLOOKUP(D114,Catalogo_Documentos!$A:$B,2,FALSE),"—"))</f>
        <v>Informes de monitoreo del TSF</v>
      </c>
      <c r="F114" s="65"/>
      <c r="G114" s="66">
        <v>0.5</v>
      </c>
      <c r="H114" s="67">
        <v>0.4</v>
      </c>
      <c r="I114" s="67">
        <f>Relacion[[#This Row],[Ponderación Criterio]]*Relacion[[#This Row],[% Avance Documento]]</f>
        <v>0.2</v>
      </c>
      <c r="J114" s="68"/>
      <c r="K114" s="68"/>
      <c r="L114" s="71"/>
      <c r="M114" s="71"/>
    </row>
    <row r="115" spans="1:13" ht="92.45">
      <c r="A115" s="8" t="s">
        <v>1259</v>
      </c>
      <c r="B115" s="7" t="str">
        <f>IF(A115="","",IFERROR(VLOOKUP(A115,Criterios!$A:$G,7,FALSE),"—"))</f>
        <v>Una política corporativa de gestión de relaves documentada que comprometa al Operador al tratamiento seguro de relaves, desarrollo de planes de respuesta frente a emergencias, y mecanismos de recuperación después de fallas. Esto puede darse en forma de una política única o estar integrado en un documento que la Junta Directiva adopte.</v>
      </c>
      <c r="C115" s="33" t="s">
        <v>1764</v>
      </c>
      <c r="D115" s="31" t="s">
        <v>1693</v>
      </c>
      <c r="E115" s="30" t="str">
        <f>IF(D115="","",IFERROR(VLOOKUP(D115,Catalogo_Documentos!$A:$B,2,FALSE),"—"))</f>
        <v>Política de gestión segura de la instalación de relaves</v>
      </c>
      <c r="F115" s="65"/>
      <c r="G115" s="66">
        <v>0.5</v>
      </c>
      <c r="H115" s="67">
        <v>0.4</v>
      </c>
      <c r="I115" s="67">
        <f>Relacion[[#This Row],[Ponderación Criterio]]*Relacion[[#This Row],[% Avance Documento]]</f>
        <v>0.2</v>
      </c>
      <c r="J115" s="68"/>
      <c r="K115" s="68"/>
      <c r="L115" s="70">
        <f>SUM(I115:I116)</f>
        <v>0.30000000000000004</v>
      </c>
      <c r="M115" s="70" t="str">
        <f>IF(AND(L115&gt;=90%,L115&lt;=100%),"CUMPLE",IF(AND(L115&gt;=1%,L115&lt;90%),"CUMPLE PARCIALMENTE",IF(L115=0%,"NO CUMPLE","NO APLICA")))</f>
        <v>CUMPLE PARCIALMENTE</v>
      </c>
    </row>
    <row r="116" spans="1:13" ht="39.6">
      <c r="A116" s="8" t="s">
        <v>1264</v>
      </c>
      <c r="B116" s="7" t="str">
        <f>IF(A116="","",IFERROR(VLOOKUP(A116,Criterios!$A:$G,7,FALSE),"—"))</f>
        <v>La política y su aprobación por parte de la Junta Directiva se encuentra por escrito y está disponible al público.</v>
      </c>
      <c r="C116" s="33" t="s">
        <v>1764</v>
      </c>
      <c r="D116" s="31" t="s">
        <v>1693</v>
      </c>
      <c r="E116" s="30" t="str">
        <f>IF(D116="","",IFERROR(VLOOKUP(D116,Catalogo_Documentos!$A:$B,2,FALSE),"—"))</f>
        <v>Política de gestión segura de la instalación de relaves</v>
      </c>
      <c r="F116" s="65"/>
      <c r="G116" s="66">
        <v>0.5</v>
      </c>
      <c r="H116" s="67">
        <v>0.2</v>
      </c>
      <c r="I116" s="67">
        <f>Relacion[[#This Row],[Ponderación Criterio]]*Relacion[[#This Row],[% Avance Documento]]</f>
        <v>0.1</v>
      </c>
      <c r="J116" s="68"/>
      <c r="K116" s="68"/>
      <c r="L116" s="71"/>
      <c r="M116" s="71"/>
    </row>
    <row r="117" spans="1:13" ht="52.9">
      <c r="A117" s="8" t="s">
        <v>1267</v>
      </c>
      <c r="B117" s="7" t="str">
        <f>IF(A117="","",IFERROR(VLOOKUP(A117,Criterios!$A:$G,7,FALSE),"—"))</f>
        <v>Un TMS en base al desempeño, sigue procesos Planificar-Hacer- Revisar-Actuar establecidos y es adecuado para la organización y sus instalaciones de relaves.</v>
      </c>
      <c r="C117" s="33" t="s">
        <v>1764</v>
      </c>
      <c r="D117" s="31" t="s">
        <v>1742</v>
      </c>
      <c r="E117" s="30" t="str">
        <f>IF(D117="","",IFERROR(VLOOKUP(D117,Catalogo_Documentos!$A:$B,2,FALSE),"—"))</f>
        <v>Sistema de gestión de relaves (TMS)</v>
      </c>
      <c r="F117" s="65"/>
      <c r="G117" s="66">
        <v>0.25</v>
      </c>
      <c r="H117" s="67">
        <v>0.4</v>
      </c>
      <c r="I117" s="67">
        <f>Relacion[[#This Row],[Ponderación Criterio]]*Relacion[[#This Row],[% Avance Documento]]</f>
        <v>0.1</v>
      </c>
      <c r="J117" s="68"/>
      <c r="K117" s="68"/>
      <c r="L117" s="70">
        <f>SUM(I117:I120)</f>
        <v>0.30000000000000004</v>
      </c>
      <c r="M117" s="70" t="str">
        <f>IF(AND(L117&gt;=90%,L117&lt;=100%),"CUMPLE",IF(AND(L117&gt;=1%,L117&lt;90%),"CUMPLE PARCIALMENTE",IF(L117=0%,"NO CUMPLE","NO APLICA")))</f>
        <v>CUMPLE PARCIALMENTE</v>
      </c>
    </row>
    <row r="118" spans="1:13" ht="52.9">
      <c r="A118" s="8" t="s">
        <v>1271</v>
      </c>
      <c r="B118" s="7" t="str">
        <f>IF(A118="","",IFERROR(VLOOKUP(A118,Criterios!$A:$G,7,FALSE),"—"))</f>
        <v>Las responsabilidades y competencias asociadas para la implementación de ese marco que están definidas respaldan la identificación y gestión adecuada de los riesgos de la instalación de relaves.</v>
      </c>
      <c r="C118" s="33" t="s">
        <v>1764</v>
      </c>
      <c r="D118" s="31" t="s">
        <v>1742</v>
      </c>
      <c r="E118" s="30" t="str">
        <f>IF(D118="","",IFERROR(VLOOKUP(D118,Catalogo_Documentos!$A:$B,2,FALSE),"—"))</f>
        <v>Sistema de gestión de relaves (TMS)</v>
      </c>
      <c r="F118" s="65"/>
      <c r="G118" s="66">
        <v>0.25</v>
      </c>
      <c r="H118" s="67">
        <v>0.4</v>
      </c>
      <c r="I118" s="67">
        <f>Relacion[[#This Row],[Ponderación Criterio]]*Relacion[[#This Row],[% Avance Documento]]</f>
        <v>0.1</v>
      </c>
      <c r="J118" s="68"/>
      <c r="K118" s="68"/>
      <c r="L118" s="71"/>
      <c r="M118" s="71"/>
    </row>
    <row r="119" spans="1:13" ht="26.45">
      <c r="A119" s="8" t="s">
        <v>1274</v>
      </c>
      <c r="B119" s="7" t="str">
        <f>IF(A119="","",IFERROR(VLOOKUP(A119,Criterios!$A:$G,7,FALSE),"—"))</f>
        <v>El marco de gobernanza respalda el TMS, sus sistemas fundamentales relevantes y otros ESMS relacionados.</v>
      </c>
      <c r="C119" s="33" t="s">
        <v>1764</v>
      </c>
      <c r="D119" s="31" t="s">
        <v>1742</v>
      </c>
      <c r="E119" s="30" t="str">
        <f>IF(D119="","",IFERROR(VLOOKUP(D119,Catalogo_Documentos!$A:$B,2,FALSE),"—"))</f>
        <v>Sistema de gestión de relaves (TMS)</v>
      </c>
      <c r="F119" s="65"/>
      <c r="G119" s="66">
        <v>0.25</v>
      </c>
      <c r="H119" s="67">
        <v>0.4</v>
      </c>
      <c r="I119" s="67">
        <f>Relacion[[#This Row],[Ponderación Criterio]]*Relacion[[#This Row],[% Avance Documento]]</f>
        <v>0.1</v>
      </c>
      <c r="J119" s="68"/>
      <c r="K119" s="68"/>
      <c r="L119" s="71"/>
      <c r="M119" s="71"/>
    </row>
    <row r="120" spans="1:13" ht="39.6">
      <c r="A120" s="8" t="s">
        <v>1277</v>
      </c>
      <c r="B120" s="7" t="str">
        <f>IF(A120="","",IFERROR(VLOOKUP(A120,Criterios!$A:$G,7,FALSE),"—"))</f>
        <v>Los vínculos entre los TMS y otros sistemas como los ESMS son claros para asegurar una gestión integral eficaz de la instalación de relaves.</v>
      </c>
      <c r="C120" s="33" t="s">
        <v>1764</v>
      </c>
      <c r="D120" s="31" t="s">
        <v>1742</v>
      </c>
      <c r="E120" s="30" t="str">
        <f>IF(D120="","",IFERROR(VLOOKUP(D120,Catalogo_Documentos!$A:$B,2,FALSE),"—"))</f>
        <v>Sistema de gestión de relaves (TMS)</v>
      </c>
      <c r="F120" s="65"/>
      <c r="G120" s="66">
        <v>0.25</v>
      </c>
      <c r="H120" s="67">
        <v>0</v>
      </c>
      <c r="I120" s="67">
        <f>Relacion[[#This Row],[Ponderación Criterio]]*Relacion[[#This Row],[% Avance Documento]]</f>
        <v>0</v>
      </c>
      <c r="J120" s="68"/>
      <c r="K120" s="68"/>
      <c r="L120" s="71"/>
      <c r="M120" s="71"/>
    </row>
    <row r="121" spans="1:13" ht="66">
      <c r="A121" s="8" t="s">
        <v>1280</v>
      </c>
      <c r="B121" s="7" t="str">
        <f>IF(A121="","",IFERROR(VLOOKUP(A121,Criterios!$A:$G,7,FALSE),"—"))</f>
        <v>Para las personas con responsabilidades sobre las instalaciones de relaves, sus revisiones de desempeño y o los pagos de incentivos estás basados en parte, en la seguridad pública y la integridad de las instalaciones de relaves.</v>
      </c>
      <c r="C121" s="32" t="s">
        <v>1765</v>
      </c>
      <c r="D121" s="31" t="s">
        <v>1742</v>
      </c>
      <c r="E121" s="30" t="str">
        <f>IF(D121="","",IFERROR(VLOOKUP(D121,Catalogo_Documentos!$A:$B,2,FALSE),"—"))</f>
        <v>Sistema de gestión de relaves (TMS)</v>
      </c>
      <c r="F121" s="65"/>
      <c r="G121" s="66">
        <v>0.33333333333333331</v>
      </c>
      <c r="H121" s="67">
        <v>0</v>
      </c>
      <c r="I121" s="67">
        <f>Relacion[[#This Row],[Ponderación Criterio]]*Relacion[[#This Row],[% Avance Documento]]</f>
        <v>0</v>
      </c>
      <c r="J121" s="68"/>
      <c r="K121" s="68"/>
      <c r="L121" s="70">
        <f>SUM(I121:I123)</f>
        <v>0</v>
      </c>
      <c r="M121" s="70" t="str">
        <f>IF(AND(L121&gt;=90%,L121&lt;=100%),"CUMPLE",IF(AND(L121&gt;=1%,L121&lt;90%),"CUMPLE PARCIALMENTE",IF(L121=0%,"NO CUMPLE","NO APLICA")))</f>
        <v>NO CUMPLE</v>
      </c>
    </row>
    <row r="122" spans="1:13" ht="52.9">
      <c r="A122" s="8" t="s">
        <v>1284</v>
      </c>
      <c r="B122" s="7" t="str">
        <f>IF(A122="","",IFERROR(VLOOKUP(A122,Criterios!$A:$G,7,FALSE),"—"))</f>
        <v>En donde se utilicen pagos de incentivos, estos se basan en el grado en el que la seguridad pública y la integridad de la instalación de relaves son un componente de ese rol.</v>
      </c>
      <c r="C122" s="32" t="s">
        <v>1765</v>
      </c>
      <c r="D122" s="31" t="s">
        <v>1742</v>
      </c>
      <c r="E122" s="30" t="str">
        <f>IF(D122="","",IFERROR(VLOOKUP(D122,Catalogo_Documentos!$A:$B,2,FALSE),"—"))</f>
        <v>Sistema de gestión de relaves (TMS)</v>
      </c>
      <c r="F122" s="65"/>
      <c r="G122" s="66">
        <v>0.33333333333333331</v>
      </c>
      <c r="H122" s="67">
        <v>0</v>
      </c>
      <c r="I122" s="67">
        <f>Relacion[[#This Row],[Ponderación Criterio]]*Relacion[[#This Row],[% Avance Documento]]</f>
        <v>0</v>
      </c>
      <c r="J122" s="68"/>
      <c r="K122" s="68"/>
      <c r="L122" s="71"/>
      <c r="M122" s="71"/>
    </row>
    <row r="123" spans="1:13" ht="52.9">
      <c r="A123" s="8" t="s">
        <v>1287</v>
      </c>
      <c r="B123" s="7" t="str">
        <f>IF(A123="","",IFERROR(VLOOKUP(A123,Criterios!$A:$G,7,FALSE),"—"))</f>
        <v>Los incentivos a largo plazo, como parte de una compensación administrativa, toman en cuenta la gestión de relaves, desempeño de la instalación y la seguridad pública.</v>
      </c>
      <c r="C123" s="32" t="s">
        <v>1765</v>
      </c>
      <c r="D123" s="31" t="s">
        <v>1742</v>
      </c>
      <c r="E123" s="30" t="str">
        <f>IF(D123="","",IFERROR(VLOOKUP(D123,Catalogo_Documentos!$A:$B,2,FALSE),"—"))</f>
        <v>Sistema de gestión de relaves (TMS)</v>
      </c>
      <c r="F123" s="65"/>
      <c r="G123" s="66">
        <v>0.33333333333333331</v>
      </c>
      <c r="H123" s="67">
        <v>0</v>
      </c>
      <c r="I123" s="67">
        <f>Relacion[[#This Row],[Ponderación Criterio]]*Relacion[[#This Row],[% Avance Documento]]</f>
        <v>0</v>
      </c>
      <c r="J123" s="68"/>
      <c r="K123" s="68"/>
      <c r="L123" s="71"/>
      <c r="M123" s="71"/>
    </row>
    <row r="124" spans="1:13" ht="79.150000000000006">
      <c r="A124" s="8" t="s">
        <v>1290</v>
      </c>
      <c r="B124" s="7" t="str">
        <f>IF(A124="","",IFERROR(VLOOKUP(A124,Criterios!$A:$G,7,FALSE),"—"))</f>
        <v>El(los) Ejecutivos Responsable(s) que es(son) directamente responsables al CEO han identificado y asignado los aspectos de seguridad de la instalación de relaves para prevenir o minimizar las consecuencias medioambientales o sociales de una falla de una instalación de relaves.</v>
      </c>
      <c r="C124" s="33" t="s">
        <v>1764</v>
      </c>
      <c r="D124" s="31" t="s">
        <v>1734</v>
      </c>
      <c r="E124" s="30" t="str">
        <f>IF(D124="","",IFERROR(VLOOKUP(D124,Catalogo_Documentos!$A:$B,2,FALSE),"—"))</f>
        <v>Carta de Designación (AEO)</v>
      </c>
      <c r="F124" s="65" t="s">
        <v>1683</v>
      </c>
      <c r="G124" s="66">
        <v>0.25</v>
      </c>
      <c r="H124" s="67">
        <v>0</v>
      </c>
      <c r="I124" s="67">
        <f>Relacion[[#This Row],[Ponderación Criterio]]*Relacion[[#This Row],[% Avance Documento]]</f>
        <v>0</v>
      </c>
      <c r="J124" s="68"/>
      <c r="K124" s="68"/>
      <c r="L124" s="70">
        <f>SUM(I124:I127)</f>
        <v>0</v>
      </c>
      <c r="M124" s="70" t="str">
        <f>IF(AND(L124&gt;=90%,L124&lt;=100%),"CUMPLE",IF(AND(L124&gt;=1%,L124&lt;90%),"CUMPLE PARCIALMENTE",IF(L124=0%,"NO CUMPLE","NO APLICA")))</f>
        <v>NO CUMPLE</v>
      </c>
    </row>
    <row r="125" spans="1:13" ht="52.9">
      <c r="A125" s="8" t="s">
        <v>1294</v>
      </c>
      <c r="B125" s="7" t="str">
        <f>IF(A125="","",IFERROR(VLOOKUP(A125,Criterios!$A:$G,7,FALSE),"—"))</f>
        <v>La responsabilidad referida en (a) incluye desarrollar e implementar un programa de capacitación de tratamiento de relaves, y para preparación y respuesta frente a emergencias.</v>
      </c>
      <c r="C125" s="32" t="s">
        <v>1765</v>
      </c>
      <c r="D125" s="31" t="s">
        <v>1695</v>
      </c>
      <c r="E125" s="30" t="str">
        <f>IF(D125="","",IFERROR(VLOOKUP(D125,Catalogo_Documentos!$A:$B,2,FALSE),"—"))</f>
        <v>Organigrama, funciones y responsabilidades.</v>
      </c>
      <c r="F125" s="65" t="s">
        <v>1768</v>
      </c>
      <c r="G125" s="66">
        <v>0.25</v>
      </c>
      <c r="H125" s="67">
        <v>0</v>
      </c>
      <c r="I125" s="67">
        <f>Relacion[[#This Row],[Ponderación Criterio]]*Relacion[[#This Row],[% Avance Documento]]</f>
        <v>0</v>
      </c>
      <c r="J125" s="68"/>
      <c r="K125" s="68"/>
      <c r="L125" s="71"/>
      <c r="M125" s="71"/>
    </row>
    <row r="126" spans="1:13" ht="52.9">
      <c r="A126" s="8" t="s">
        <v>1297</v>
      </c>
      <c r="B126" s="7" t="str">
        <f>IF(A126="","",IFERROR(VLOOKUP(A126,Criterios!$A:$G,7,FALSE),"—"))</f>
        <v>El(los) Ejecutivo(s) Responsable(s) tienen comunicaciones regulares programadas con el EOR y Junta Directiva que puede ser iniciada ya sea por el Ejecutivo Responsable o la Junta.</v>
      </c>
      <c r="C126" s="32" t="s">
        <v>1765</v>
      </c>
      <c r="D126" s="31" t="s">
        <v>1695</v>
      </c>
      <c r="E126" s="30" t="str">
        <f>IF(D126="","",IFERROR(VLOOKUP(D126,Catalogo_Documentos!$A:$B,2,FALSE),"—"))</f>
        <v>Organigrama, funciones y responsabilidades.</v>
      </c>
      <c r="F126" s="65" t="s">
        <v>1768</v>
      </c>
      <c r="G126" s="66">
        <v>0.25</v>
      </c>
      <c r="H126" s="67">
        <v>0</v>
      </c>
      <c r="I126" s="67">
        <f>Relacion[[#This Row],[Ponderación Criterio]]*Relacion[[#This Row],[% Avance Documento]]</f>
        <v>0</v>
      </c>
      <c r="J126" s="68"/>
      <c r="K126" s="68"/>
      <c r="L126" s="71"/>
      <c r="M126" s="71"/>
    </row>
    <row r="127" spans="1:13" ht="26.45">
      <c r="A127" s="8" t="s">
        <v>1300</v>
      </c>
      <c r="B127" s="7" t="str">
        <f>IF(A127="","",IFERROR(VLOOKUP(A127,Criterios!$A:$G,7,FALSE),"—"))</f>
        <v>El proceso por el cual el(los) Ejecutivos Responsables rinden cuentas a la Junta Directiva.</v>
      </c>
      <c r="C127" s="32" t="s">
        <v>1765</v>
      </c>
      <c r="D127" s="31" t="s">
        <v>1695</v>
      </c>
      <c r="E127" s="30" t="str">
        <f>IF(D127="","",IFERROR(VLOOKUP(D127,Catalogo_Documentos!$A:$B,2,FALSE),"—"))</f>
        <v>Organigrama, funciones y responsabilidades.</v>
      </c>
      <c r="F127" s="65" t="s">
        <v>1768</v>
      </c>
      <c r="G127" s="66">
        <v>0.25</v>
      </c>
      <c r="H127" s="67">
        <v>0</v>
      </c>
      <c r="I127" s="67">
        <f>Relacion[[#This Row],[Ponderación Criterio]]*Relacion[[#This Row],[% Avance Documento]]</f>
        <v>0</v>
      </c>
      <c r="J127" s="68"/>
      <c r="K127" s="68"/>
      <c r="L127" s="71"/>
      <c r="M127" s="71"/>
    </row>
    <row r="128" spans="1:13" ht="26.45">
      <c r="A128" s="8" t="s">
        <v>1303</v>
      </c>
      <c r="B128" s="7" t="str">
        <f>IF(A128="","",IFERROR(VLOOKUP(A128,Criterios!$A:$G,7,FALSE),"—"))</f>
        <v>Un Ingeniero Responsable de la Instalación de Relaves (RTFE) es asignado al rol.</v>
      </c>
      <c r="C128" s="33" t="s">
        <v>1764</v>
      </c>
      <c r="D128" s="31" t="s">
        <v>1736</v>
      </c>
      <c r="E128" s="30" t="str">
        <f>IF(D128="","",IFERROR(VLOOKUP(D128,Catalogo_Documentos!$A:$B,2,FALSE),"—"))</f>
        <v>Carta de Designación (RTFE)</v>
      </c>
      <c r="F128" s="65" t="s">
        <v>1695</v>
      </c>
      <c r="G128" s="66">
        <v>0.2</v>
      </c>
      <c r="H128" s="67">
        <v>0</v>
      </c>
      <c r="I128" s="67">
        <f>Relacion[[#This Row],[Ponderación Criterio]]*Relacion[[#This Row],[% Avance Documento]]</f>
        <v>0</v>
      </c>
      <c r="J128" s="68"/>
      <c r="K128" s="68"/>
      <c r="L128" s="70">
        <f>SUM(I128:I132)</f>
        <v>0.16000000000000003</v>
      </c>
      <c r="M128" s="70" t="str">
        <f>IF(AND(L128&gt;=90%,L128&lt;=100%),"CUMPLE",IF(AND(L128&gt;=1%,L128&lt;90%),"CUMPLE PARCIALMENTE",IF(L128=0%,"NO CUMPLE","NO APLICA")))</f>
        <v>CUMPLE PARCIALMENTE</v>
      </c>
    </row>
    <row r="129" spans="1:13" ht="52.9">
      <c r="A129" s="8" t="s">
        <v>1307</v>
      </c>
      <c r="B129" s="7" t="str">
        <f>IF(A129="","",IFERROR(VLOOKUP(A129,Criterios!$A:$G,7,FALSE),"—"))</f>
        <v>Los roles y responsabilidades son claramente definidos y documentados para la posición del RTFE incluyendo la responsabilidad con respecto a la integridad de la integridad de relaves.</v>
      </c>
      <c r="C129" s="32" t="s">
        <v>1765</v>
      </c>
      <c r="D129" s="31" t="s">
        <v>1736</v>
      </c>
      <c r="E129" s="30" t="str">
        <f>IF(D129="","",IFERROR(VLOOKUP(D129,Catalogo_Documentos!$A:$B,2,FALSE),"—"))</f>
        <v>Carta de Designación (RTFE)</v>
      </c>
      <c r="F129" s="65" t="s">
        <v>1695</v>
      </c>
      <c r="G129" s="66">
        <v>0.2</v>
      </c>
      <c r="H129" s="67">
        <v>0.2</v>
      </c>
      <c r="I129" s="67">
        <f>Relacion[[#This Row],[Ponderación Criterio]]*Relacion[[#This Row],[% Avance Documento]]</f>
        <v>4.0000000000000008E-2</v>
      </c>
      <c r="J129" s="68"/>
      <c r="K129" s="68"/>
      <c r="L129" s="71"/>
      <c r="M129" s="71"/>
    </row>
    <row r="130" spans="1:13">
      <c r="A130" s="8" t="s">
        <v>1310</v>
      </c>
      <c r="B130" s="7" t="str">
        <f>IF(A130="","",IFERROR(VLOOKUP(A130,Criterios!$A:$G,7,FALSE),"—"))</f>
        <v>El RTFE se relaciona con el EOR y equipos internos.</v>
      </c>
      <c r="C130" s="32" t="s">
        <v>1765</v>
      </c>
      <c r="D130" s="31" t="s">
        <v>1736</v>
      </c>
      <c r="E130" s="30" t="str">
        <f>IF(D130="","",IFERROR(VLOOKUP(D130,Catalogo_Documentos!$A:$B,2,FALSE),"—"))</f>
        <v>Carta de Designación (RTFE)</v>
      </c>
      <c r="F130" s="65" t="s">
        <v>1695</v>
      </c>
      <c r="G130" s="66">
        <v>0.2</v>
      </c>
      <c r="H130" s="67">
        <v>0.2</v>
      </c>
      <c r="I130" s="67">
        <f>Relacion[[#This Row],[Ponderación Criterio]]*Relacion[[#This Row],[% Avance Documento]]</f>
        <v>4.0000000000000008E-2</v>
      </c>
      <c r="J130" s="68"/>
      <c r="K130" s="68"/>
      <c r="L130" s="71"/>
      <c r="M130" s="71"/>
    </row>
    <row r="131" spans="1:13" ht="39.6">
      <c r="A131" s="8" t="s">
        <v>1313</v>
      </c>
      <c r="B131" s="7" t="str">
        <f>IF(A131="","",IFERROR(VLOOKUP(A131,Criterios!$A:$G,7,FALSE),"—"))</f>
        <v>El RTFE debe estar familiarizado con el DBR, reportes de diseño relevantes, y la construcción y operaciones/desempeño de la instalación de relaves.</v>
      </c>
      <c r="C131" s="32" t="s">
        <v>1765</v>
      </c>
      <c r="D131" s="31" t="s">
        <v>1736</v>
      </c>
      <c r="E131" s="30" t="str">
        <f>IF(D131="","",IFERROR(VLOOKUP(D131,Catalogo_Documentos!$A:$B,2,FALSE),"—"))</f>
        <v>Carta de Designación (RTFE)</v>
      </c>
      <c r="F131" s="65" t="s">
        <v>1695</v>
      </c>
      <c r="G131" s="66">
        <v>0.2</v>
      </c>
      <c r="H131" s="67">
        <v>0.2</v>
      </c>
      <c r="I131" s="67">
        <f>Relacion[[#This Row],[Ponderación Criterio]]*Relacion[[#This Row],[% Avance Documento]]</f>
        <v>4.0000000000000008E-2</v>
      </c>
      <c r="J131" s="68"/>
      <c r="K131" s="68"/>
      <c r="L131" s="71"/>
      <c r="M131" s="71"/>
    </row>
    <row r="132" spans="1:13" ht="26.45">
      <c r="A132" s="8" t="s">
        <v>1316</v>
      </c>
      <c r="B132" s="7" t="str">
        <f>IF(A132="","",IFERROR(VLOOKUP(A132,Criterios!$A:$G,7,FALSE),"—"))</f>
        <v>Existe comunicación entre el RTFE y el Ejecutivo Responsable o su designado.</v>
      </c>
      <c r="C132" s="32" t="s">
        <v>1765</v>
      </c>
      <c r="D132" s="31" t="s">
        <v>1736</v>
      </c>
      <c r="E132" s="30" t="str">
        <f>IF(D132="","",IFERROR(VLOOKUP(D132,Catalogo_Documentos!$A:$B,2,FALSE),"—"))</f>
        <v>Carta de Designación (RTFE)</v>
      </c>
      <c r="F132" s="65" t="s">
        <v>1695</v>
      </c>
      <c r="G132" s="66">
        <v>0.2</v>
      </c>
      <c r="H132" s="67">
        <v>0.2</v>
      </c>
      <c r="I132" s="67">
        <f>Relacion[[#This Row],[Ponderación Criterio]]*Relacion[[#This Row],[% Avance Documento]]</f>
        <v>4.0000000000000008E-2</v>
      </c>
      <c r="J132" s="68"/>
      <c r="K132" s="68"/>
      <c r="L132" s="71"/>
      <c r="M132" s="71"/>
    </row>
    <row r="133" spans="1:13" ht="79.150000000000006">
      <c r="A133" s="8" t="s">
        <v>1319</v>
      </c>
      <c r="B133" s="7" t="str">
        <f>IF(A133="","",IFERROR(VLOOKUP(A133,Criterios!$A:$G,7,FALSE),"—"))</f>
        <v>Los requisitos de calificación y experiencia para todo el personal con roles fundamentales en la seguridad están claramente definidos y son apropiados al nivel de responsabilidad de la posición. Esto incluye, pero no se limita a roles fundamentales tales como el RTFE, EOR, y Ejecutivos Responsables.</v>
      </c>
      <c r="C133" s="32" t="s">
        <v>1765</v>
      </c>
      <c r="D133" s="31" t="s">
        <v>1695</v>
      </c>
      <c r="E133" s="30" t="str">
        <f>IF(D133="","",IFERROR(VLOOKUP(D133,Catalogo_Documentos!$A:$B,2,FALSE),"—"))</f>
        <v>Organigrama, funciones y responsabilidades.</v>
      </c>
      <c r="F133" s="65"/>
      <c r="G133" s="66">
        <v>0.5</v>
      </c>
      <c r="H133" s="67">
        <v>0.2</v>
      </c>
      <c r="I133" s="67">
        <f>Relacion[[#This Row],[Ponderación Criterio]]*Relacion[[#This Row],[% Avance Documento]]</f>
        <v>0.1</v>
      </c>
      <c r="J133" s="68"/>
      <c r="K133" s="68"/>
      <c r="L133" s="70">
        <f>SUM(I133:I134)</f>
        <v>0.2</v>
      </c>
      <c r="M133" s="70" t="str">
        <f>IF(AND(L133&gt;=90%,L133&lt;=100%),"CUMPLE",IF(AND(L133&gt;=1%,L133&lt;90%),"CUMPLE PARCIALMENTE",IF(L133=0%,"NO CUMPLE","NO APLICA")))</f>
        <v>CUMPLE PARCIALMENTE</v>
      </c>
    </row>
    <row r="134" spans="1:13" ht="26.45">
      <c r="A134" s="8" t="s">
        <v>1323</v>
      </c>
      <c r="B134" s="7" t="str">
        <f>IF(A134="","",IFERROR(VLOOKUP(A134,Criterios!$A:$G,7,FALSE),"—"))</f>
        <v>Se desarrollan planes de sucesión para los roles fundamentales en la seguridad.</v>
      </c>
      <c r="C134" s="32" t="s">
        <v>1765</v>
      </c>
      <c r="D134" s="31" t="s">
        <v>1697</v>
      </c>
      <c r="E134" s="30" t="str">
        <f>IF(D134="","",IFERROR(VLOOKUP(D134,Catalogo_Documentos!$A:$B,2,FALSE),"—"))</f>
        <v>Plan de sucesión</v>
      </c>
      <c r="F134" s="65" t="s">
        <v>1683</v>
      </c>
      <c r="G134" s="66">
        <v>0.5</v>
      </c>
      <c r="H134" s="67">
        <v>0.2</v>
      </c>
      <c r="I134" s="67">
        <f>Relacion[[#This Row],[Ponderación Criterio]]*Relacion[[#This Row],[% Avance Documento]]</f>
        <v>0.1</v>
      </c>
      <c r="J134" s="68"/>
      <c r="K134" s="68"/>
      <c r="L134" s="71"/>
      <c r="M134" s="71"/>
    </row>
    <row r="135" spans="1:13" ht="52.9">
      <c r="A135" s="8" t="s">
        <v>1326</v>
      </c>
      <c r="B135" s="7" t="str">
        <f>IF(A135="","",IFERROR(VLOOKUP(A135,Criterios!$A:$G,7,FALSE),"—"))</f>
        <v>Para las instalaciones de relaves con clasificación de consecuencias de falla “Muy Altas” a “Extremas”, el Operador ha nombrado una Junta Independiente de Revisión de Relaves (ITRB).</v>
      </c>
      <c r="C135" s="33" t="s">
        <v>1764</v>
      </c>
      <c r="D135" s="31" t="s">
        <v>1699</v>
      </c>
      <c r="E135" s="30" t="str">
        <f>IF(D135="","",IFERROR(VLOOKUP(D135,Catalogo_Documentos!$A:$B,2,FALSE),"—"))</f>
        <v>Carta de Designación (ITRB)</v>
      </c>
      <c r="F135" s="65"/>
      <c r="G135" s="66">
        <v>0.2</v>
      </c>
      <c r="H135" s="67">
        <v>0.2</v>
      </c>
      <c r="I135" s="67">
        <f>Relacion[[#This Row],[Ponderación Criterio]]*Relacion[[#This Row],[% Avance Documento]]</f>
        <v>4.0000000000000008E-2</v>
      </c>
      <c r="J135" s="68"/>
      <c r="K135" s="68"/>
      <c r="L135" s="70">
        <f>SUM(I135:I139)</f>
        <v>0.68</v>
      </c>
      <c r="M135" s="70" t="str">
        <f>IF(AND(L135&gt;=90%,L135&lt;=100%),"CUMPLE",IF(AND(L135&gt;=1%,L135&lt;90%),"CUMPLE PARCIALMENTE",IF(L135=0%,"NO CUMPLE","NO APLICA")))</f>
        <v>CUMPLE PARCIALMENTE</v>
      </c>
    </row>
    <row r="136" spans="1:13" ht="52.9">
      <c r="A136" s="8" t="s">
        <v>1330</v>
      </c>
      <c r="B136" s="7" t="str">
        <f>IF(A136="","",IFERROR(VLOOKUP(A136,Criterios!$A:$G,7,FALSE),"—"))</f>
        <v>Para una instalación de relaves con una clasificación de consecuencias de falla de “Altas” o menor, en la ausencia de una ITRB, el Operador ha nombrado a un revisor técnico senior independiente.</v>
      </c>
      <c r="C136" s="33" t="s">
        <v>1764</v>
      </c>
      <c r="D136" s="31" t="s">
        <v>1699</v>
      </c>
      <c r="E136" s="30" t="str">
        <f>IF(D136="","",IFERROR(VLOOKUP(D136,Catalogo_Documentos!$A:$B,2,FALSE),"—"))</f>
        <v>Carta de Designación (ITRB)</v>
      </c>
      <c r="F136" s="65"/>
      <c r="G136" s="66">
        <v>0.2</v>
      </c>
      <c r="H136" s="67">
        <v>0.2</v>
      </c>
      <c r="I136" s="67">
        <f>Relacion[[#This Row],[Ponderación Criterio]]*Relacion[[#This Row],[% Avance Documento]]</f>
        <v>4.0000000000000008E-2</v>
      </c>
      <c r="J136" s="68"/>
      <c r="K136" s="68"/>
      <c r="L136" s="71"/>
      <c r="M136" s="71"/>
    </row>
    <row r="137" spans="1:13" ht="39.6">
      <c r="A137" s="8" t="s">
        <v>1333</v>
      </c>
      <c r="B137" s="7" t="str">
        <f>IF(A137="","",IFERROR(VLOOKUP(A137,Criterios!$A:$G,7,FALSE),"—"))</f>
        <v>La ITRB o revisor técnico senior independiente informa al Ejecutivo Responsable o delegado de la instalación de relaves.</v>
      </c>
      <c r="C137" s="32" t="s">
        <v>1765</v>
      </c>
      <c r="D137" s="31" t="s">
        <v>1695</v>
      </c>
      <c r="E137" s="30" t="str">
        <f>IF(D137="","",IFERROR(VLOOKUP(D137,Catalogo_Documentos!$A:$B,2,FALSE),"—"))</f>
        <v>Organigrama, funciones y responsabilidades.</v>
      </c>
      <c r="F137" s="65" t="s">
        <v>1742</v>
      </c>
      <c r="G137" s="66">
        <v>0.2</v>
      </c>
      <c r="H137" s="67">
        <v>1</v>
      </c>
      <c r="I137" s="67">
        <f>Relacion[[#This Row],[Ponderación Criterio]]*Relacion[[#This Row],[% Avance Documento]]</f>
        <v>0.2</v>
      </c>
      <c r="J137" s="68"/>
      <c r="K137" s="68"/>
      <c r="L137" s="71"/>
      <c r="M137" s="71"/>
    </row>
    <row r="138" spans="1:13" ht="52.9">
      <c r="A138" s="8" t="s">
        <v>1336</v>
      </c>
      <c r="B138" s="7" t="str">
        <f>IF(A138="","",IFERROR(VLOOKUP(A138,Criterios!$A:$G,7,FALSE),"—"))</f>
        <v>La ITRB o revisor técnico senior independiente es nombrado durante las fases iniciales de la investigación del sitio y ingeniería de diseño de la instalación de relaves. (prefactibilidad sugerida)</v>
      </c>
      <c r="C138" s="32" t="s">
        <v>1765</v>
      </c>
      <c r="D138" s="31" t="s">
        <v>1695</v>
      </c>
      <c r="E138" s="30" t="str">
        <f>IF(D138="","",IFERROR(VLOOKUP(D138,Catalogo_Documentos!$A:$B,2,FALSE),"—"))</f>
        <v>Organigrama, funciones y responsabilidades.</v>
      </c>
      <c r="F138" s="65" t="s">
        <v>1742</v>
      </c>
      <c r="G138" s="66">
        <v>0.2</v>
      </c>
      <c r="H138" s="67">
        <v>1</v>
      </c>
      <c r="I138" s="67">
        <f>Relacion[[#This Row],[Ponderación Criterio]]*Relacion[[#This Row],[% Avance Documento]]</f>
        <v>0.2</v>
      </c>
      <c r="J138" s="68"/>
      <c r="K138" s="68"/>
      <c r="L138" s="71"/>
      <c r="M138" s="71"/>
    </row>
    <row r="139" spans="1:13" ht="52.9">
      <c r="A139" s="8" t="s">
        <v>1339</v>
      </c>
      <c r="B139" s="7" t="str">
        <f>IF(A139="","",IFERROR(VLOOKUP(A139,Criterios!$A:$G,7,FALSE),"—"))</f>
        <v>Los miembros de la ITRB y un revisor técnico senior independiente han certificado por escrito la ausencia de un conflicto de intereses con la instalación de relaves como se define en las mejores prácticas.</v>
      </c>
      <c r="C139" s="32" t="s">
        <v>1765</v>
      </c>
      <c r="D139" s="31" t="s">
        <v>1699</v>
      </c>
      <c r="E139" s="30" t="str">
        <f>IF(D139="","",IFERROR(VLOOKUP(D139,Catalogo_Documentos!$A:$B,2,FALSE),"—"))</f>
        <v>Carta de Designación (ITRB)</v>
      </c>
      <c r="F139" s="65" t="s">
        <v>1742</v>
      </c>
      <c r="G139" s="66">
        <v>0.2</v>
      </c>
      <c r="H139" s="67">
        <v>1</v>
      </c>
      <c r="I139" s="67">
        <f>Relacion[[#This Row],[Ponderación Criterio]]*Relacion[[#This Row],[% Avance Documento]]</f>
        <v>0.2</v>
      </c>
      <c r="J139" s="68"/>
      <c r="K139" s="68"/>
      <c r="L139" s="71"/>
      <c r="M139" s="71"/>
    </row>
    <row r="140" spans="1:13" ht="79.150000000000006">
      <c r="A140" s="8" t="s">
        <v>1342</v>
      </c>
      <c r="B140" s="7" t="str">
        <f>IF(A140="","",IFERROR(VLOOKUP(A140,Criterios!$A:$G,7,FALSE),"—"))</f>
        <v>Para todas las instalaciones de relaves operativas, y para las instalaciones cerradas con categorías de consecuencias “Altas”, “Muy Altas” o “Extremas” una empresa de ingeniería que tienen los conocimientos de diseño y construcción para instalaciones de relaves de complejidad comparable ha sido contratada.</v>
      </c>
      <c r="C140" s="32" t="s">
        <v>1765</v>
      </c>
      <c r="D140" s="31" t="s">
        <v>1701</v>
      </c>
      <c r="E140" s="30" t="str">
        <f>IF(D140="","",IFERROR(VLOOKUP(D140,Catalogo_Documentos!$A:$B,2,FALSE),"—"))</f>
        <v>Carta de Designación (EOR)</v>
      </c>
      <c r="F140" s="65" t="s">
        <v>1695</v>
      </c>
      <c r="G140" s="66">
        <v>0.33333333333333331</v>
      </c>
      <c r="H140" s="67">
        <v>1</v>
      </c>
      <c r="I140" s="67">
        <f>Relacion[[#This Row],[Ponderación Criterio]]*Relacion[[#This Row],[% Avance Documento]]</f>
        <v>0.33333333333333331</v>
      </c>
      <c r="J140" s="68"/>
      <c r="K140" s="68"/>
      <c r="L140" s="70">
        <f>SUM(I140:I142)</f>
        <v>0.73333333333333328</v>
      </c>
      <c r="M140" s="70" t="str">
        <f>IF(AND(L140&gt;=90%,L140&lt;=100%),"CUMPLE",IF(AND(L140&gt;=1%,L140&lt;90%),"CUMPLE PARCIALMENTE",IF(L140=0%,"NO CUMPLE","NO APLICA")))</f>
        <v>CUMPLE PARCIALMENTE</v>
      </c>
    </row>
    <row r="141" spans="1:13" ht="52.9">
      <c r="A141" s="8" t="s">
        <v>1346</v>
      </c>
      <c r="B141" s="7" t="str">
        <f>IF(A141="","",IFERROR(VLOOKUP(A141,Criterios!$A:$G,7,FALSE),"—"))</f>
        <v>El Ingeniero de Registro (EOR) nombrado tiene la experiencia y conocimientos acordes a la complejidad de la instalación de relaves y la clase de consecuencias y el nombramiento ha sido aprobado por el Operador.</v>
      </c>
      <c r="C141" s="32" t="s">
        <v>1765</v>
      </c>
      <c r="D141" s="31" t="s">
        <v>1701</v>
      </c>
      <c r="E141" s="30" t="str">
        <f>IF(D141="","",IFERROR(VLOOKUP(D141,Catalogo_Documentos!$A:$B,2,FALSE),"—"))</f>
        <v>Carta de Designación (EOR)</v>
      </c>
      <c r="F141" s="65" t="s">
        <v>1695</v>
      </c>
      <c r="G141" s="66">
        <v>0.33333333333333331</v>
      </c>
      <c r="H141" s="67">
        <v>1</v>
      </c>
      <c r="I141" s="67">
        <f>Relacion[[#This Row],[Ponderación Criterio]]*Relacion[[#This Row],[% Avance Documento]]</f>
        <v>0.33333333333333331</v>
      </c>
      <c r="J141" s="68"/>
      <c r="K141" s="68"/>
      <c r="L141" s="71"/>
      <c r="M141" s="71"/>
    </row>
    <row r="142" spans="1:13" ht="52.9">
      <c r="A142" s="8" t="s">
        <v>1349</v>
      </c>
      <c r="B142" s="7" t="str">
        <f>IF(A142="","",IFERROR(VLOOKUP(A142,Criterios!$A:$G,7,FALSE),"—"))</f>
        <v>Un DOR, de ser apropiado debido a la selección de un EOR interno u otras circunstancias, es nombrado que cumpla con las calificaciones y requisitos esenciales del EOR.</v>
      </c>
      <c r="C142" s="32" t="s">
        <v>1765</v>
      </c>
      <c r="D142" s="31" t="s">
        <v>1701</v>
      </c>
      <c r="E142" s="30" t="str">
        <f>IF(D142="","",IFERROR(VLOOKUP(D142,Catalogo_Documentos!$A:$B,2,FALSE),"—"))</f>
        <v>Carta de Designación (EOR)</v>
      </c>
      <c r="F142" s="65" t="s">
        <v>1695</v>
      </c>
      <c r="G142" s="66">
        <v>0.33333333333333331</v>
      </c>
      <c r="H142" s="67">
        <v>0.2</v>
      </c>
      <c r="I142" s="67">
        <f>Relacion[[#This Row],[Ponderación Criterio]]*Relacion[[#This Row],[% Avance Documento]]</f>
        <v>6.6666666666666666E-2</v>
      </c>
      <c r="J142" s="68"/>
      <c r="K142" s="68"/>
      <c r="L142" s="71"/>
      <c r="M142" s="71"/>
    </row>
    <row r="143" spans="1:13" ht="52.9">
      <c r="A143" s="8" t="s">
        <v>1352</v>
      </c>
      <c r="B143" s="7" t="str">
        <f>IF(A143="","",IFERROR(VLOOKUP(A143,Criterios!$A:$G,7,FALSE),"—"))</f>
        <v>Se designa y establece un EOR a lo largo del ciclo de vida de la instalación de relaves. El EOR nombrado puede cambiar durante el ciclo de vida de la instalación de relaves.</v>
      </c>
      <c r="C143" s="33" t="s">
        <v>1764</v>
      </c>
      <c r="D143" s="31" t="s">
        <v>1701</v>
      </c>
      <c r="E143" s="30" t="str">
        <f>IF(D143="","",IFERROR(VLOOKUP(D143,Catalogo_Documentos!$A:$B,2,FALSE),"—"))</f>
        <v>Carta de Designación (EOR)</v>
      </c>
      <c r="F143" s="65"/>
      <c r="G143" s="66">
        <v>0.33333333333333331</v>
      </c>
      <c r="H143" s="67">
        <v>1</v>
      </c>
      <c r="I143" s="67">
        <f>Relacion[[#This Row],[Ponderación Criterio]]*Relacion[[#This Row],[% Avance Documento]]</f>
        <v>0.33333333333333331</v>
      </c>
      <c r="J143" s="68"/>
      <c r="K143" s="68"/>
      <c r="L143" s="70">
        <f>SUM(I143:I145)</f>
        <v>0.73333333333333328</v>
      </c>
      <c r="M143" s="70" t="str">
        <f>IF(AND(L143&gt;=90%,L143&lt;=100%),"CUMPLE",IF(AND(L143&gt;=1%,L143&lt;90%),"CUMPLE PARCIALMENTE",IF(L143=0%,"NO CUMPLE","NO APLICA")))</f>
        <v>CUMPLE PARCIALMENTE</v>
      </c>
    </row>
    <row r="144" spans="1:13" ht="66">
      <c r="A144" s="8" t="s">
        <v>1356</v>
      </c>
      <c r="B144" s="7" t="str">
        <f>IF(A144="","",IFERROR(VLOOKUP(A144,Criterios!$A:$G,7,FALSE),"—"))</f>
        <v>El EOR es nombrado a través de un acuerdo escrito que indica claramente su autoridad, rol y responsabilidades a lo largo del ciclo de vida de la instalación de relaves, y durante el cambio de titularidad de las propiedades mineras.</v>
      </c>
      <c r="C144" s="33" t="s">
        <v>1764</v>
      </c>
      <c r="D144" s="31" t="s">
        <v>1701</v>
      </c>
      <c r="E144" s="30" t="str">
        <f>IF(D144="","",IFERROR(VLOOKUP(D144,Catalogo_Documentos!$A:$B,2,FALSE),"—"))</f>
        <v>Carta de Designación (EOR)</v>
      </c>
      <c r="F144" s="65"/>
      <c r="G144" s="66">
        <v>0.33333333333333331</v>
      </c>
      <c r="H144" s="67">
        <v>0.2</v>
      </c>
      <c r="I144" s="67">
        <f>Relacion[[#This Row],[Ponderación Criterio]]*Relacion[[#This Row],[% Avance Documento]]</f>
        <v>6.6666666666666666E-2</v>
      </c>
      <c r="J144" s="68"/>
      <c r="K144" s="68"/>
      <c r="L144" s="71"/>
      <c r="M144" s="71"/>
    </row>
    <row r="145" spans="1:13" ht="52.9">
      <c r="A145" s="8" t="s">
        <v>1359</v>
      </c>
      <c r="B145" s="7" t="str">
        <f>IF(A145="","",IFERROR(VLOOKUP(A145,Criterios!$A:$G,7,FALSE),"—"))</f>
        <v>El acuerdo escrito describe claramente las obligaciones del Operador con el EOR, para respaldar el desempeño1 eficaz del EOR durante el ciclo de vida de la instalación de relaves.</v>
      </c>
      <c r="C145" s="33" t="s">
        <v>1764</v>
      </c>
      <c r="D145" s="31" t="s">
        <v>1701</v>
      </c>
      <c r="E145" s="30" t="str">
        <f>IF(D145="","",IFERROR(VLOOKUP(D145,Catalogo_Documentos!$A:$B,2,FALSE),"—"))</f>
        <v>Carta de Designación (EOR)</v>
      </c>
      <c r="F145" s="65"/>
      <c r="G145" s="66">
        <v>0.33333333333333331</v>
      </c>
      <c r="H145" s="67">
        <v>1</v>
      </c>
      <c r="I145" s="67">
        <f>Relacion[[#This Row],[Ponderación Criterio]]*Relacion[[#This Row],[% Avance Documento]]</f>
        <v>0.33333333333333331</v>
      </c>
      <c r="J145" s="68"/>
      <c r="K145" s="68"/>
      <c r="L145" s="71"/>
      <c r="M145" s="71"/>
    </row>
    <row r="146" spans="1:13" ht="39.6">
      <c r="A146" s="8" t="s">
        <v>1362</v>
      </c>
      <c r="B146" s="7" t="str">
        <f>IF(A146="","",IFERROR(VLOOKUP(A146,Criterios!$A:$G,7,FALSE),"—"))</f>
        <v>Se establece un programa para gestionar la calidad de todo trabajo de ingeniería e interacciones entre el EOR, el RTFE y el Ejecutivo Responsable.</v>
      </c>
      <c r="C146" s="32" t="s">
        <v>1765</v>
      </c>
      <c r="D146" s="31" t="s">
        <v>1685</v>
      </c>
      <c r="E146" s="30" t="str">
        <f>IF(D146="","",IFERROR(VLOOKUP(D146,Catalogo_Documentos!$A:$B,2,FALSE),"—"))</f>
        <v>Guía de gestión de calidad</v>
      </c>
      <c r="F146" s="65"/>
      <c r="G146" s="66">
        <v>0.33333333333333331</v>
      </c>
      <c r="H146" s="67">
        <v>1</v>
      </c>
      <c r="I146" s="67">
        <f>Relacion[[#This Row],[Ponderación Criterio]]*Relacion[[#This Row],[% Avance Documento]]</f>
        <v>0.33333333333333331</v>
      </c>
      <c r="J146" s="68"/>
      <c r="K146" s="68"/>
      <c r="L146" s="70">
        <f>SUM(I146:I148)</f>
        <v>0.79999999999999993</v>
      </c>
      <c r="M146" s="70" t="str">
        <f>IF(AND(L146&gt;=90%,L146&lt;=100%),"CUMPLE",IF(AND(L146&gt;=1%,L146&lt;90%),"CUMPLE PARCIALMENTE",IF(L146=0%,"NO CUMPLE","NO APLICA")))</f>
        <v>CUMPLE PARCIALMENTE</v>
      </c>
    </row>
    <row r="147" spans="1:13" ht="39.6">
      <c r="A147" s="8" t="s">
        <v>1366</v>
      </c>
      <c r="B147" s="7" t="str">
        <f>IF(A147="","",IFERROR(VLOOKUP(A147,Criterios!$A:$G,7,FALSE),"—"))</f>
        <v>El programa establecido es implementado para gestionar la calidad de todo el trabajo de ingeniería e interacciones entre el EOR, el RTFE y el Ejecutivo Responsable.</v>
      </c>
      <c r="C147" s="32" t="s">
        <v>1765</v>
      </c>
      <c r="D147" s="31" t="s">
        <v>1685</v>
      </c>
      <c r="E147" s="30" t="str">
        <f>IF(D147="","",IFERROR(VLOOKUP(D147,Catalogo_Documentos!$A:$B,2,FALSE),"—"))</f>
        <v>Guía de gestión de calidad</v>
      </c>
      <c r="F147" s="65"/>
      <c r="G147" s="66">
        <v>0.33333333333333331</v>
      </c>
      <c r="H147" s="67">
        <v>0.7</v>
      </c>
      <c r="I147" s="67">
        <f>Relacion[[#This Row],[Ponderación Criterio]]*Relacion[[#This Row],[% Avance Documento]]</f>
        <v>0.23333333333333331</v>
      </c>
      <c r="J147" s="68"/>
      <c r="K147" s="68"/>
      <c r="L147" s="71"/>
      <c r="M147" s="71"/>
    </row>
    <row r="148" spans="1:13" ht="79.150000000000006">
      <c r="A148" s="8" t="s">
        <v>1369</v>
      </c>
      <c r="B148" s="7" t="str">
        <f>IF(A148="","",IFERROR(VLOOKUP(A148,Criterios!$A:$G,7,FALSE),"—"))</f>
        <v>El Programa, desarrollado por el Operador, abarca el compromiso del EOR, del RTFE y del Ejecutivo Responsable en el ciclo de vida de la instalación de relaves conforme sea necesario para confirmar que se cumpla tanto con la implementación del diseño y con la intención del diseño.</v>
      </c>
      <c r="C148" s="32" t="s">
        <v>1765</v>
      </c>
      <c r="D148" s="31" t="s">
        <v>1685</v>
      </c>
      <c r="E148" s="30" t="str">
        <f>IF(D148="","",IFERROR(VLOOKUP(D148,Catalogo_Documentos!$A:$B,2,FALSE),"—"))</f>
        <v>Guía de gestión de calidad</v>
      </c>
      <c r="F148" s="65"/>
      <c r="G148" s="66">
        <v>0.33333333333333331</v>
      </c>
      <c r="H148" s="67">
        <v>0.7</v>
      </c>
      <c r="I148" s="67">
        <f>Relacion[[#This Row],[Ponderación Criterio]]*Relacion[[#This Row],[% Avance Documento]]</f>
        <v>0.23333333333333331</v>
      </c>
      <c r="J148" s="68"/>
      <c r="K148" s="68"/>
      <c r="L148" s="71"/>
      <c r="M148" s="71"/>
    </row>
    <row r="149" spans="1:13" ht="39.6">
      <c r="A149" s="8" t="s">
        <v>1372</v>
      </c>
      <c r="B149" s="7" t="str">
        <f>IF(A149="","",IFERROR(VLOOKUP(A149,Criterios!$A:$G,7,FALSE),"—"))</f>
        <v>Los riesgos asociados a los impactos potenciales de la instalación de relaves son considerados por el Ejecutivo Responsable al seleccionar al EOR.</v>
      </c>
      <c r="C149" s="32" t="s">
        <v>1765</v>
      </c>
      <c r="D149" s="31" t="s">
        <v>1742</v>
      </c>
      <c r="E149" s="30" t="str">
        <f>IF(D149="","",IFERROR(VLOOKUP(D149,Catalogo_Documentos!$A:$B,2,FALSE),"—"))</f>
        <v>Sistema de gestión de relaves (TMS)</v>
      </c>
      <c r="F149" s="65"/>
      <c r="G149" s="66">
        <v>0.33333333333333331</v>
      </c>
      <c r="H149" s="67">
        <v>0.2</v>
      </c>
      <c r="I149" s="67">
        <f>Relacion[[#This Row],[Ponderación Criterio]]*Relacion[[#This Row],[% Avance Documento]]</f>
        <v>6.6666666666666666E-2</v>
      </c>
      <c r="J149" s="68"/>
      <c r="K149" s="68"/>
      <c r="L149" s="70">
        <f>SUM(I149:I151)</f>
        <v>0.6333333333333333</v>
      </c>
      <c r="M149" s="70" t="str">
        <f>IF(AND(L149&gt;=90%,L149&lt;=100%),"CUMPLE",IF(AND(L149&gt;=1%,L149&lt;90%),"CUMPLE PARCIALMENTE",IF(L149=0%,"NO CUMPLE","NO APLICA")))</f>
        <v>CUMPLE PARCIALMENTE</v>
      </c>
    </row>
    <row r="150" spans="1:13" ht="39.6">
      <c r="A150" s="8" t="s">
        <v>1376</v>
      </c>
      <c r="B150" s="7" t="str">
        <f>IF(A150="","",IFERROR(VLOOKUP(A150,Criterios!$A:$G,7,FALSE),"—"))</f>
        <v>La selección de EOR deberá ser decidida por el Ejecutivo Responsable e informada, pero no decidida, por el personal de adquisiciones.</v>
      </c>
      <c r="C150" s="32" t="s">
        <v>1765</v>
      </c>
      <c r="D150" s="31" t="s">
        <v>1742</v>
      </c>
      <c r="E150" s="30" t="str">
        <f>IF(D150="","",IFERROR(VLOOKUP(D150,Catalogo_Documentos!$A:$B,2,FALSE),"—"))</f>
        <v>Sistema de gestión de relaves (TMS)</v>
      </c>
      <c r="F150" s="65"/>
      <c r="G150" s="66">
        <v>0.33333333333333331</v>
      </c>
      <c r="H150" s="67">
        <v>1</v>
      </c>
      <c r="I150" s="67">
        <f>Relacion[[#This Row],[Ponderación Criterio]]*Relacion[[#This Row],[% Avance Documento]]</f>
        <v>0.33333333333333331</v>
      </c>
      <c r="J150" s="68"/>
      <c r="K150" s="68"/>
      <c r="L150" s="71"/>
      <c r="M150" s="71"/>
    </row>
    <row r="151" spans="1:13">
      <c r="A151" s="8" t="s">
        <v>1379</v>
      </c>
      <c r="B151" s="7" t="str">
        <f>IF(A151="","",IFERROR(VLOOKUP(A151,Criterios!$A:$G,7,FALSE),"—"))</f>
        <v>La selección del EOR es consistente con el Requisito 9.1</v>
      </c>
      <c r="C151" s="32" t="s">
        <v>1765</v>
      </c>
      <c r="D151" s="31" t="s">
        <v>1742</v>
      </c>
      <c r="E151" s="30" t="str">
        <f>IF(D151="","",IFERROR(VLOOKUP(D151,Catalogo_Documentos!$A:$B,2,FALSE),"—"))</f>
        <v>Sistema de gestión de relaves (TMS)</v>
      </c>
      <c r="F151" s="65"/>
      <c r="G151" s="66">
        <v>0.33333333333333331</v>
      </c>
      <c r="H151" s="67">
        <v>0.7</v>
      </c>
      <c r="I151" s="67">
        <f>Relacion[[#This Row],[Ponderación Criterio]]*Relacion[[#This Row],[% Avance Documento]]</f>
        <v>0.23333333333333331</v>
      </c>
      <c r="J151" s="68"/>
      <c r="K151" s="68"/>
      <c r="L151" s="71"/>
      <c r="M151" s="71"/>
    </row>
    <row r="152" spans="1:13" ht="39.6">
      <c r="A152" s="8" t="s">
        <v>1382</v>
      </c>
      <c r="B152" s="7" t="str">
        <f>IF(A152="","",IFERROR(VLOOKUP(A152,Criterios!$A:$G,7,FALSE),"—"))</f>
        <v>Se tiene un plan de sucesión cuando sea necesario cambiar el EOR (ya sea una empresa, dentro de una empresa, o un empleado interno)</v>
      </c>
      <c r="C152" s="32" t="s">
        <v>1765</v>
      </c>
      <c r="D152" s="31" t="s">
        <v>1697</v>
      </c>
      <c r="E152" s="30" t="str">
        <f>IF(D152="","",IFERROR(VLOOKUP(D152,Catalogo_Documentos!$A:$B,2,FALSE),"—"))</f>
        <v>Plan de sucesión</v>
      </c>
      <c r="F152" s="65" t="s">
        <v>1742</v>
      </c>
      <c r="G152" s="66">
        <v>0.5</v>
      </c>
      <c r="H152" s="67">
        <v>0.2</v>
      </c>
      <c r="I152" s="67">
        <f>Relacion[[#This Row],[Ponderación Criterio]]*Relacion[[#This Row],[% Avance Documento]]</f>
        <v>0.1</v>
      </c>
      <c r="J152" s="68"/>
      <c r="K152" s="68"/>
      <c r="L152" s="70">
        <f>SUM(I152:I153)</f>
        <v>0.6</v>
      </c>
      <c r="M152" s="70" t="str">
        <f>IF(AND(L152&gt;=90%,L152&lt;=100%),"CUMPLE",IF(AND(L152&gt;=1%,L152&lt;90%),"CUMPLE PARCIALMENTE",IF(L152=0%,"NO CUMPLE","NO APLICA")))</f>
        <v>CUMPLE PARCIALMENTE</v>
      </c>
    </row>
    <row r="153" spans="1:13" ht="39.6">
      <c r="A153" s="8" t="s">
        <v>1386</v>
      </c>
      <c r="B153" s="7" t="str">
        <f>IF(A153="","",IFERROR(VLOOKUP(A153,Criterios!$A:$G,7,FALSE),"—"))</f>
        <v>El plan de sucesión incluye la transferencia integral de datos, información, conocimiento y experiencia con los procedimientos de construcción y materiales.</v>
      </c>
      <c r="C153" s="32" t="s">
        <v>1765</v>
      </c>
      <c r="D153" s="31" t="s">
        <v>1697</v>
      </c>
      <c r="E153" s="30" t="str">
        <f>IF(D153="","",IFERROR(VLOOKUP(D153,Catalogo_Documentos!$A:$B,2,FALSE),"—"))</f>
        <v>Plan de sucesión</v>
      </c>
      <c r="F153" s="65" t="s">
        <v>1742</v>
      </c>
      <c r="G153" s="66">
        <v>0.5</v>
      </c>
      <c r="H153" s="67">
        <v>1</v>
      </c>
      <c r="I153" s="67">
        <f>Relacion[[#This Row],[Ponderación Criterio]]*Relacion[[#This Row],[% Avance Documento]]</f>
        <v>0.5</v>
      </c>
      <c r="J153" s="68"/>
      <c r="K153" s="68"/>
      <c r="L153" s="71"/>
      <c r="M153" s="71"/>
    </row>
    <row r="154" spans="1:13" ht="52.15" customHeight="1">
      <c r="A154" s="8" t="s">
        <v>1389</v>
      </c>
      <c r="B154" s="7" t="str">
        <f>IF(A154="","",IFERROR(VLOOKUP(A154,Criterios!$A:$G,7,FALSE),"—"))</f>
        <v>Existe un proceso de evaluación de riesgos para la instalación de relaves y está basado en una base de conocimiento actualizada para la instalación de relaves.</v>
      </c>
      <c r="C154" s="32" t="s">
        <v>1765</v>
      </c>
      <c r="D154" s="31" t="s">
        <v>1706</v>
      </c>
      <c r="E154" s="30" t="str">
        <f>IF(D154="","",IFERROR(VLOOKUP(D154,Catalogo_Documentos!$A:$B,2,FALSE),"—"))</f>
        <v>Informe de gestión de riesgos</v>
      </c>
      <c r="F154" s="65" t="s">
        <v>1769</v>
      </c>
      <c r="G154" s="66">
        <v>0.16666666666666666</v>
      </c>
      <c r="H154" s="67">
        <v>1</v>
      </c>
      <c r="I154" s="67">
        <f>Relacion[[#This Row],[Ponderación Criterio]]*Relacion[[#This Row],[% Avance Documento]]</f>
        <v>0.16666666666666666</v>
      </c>
      <c r="J154" s="68"/>
      <c r="K154" s="68"/>
      <c r="L154" s="70">
        <f>SUM(I154:I159)</f>
        <v>0.95</v>
      </c>
      <c r="M154" s="70" t="str">
        <f>IF(AND(L154&gt;=90%,L154&lt;=100%),"CUMPLE",IF(AND(L154&gt;=1%,L154&lt;90%),"CUMPLE PARCIALMENTE",IF(L154=0%,"NO CUMPLE","NO APLICA")))</f>
        <v>CUMPLE</v>
      </c>
    </row>
    <row r="155" spans="1:13" ht="64.900000000000006" customHeight="1">
      <c r="A155" s="8" t="s">
        <v>1393</v>
      </c>
      <c r="B155" s="7" t="str">
        <f>IF(A155="","",IFERROR(VLOOKUP(A155,Criterios!$A:$G,7,FALSE),"—"))</f>
        <v>La evaluación de riesgos es actualizada por lo menos cada tres años y más frecuentemente cada vez que haya un cambio material ya sea a la instalación de relaves o al contexto social, medioambiente y económico local.</v>
      </c>
      <c r="C155" s="32" t="s">
        <v>1765</v>
      </c>
      <c r="D155" s="31" t="s">
        <v>1706</v>
      </c>
      <c r="E155" s="30" t="str">
        <f>IF(D155="","",IFERROR(VLOOKUP(D155,Catalogo_Documentos!$A:$B,2,FALSE),"—"))</f>
        <v>Informe de gestión de riesgos</v>
      </c>
      <c r="F155" s="65" t="s">
        <v>1769</v>
      </c>
      <c r="G155" s="66">
        <v>0.16666666666666666</v>
      </c>
      <c r="H155" s="67">
        <v>1</v>
      </c>
      <c r="I155" s="67">
        <f>Relacion[[#This Row],[Ponderación Criterio]]*Relacion[[#This Row],[% Avance Documento]]</f>
        <v>0.16666666666666666</v>
      </c>
      <c r="J155" s="68"/>
      <c r="K155" s="68"/>
      <c r="L155" s="71"/>
      <c r="M155" s="71"/>
    </row>
    <row r="156" spans="1:13" ht="62.45" customHeight="1">
      <c r="A156" s="8" t="s">
        <v>1396</v>
      </c>
      <c r="B156" s="7" t="str">
        <f>IF(A156="","",IFERROR(VLOOKUP(A156,Criterios!$A:$G,7,FALSE),"—"))</f>
        <v>El alcance de la evaluación de riesgos incluye el área de influencia potencial completa de la instalación de relaves, e incorporar activamente la experiencia de la industria en la evaluación de riesgos.</v>
      </c>
      <c r="C156" s="32" t="s">
        <v>1765</v>
      </c>
      <c r="D156" s="31" t="s">
        <v>1706</v>
      </c>
      <c r="E156" s="30" t="str">
        <f>IF(D156="","",IFERROR(VLOOKUP(D156,Catalogo_Documentos!$A:$B,2,FALSE),"—"))</f>
        <v>Informe de gestión de riesgos</v>
      </c>
      <c r="F156" s="65" t="s">
        <v>1769</v>
      </c>
      <c r="G156" s="66">
        <v>0.16666666666666666</v>
      </c>
      <c r="H156" s="67">
        <v>1</v>
      </c>
      <c r="I156" s="67">
        <f>Relacion[[#This Row],[Ponderación Criterio]]*Relacion[[#This Row],[% Avance Documento]]</f>
        <v>0.16666666666666666</v>
      </c>
      <c r="J156" s="68"/>
      <c r="K156" s="68"/>
      <c r="L156" s="71"/>
      <c r="M156" s="71"/>
    </row>
    <row r="157" spans="1:13" ht="78.599999999999994" customHeight="1">
      <c r="A157" s="8" t="s">
        <v>1399</v>
      </c>
      <c r="B157" s="7" t="str">
        <f>IF(A157="","",IFERROR(VLOOKUP(A157,Criterios!$A:$G,7,FALSE),"—"))</f>
        <v>Las fuentes de riesgo son identificadas, evaluadas y gestionadas con regularidad a lo largo del ciclo de vida de la instalación de relaves, incluyendo impactos de cambio climático proyectados bajo un rango de escenarios climáticos futuros creíbles.</v>
      </c>
      <c r="C157" s="32" t="s">
        <v>1765</v>
      </c>
      <c r="D157" s="31" t="s">
        <v>1706</v>
      </c>
      <c r="E157" s="30" t="str">
        <f>IF(D157="","",IFERROR(VLOOKUP(D157,Catalogo_Documentos!$A:$B,2,FALSE),"—"))</f>
        <v>Informe de gestión de riesgos</v>
      </c>
      <c r="F157" s="65" t="s">
        <v>1769</v>
      </c>
      <c r="G157" s="66">
        <v>0.16666666666666666</v>
      </c>
      <c r="H157" s="67">
        <v>1</v>
      </c>
      <c r="I157" s="67">
        <f>Relacion[[#This Row],[Ponderación Criterio]]*Relacion[[#This Row],[% Avance Documento]]</f>
        <v>0.16666666666666666</v>
      </c>
      <c r="J157" s="68"/>
      <c r="K157" s="68"/>
      <c r="L157" s="71"/>
      <c r="M157" s="71"/>
    </row>
    <row r="158" spans="1:13" ht="91.15" customHeight="1">
      <c r="A158" s="8" t="s">
        <v>1402</v>
      </c>
      <c r="B158" s="7" t="str">
        <f>IF(A158="","",IFERROR(VLOOKUP(A158,Criterios!$A:$G,7,FALSE),"—"))</f>
        <v>Un equipo multidisciplinario es calificado para realizar una evaluación de riesgos específica a la fase del ciclo de vida de la instalación de relaves (por ejemplo, construcción, operación, suspensión, expansión, cierre) y tiene la habilidad de aplicar la metodología de las mejores prácticas de una forma multifuncional.</v>
      </c>
      <c r="C158" s="32" t="s">
        <v>1765</v>
      </c>
      <c r="D158" s="31" t="s">
        <v>1706</v>
      </c>
      <c r="E158" s="30" t="str">
        <f>IF(D158="","",IFERROR(VLOOKUP(D158,Catalogo_Documentos!$A:$B,2,FALSE),"—"))</f>
        <v>Informe de gestión de riesgos</v>
      </c>
      <c r="F158" s="65" t="s">
        <v>1769</v>
      </c>
      <c r="G158" s="66">
        <v>0.16666666666666666</v>
      </c>
      <c r="H158" s="67">
        <v>1</v>
      </c>
      <c r="I158" s="67">
        <f>Relacion[[#This Row],[Ponderación Criterio]]*Relacion[[#This Row],[% Avance Documento]]</f>
        <v>0.16666666666666666</v>
      </c>
      <c r="J158" s="68"/>
      <c r="K158" s="68"/>
      <c r="L158" s="71"/>
      <c r="M158" s="71"/>
    </row>
    <row r="159" spans="1:13" ht="61.15" customHeight="1">
      <c r="A159" s="8" t="s">
        <v>1405</v>
      </c>
      <c r="B159" s="7" t="str">
        <f>IF(A159="","",IFERROR(VLOOKUP(A159,Criterios!$A:$G,7,FALSE),"—"))</f>
        <v>Siguiendo la revisión por parte de la ITRB o del revisor técnico senior independiente, se preparan, implementan y reportan cuando las evaluaciones de riesgos identifican riesgos inaceptables para la instalación de relaves.</v>
      </c>
      <c r="C159" s="32" t="s">
        <v>1765</v>
      </c>
      <c r="D159" s="31" t="s">
        <v>1706</v>
      </c>
      <c r="E159" s="30" t="str">
        <f>IF(D159="","",IFERROR(VLOOKUP(D159,Catalogo_Documentos!$A:$B,2,FALSE),"—"))</f>
        <v>Informe de gestión de riesgos</v>
      </c>
      <c r="F159" s="65" t="s">
        <v>1769</v>
      </c>
      <c r="G159" s="66">
        <v>0.16666666666666666</v>
      </c>
      <c r="H159" s="67">
        <v>0.7</v>
      </c>
      <c r="I159" s="67">
        <f>Relacion[[#This Row],[Ponderación Criterio]]*Relacion[[#This Row],[% Avance Documento]]</f>
        <v>0.11666666666666665</v>
      </c>
      <c r="J159" s="68"/>
      <c r="K159" s="68"/>
      <c r="L159" s="71"/>
      <c r="M159" s="71"/>
    </row>
    <row r="160" spans="1:13" ht="66">
      <c r="A160" s="8" t="s">
        <v>1408</v>
      </c>
      <c r="B160" s="7" t="str">
        <f>IF(A160="","",IFERROR(VLOOKUP(A160,Criterios!$A:$G,7,FALSE),"—"))</f>
        <v>El TMS y componentes del ESMS son revisados con suficiente frecuencia para asegurar que el sistema de gestión de la instalación de relaves sea efectivo y aplicable para los riesgos a lo largo del ciclo de vida completo de la instalación.</v>
      </c>
      <c r="C160" s="32" t="s">
        <v>1765</v>
      </c>
      <c r="D160" s="31" t="s">
        <v>1708</v>
      </c>
      <c r="E160" s="30" t="str">
        <f>IF(D160="","",IFERROR(VLOOKUP(D160,Catalogo_Documentos!$A:$B,2,FALSE),"—"))</f>
        <v>Informe de revisión interna del SGR</v>
      </c>
      <c r="F160" s="65" t="s">
        <v>1742</v>
      </c>
      <c r="G160" s="66">
        <v>0.25</v>
      </c>
      <c r="H160" s="67">
        <v>0.7</v>
      </c>
      <c r="I160" s="67">
        <f>Relacion[[#This Row],[Ponderación Criterio]]*Relacion[[#This Row],[% Avance Documento]]</f>
        <v>0.17499999999999999</v>
      </c>
      <c r="J160" s="68"/>
      <c r="K160" s="68"/>
      <c r="L160" s="70">
        <f>SUM(I160:I163)</f>
        <v>0.85</v>
      </c>
      <c r="M160" s="70" t="str">
        <f>IF(AND(L160&gt;=90%,L160&lt;=100%),"CUMPLE",IF(AND(L160&gt;=1%,L160&lt;90%),"CUMPLE PARCIALMENTE",IF(L160=0%,"NO CUMPLE","NO APLICA")))</f>
        <v>CUMPLE PARCIALMENTE</v>
      </c>
    </row>
    <row r="161" spans="1:13" ht="39.6">
      <c r="A161" s="8" t="s">
        <v>1412</v>
      </c>
      <c r="B161" s="7" t="str">
        <f>IF(A161="","",IFERROR(VLOOKUP(A161,Criterios!$A:$G,7,FALSE),"—"))</f>
        <v>Los resultados de las revisiones del TMS y ESMS son documentados y reportados al Ejecutivo Responsable, Junta Directiva y personas afectadas por el proyecto.</v>
      </c>
      <c r="C161" s="32" t="s">
        <v>1765</v>
      </c>
      <c r="D161" s="31" t="s">
        <v>1708</v>
      </c>
      <c r="E161" s="30" t="str">
        <f>IF(D161="","",IFERROR(VLOOKUP(D161,Catalogo_Documentos!$A:$B,2,FALSE),"—"))</f>
        <v>Informe de revisión interna del SGR</v>
      </c>
      <c r="F161" s="65" t="s">
        <v>1742</v>
      </c>
      <c r="G161" s="66">
        <v>0.25</v>
      </c>
      <c r="H161" s="67">
        <v>0.7</v>
      </c>
      <c r="I161" s="67">
        <f>Relacion[[#This Row],[Ponderación Criterio]]*Relacion[[#This Row],[% Avance Documento]]</f>
        <v>0.17499999999999999</v>
      </c>
      <c r="J161" s="68"/>
      <c r="K161" s="68"/>
      <c r="L161" s="71"/>
      <c r="M161" s="71"/>
    </row>
    <row r="162" spans="1:13" ht="39.6">
      <c r="A162" s="8" t="s">
        <v>1415</v>
      </c>
      <c r="B162" s="7" t="str">
        <f>IF(A162="","",IFERROR(VLOOKUP(A162,Criterios!$A:$G,7,FALSE),"—"))</f>
        <v>La revisión será realizada por revisores técnicos superiores con las calificaciones, experiencias y recursos adecuados.</v>
      </c>
      <c r="C162" s="32" t="s">
        <v>1765</v>
      </c>
      <c r="D162" s="31" t="s">
        <v>1708</v>
      </c>
      <c r="E162" s="30" t="str">
        <f>IF(D162="","",IFERROR(VLOOKUP(D162,Catalogo_Documentos!$A:$B,2,FALSE),"—"))</f>
        <v>Informe de revisión interna del SGR</v>
      </c>
      <c r="F162" s="65" t="s">
        <v>1742</v>
      </c>
      <c r="G162" s="66">
        <v>0.25</v>
      </c>
      <c r="H162" s="67">
        <v>1</v>
      </c>
      <c r="I162" s="67">
        <f>Relacion[[#This Row],[Ponderación Criterio]]*Relacion[[#This Row],[% Avance Documento]]</f>
        <v>0.25</v>
      </c>
      <c r="J162" s="68"/>
      <c r="K162" s="68"/>
      <c r="L162" s="71"/>
      <c r="M162" s="71"/>
    </row>
    <row r="163" spans="1:13" ht="39.6">
      <c r="A163" s="8" t="s">
        <v>1418</v>
      </c>
      <c r="B163" s="7" t="str">
        <f>IF(A163="","",IFERROR(VLOOKUP(A163,Criterios!$A:$G,7,FALSE),"—"))</f>
        <v>Para las instalaciones de relaves con Clasificación de Consecuencia “Alta”, “Muy Alta” o “Extrema”, la revisión se realizará por lo menos cada tres años.</v>
      </c>
      <c r="C163" s="32" t="s">
        <v>1765</v>
      </c>
      <c r="D163" s="31" t="s">
        <v>1708</v>
      </c>
      <c r="E163" s="30" t="str">
        <f>IF(D163="","",IFERROR(VLOOKUP(D163,Catalogo_Documentos!$A:$B,2,FALSE),"—"))</f>
        <v>Informe de revisión interna del SGR</v>
      </c>
      <c r="F163" s="65" t="s">
        <v>1742</v>
      </c>
      <c r="G163" s="66">
        <v>0.25</v>
      </c>
      <c r="H163" s="67">
        <v>1</v>
      </c>
      <c r="I163" s="67">
        <f>Relacion[[#This Row],[Ponderación Criterio]]*Relacion[[#This Row],[% Avance Documento]]</f>
        <v>0.25</v>
      </c>
      <c r="J163" s="68"/>
      <c r="K163" s="68"/>
      <c r="L163" s="71"/>
      <c r="M163" s="71"/>
    </row>
    <row r="164" spans="1:13" ht="92.45">
      <c r="A164" s="8" t="s">
        <v>1421</v>
      </c>
      <c r="B164" s="7" t="str">
        <f>IF(A164="","",IFERROR(VLOOKUP(A164,Criterios!$A:$G,7,FALSE),"—"))</f>
        <v>Las auditorías internas se completan a una frecuencia que garantiza la implementación coherente de los requisitos establecidos relacionados con los procedimientos, guías de la compañía y requisitos de gobernanza corporativa que son consistentes con el TMS y aspectos del ESMS relacionados a los riesgos de la instalación de relaves.</v>
      </c>
      <c r="C164" s="33" t="s">
        <v>1764</v>
      </c>
      <c r="D164" s="31" t="s">
        <v>1710</v>
      </c>
      <c r="E164" s="30" t="str">
        <f>IF(D164="","",IFERROR(VLOOKUP(D164,Catalogo_Documentos!$A:$B,2,FALSE),"—"))</f>
        <v>Auditorías internas (GAP Análisis)</v>
      </c>
      <c r="F164" s="65"/>
      <c r="G164" s="66">
        <v>1</v>
      </c>
      <c r="H164" s="67">
        <v>1</v>
      </c>
      <c r="I164" s="67">
        <f>Relacion[[#This Row],[Ponderación Criterio]]*Relacion[[#This Row],[% Avance Documento]]</f>
        <v>1</v>
      </c>
      <c r="J164" s="68"/>
      <c r="K164" s="68"/>
      <c r="L164" s="69">
        <f>Relacion[[#This Row],[Avance Ponderado Efectivo]]</f>
        <v>1</v>
      </c>
      <c r="M164" s="69" t="str">
        <f>IF(AND(L164&gt;=90%,L164&lt;=100%),"CUMPLE",IF(AND(L164&gt;=1%,L164&lt;90%),"CUMPLE PARCIALMENTE",IF(L164=0%,"NO CUMPLE","NO APLICA")))</f>
        <v>CUMPLE</v>
      </c>
    </row>
    <row r="165" spans="1:13" ht="184.9">
      <c r="A165" s="8" t="s">
        <v>1425</v>
      </c>
      <c r="B165" s="7" t="str">
        <f>IF(A165="","",IFERROR(VLOOKUP(A165,Criterios!$A:$G,7,FALSE),"—"))</f>
        <v>Se realiza una revisión anual de la instalación de relaves a lo largo de los períodos de construcción y de operación para evaluar la condición y el desempeño. Las revisiones son realizadas por el EOR o el revisor técnico senior independiente, el que sea asignado a la instalación de relaves y que la revisión sea documentada. Las revisiones pueden ser realizadas con más frecuencia si es requerido debido a problemas identificados o a la implementación de medidas correctivas necesarias.
Las revisiones pueden ser realizadas con más frecuencia si es requerido debido a problemas identificados o a la implementación de medidas correctivas necesarias.</v>
      </c>
      <c r="C165" s="33" t="s">
        <v>1764</v>
      </c>
      <c r="D165" s="31" t="s">
        <v>1752</v>
      </c>
      <c r="E165" s="30" t="str">
        <f>IF(D165="","",IFERROR(VLOOKUP(D165,Catalogo_Documentos!$A:$B,2,FALSE),"—"))</f>
        <v>Informes periódicos del EoR</v>
      </c>
      <c r="F165" s="65"/>
      <c r="G165" s="66">
        <v>1</v>
      </c>
      <c r="H165" s="67">
        <v>1</v>
      </c>
      <c r="I165" s="67">
        <f>Relacion[[#This Row],[Ponderación Criterio]]*Relacion[[#This Row],[% Avance Documento]]</f>
        <v>1</v>
      </c>
      <c r="J165" s="68"/>
      <c r="K165" s="68"/>
      <c r="L165" s="69">
        <f>Relacion[[#This Row],[Avance Ponderado Efectivo]]</f>
        <v>1</v>
      </c>
      <c r="M165" s="69" t="str">
        <f>IF(AND(L165&gt;=90%,L165&lt;=100%),"CUMPLE",IF(AND(L165&gt;=1%,L165&lt;90%),"CUMPLE PARCIALMENTE",IF(L165=0%,"NO CUMPLE","NO APLICA")))</f>
        <v>CUMPLE</v>
      </c>
    </row>
    <row r="166" spans="1:13" ht="79.150000000000006">
      <c r="A166" s="8" t="s">
        <v>1429</v>
      </c>
      <c r="B166" s="7" t="str">
        <f>IF(A166="","",IFERROR(VLOOKUP(A166,Criterios!$A:$G,7,FALSE),"—"))</f>
        <v>Se realizan y documentan las DSRs: 
– cada cinco años para instalaciones de relaves con Clasificaciones de Consecuencias “Muy Altas” o “Extremas” 
– cada diez años para todas las otras instalaciones, o, 
– más seguido de ser recomendado por la ITRB.</v>
      </c>
      <c r="C166" s="33" t="s">
        <v>1764</v>
      </c>
      <c r="D166" s="31" t="s">
        <v>1712</v>
      </c>
      <c r="E166" s="30" t="str">
        <f>IF(D166="","",IFERROR(VLOOKUP(D166,Catalogo_Documentos!$A:$B,2,FALSE),"—"))</f>
        <v>Revisión de seguridad de presas (DSR)</v>
      </c>
      <c r="F166" s="65"/>
      <c r="G166" s="66">
        <v>0.25</v>
      </c>
      <c r="H166" s="67">
        <v>1</v>
      </c>
      <c r="I166" s="67">
        <f>Relacion[[#This Row],[Ponderación Criterio]]*Relacion[[#This Row],[% Avance Documento]]</f>
        <v>0.25</v>
      </c>
      <c r="J166" s="68"/>
      <c r="K166" s="68"/>
      <c r="L166" s="70">
        <f>SUM(I166:I169)</f>
        <v>0.54999999999999993</v>
      </c>
      <c r="M166" s="70" t="str">
        <f>IF(AND(L166&gt;=90%,L166&lt;=100%),"CUMPLE",IF(AND(L166&gt;=1%,L166&lt;90%),"CUMPLE PARCIALMENTE",IF(L166=0%,"NO CUMPLE","NO APLICA")))</f>
        <v>CUMPLE PARCIALMENTE</v>
      </c>
    </row>
    <row r="167" spans="1:13" ht="39.6">
      <c r="A167" s="8" t="s">
        <v>1433</v>
      </c>
      <c r="B167" s="7" t="str">
        <f>IF(A167="","",IFERROR(VLOOKUP(A167,Criterios!$A:$G,7,FALSE),"—"))</f>
        <v>Las DSRs incluyen aspectos técnicos, operativos y de gobernanza de la instalación de relaves y deberán ser completados de acuerdo a las mejores prácticas.</v>
      </c>
      <c r="C167" s="33" t="s">
        <v>1764</v>
      </c>
      <c r="D167" s="31" t="s">
        <v>1712</v>
      </c>
      <c r="E167" s="30" t="str">
        <f>IF(D167="","",IFERROR(VLOOKUP(D167,Catalogo_Documentos!$A:$B,2,FALSE),"—"))</f>
        <v>Revisión de seguridad de presas (DSR)</v>
      </c>
      <c r="F167" s="65"/>
      <c r="G167" s="66">
        <v>0.25</v>
      </c>
      <c r="H167" s="67">
        <v>0.4</v>
      </c>
      <c r="I167" s="67">
        <f>Relacion[[#This Row],[Ponderación Criterio]]*Relacion[[#This Row],[% Avance Documento]]</f>
        <v>0.1</v>
      </c>
      <c r="J167" s="68"/>
      <c r="K167" s="68"/>
      <c r="L167" s="71"/>
      <c r="M167" s="71"/>
    </row>
    <row r="168" spans="1:13" ht="26.45">
      <c r="A168" s="8" t="s">
        <v>1436</v>
      </c>
      <c r="B168" s="7" t="str">
        <f>IF(A168="","",IFERROR(VLOOKUP(A168,Criterios!$A:$G,7,FALSE),"—"))</f>
        <v>Los individuos de DSR no pueden realizar DSRs consecutivas en la misma instalación de relaves.</v>
      </c>
      <c r="C168" s="33" t="s">
        <v>1764</v>
      </c>
      <c r="D168" s="31" t="s">
        <v>1712</v>
      </c>
      <c r="E168" s="30" t="str">
        <f>IF(D168="","",IFERROR(VLOOKUP(D168,Catalogo_Documentos!$A:$B,2,FALSE),"—"))</f>
        <v>Revisión de seguridad de presas (DSR)</v>
      </c>
      <c r="F168" s="65"/>
      <c r="G168" s="66">
        <v>0.25</v>
      </c>
      <c r="H168" s="67">
        <v>0.4</v>
      </c>
      <c r="I168" s="67">
        <f>Relacion[[#This Row],[Ponderación Criterio]]*Relacion[[#This Row],[% Avance Documento]]</f>
        <v>0.1</v>
      </c>
      <c r="J168" s="68"/>
      <c r="K168" s="68"/>
      <c r="L168" s="71"/>
      <c r="M168" s="71"/>
    </row>
    <row r="169" spans="1:13" ht="39.6">
      <c r="A169" s="8" t="s">
        <v>1439</v>
      </c>
      <c r="B169" s="7" t="str">
        <f>IF(A169="","",IFERROR(VLOOKUP(A169,Criterios!$A:$G,7,FALSE),"—"))</f>
        <v>Los individuos de DSR certifican por escrito que siguen las mejores prácticas para ingenieros en la prevención de conflictos de interés.</v>
      </c>
      <c r="C169" s="33" t="s">
        <v>1764</v>
      </c>
      <c r="D169" s="31" t="s">
        <v>1712</v>
      </c>
      <c r="E169" s="30" t="str">
        <f>IF(D169="","",IFERROR(VLOOKUP(D169,Catalogo_Documentos!$A:$B,2,FALSE),"—"))</f>
        <v>Revisión de seguridad de presas (DSR)</v>
      </c>
      <c r="F169" s="65"/>
      <c r="G169" s="66">
        <v>0.25</v>
      </c>
      <c r="H169" s="67">
        <v>0.4</v>
      </c>
      <c r="I169" s="67">
        <f>Relacion[[#This Row],[Ponderación Criterio]]*Relacion[[#This Row],[% Avance Documento]]</f>
        <v>0.1</v>
      </c>
      <c r="J169" s="68"/>
      <c r="K169" s="68"/>
      <c r="L169" s="71"/>
      <c r="M169" s="71"/>
    </row>
    <row r="170" spans="1:13" ht="118.9">
      <c r="A170" s="8" t="s">
        <v>1442</v>
      </c>
      <c r="B170" s="7" t="str">
        <f>IF(A170="","",IFERROR(VLOOKUP(A170,Criterios!$A:$G,7,FALSE),"—"))</f>
        <v>Para instalaciones de relaves con Clasificaciones de Consecuencias “Muy Altas” o “Extremas”, la ITRB, reportando al Ejecutivo Responsable proporciona una revisión técnica senior independiente de la planificación, emplazamiento, diseño, construcción, operación, balance de aguas y masa, mantenimiento, monitoreo, gestión de desempeño y riesgo a los intervalos adecuados a lo largo de todas las fases del ciclo de vida de la instalación de relaves.</v>
      </c>
      <c r="C170" s="33" t="s">
        <v>1764</v>
      </c>
      <c r="D170" s="31" t="s">
        <v>1714</v>
      </c>
      <c r="E170" s="30" t="str">
        <f>IF(D170="","",IFERROR(VLOOKUP(D170,Catalogo_Documentos!$A:$B,2,FALSE),"—"))</f>
        <v>Informe de ITRB</v>
      </c>
      <c r="F170" s="65"/>
      <c r="G170" s="66">
        <v>0.33333333333333331</v>
      </c>
      <c r="H170" s="67">
        <v>0.4</v>
      </c>
      <c r="I170" s="67">
        <f>Relacion[[#This Row],[Ponderación Criterio]]*Relacion[[#This Row],[% Avance Documento]]</f>
        <v>0.13333333333333333</v>
      </c>
      <c r="J170" s="68"/>
      <c r="K170" s="68"/>
      <c r="L170" s="70">
        <f>SUM(I170:I172)</f>
        <v>0.4</v>
      </c>
      <c r="M170" s="70" t="str">
        <f>IF(AND(L170&gt;=90%,L170&lt;=100%),"CUMPLE",IF(AND(L170&gt;=1%,L170&lt;90%),"CUMPLE PARCIALMENTE",IF(L170=0%,"NO CUMPLE","NO APLICA")))</f>
        <v>CUMPLE PARCIALMENTE</v>
      </c>
    </row>
    <row r="171" spans="1:13" ht="52.9">
      <c r="A171" s="8" t="s">
        <v>1446</v>
      </c>
      <c r="B171" s="7" t="str">
        <f>IF(A171="","",IFERROR(VLOOKUP(A171,Criterios!$A:$G,7,FALSE),"—"))</f>
        <v>Para las instalaciones de relaves con otras Clasificaciones de Consecuencias, esta revisión puede ser realizada alternativamente por un revisor técnico senior independiente.</v>
      </c>
      <c r="C171" s="33" t="s">
        <v>1764</v>
      </c>
      <c r="D171" s="31" t="s">
        <v>1714</v>
      </c>
      <c r="E171" s="30" t="str">
        <f>IF(D171="","",IFERROR(VLOOKUP(D171,Catalogo_Documentos!$A:$B,2,FALSE),"—"))</f>
        <v>Informe de ITRB</v>
      </c>
      <c r="F171" s="65"/>
      <c r="G171" s="66">
        <v>0.33333333333333331</v>
      </c>
      <c r="H171" s="67">
        <v>0.4</v>
      </c>
      <c r="I171" s="67">
        <f>Relacion[[#This Row],[Ponderación Criterio]]*Relacion[[#This Row],[% Avance Documento]]</f>
        <v>0.13333333333333333</v>
      </c>
      <c r="J171" s="68"/>
      <c r="K171" s="68"/>
      <c r="L171" s="71"/>
      <c r="M171" s="71"/>
    </row>
    <row r="172" spans="1:13" ht="39.6">
      <c r="A172" s="8" t="s">
        <v>1449</v>
      </c>
      <c r="B172" s="7" t="str">
        <f>IF(A172="","",IFERROR(VLOOKUP(A172,Criterios!$A:$G,7,FALSE),"—"))</f>
        <v>Las revisiones continuas son realizadas a los intervalos adecuados a lo largo de todas las fases del ciclo de vida de la instalación de relaves.</v>
      </c>
      <c r="C172" s="33" t="s">
        <v>1764</v>
      </c>
      <c r="D172" s="31" t="s">
        <v>1714</v>
      </c>
      <c r="E172" s="30" t="str">
        <f>IF(D172="","",IFERROR(VLOOKUP(D172,Catalogo_Documentos!$A:$B,2,FALSE),"—"))</f>
        <v>Informe de ITRB</v>
      </c>
      <c r="F172" s="65"/>
      <c r="G172" s="66">
        <v>0.33333333333333331</v>
      </c>
      <c r="H172" s="67">
        <v>0.4</v>
      </c>
      <c r="I172" s="67">
        <f>Relacion[[#This Row],[Ponderación Criterio]]*Relacion[[#This Row],[% Avance Documento]]</f>
        <v>0.13333333333333333</v>
      </c>
      <c r="J172" s="68"/>
      <c r="K172" s="68"/>
      <c r="L172" s="71"/>
      <c r="M172" s="71"/>
    </row>
    <row r="173" spans="1:13" ht="39.6">
      <c r="A173" s="8" t="s">
        <v>1452</v>
      </c>
      <c r="B173" s="7" t="str">
        <f>IF(A173="","",IFERROR(VLOOKUP(A173,Criterios!$A:$G,7,FALSE),"—"))</f>
        <v>Un proceso y mecanismos de gobernanza han sido establecidos para la planificación y estimación de costos del cierre.</v>
      </c>
      <c r="C173" s="32" t="s">
        <v>1765</v>
      </c>
      <c r="D173" s="31" t="s">
        <v>1673</v>
      </c>
      <c r="E173" s="30" t="str">
        <f>IF(D173="","",IFERROR(VLOOKUP(D173,Catalogo_Documentos!$A:$B,2,FALSE),"—"))</f>
        <v>Plan de cierre</v>
      </c>
      <c r="F173" s="65"/>
      <c r="G173" s="66">
        <v>0.25</v>
      </c>
      <c r="H173" s="67">
        <v>1</v>
      </c>
      <c r="I173" s="67">
        <f>Relacion[[#This Row],[Ponderación Criterio]]*Relacion[[#This Row],[% Avance Documento]]</f>
        <v>0.25</v>
      </c>
      <c r="J173" s="68"/>
      <c r="K173" s="68"/>
      <c r="L173" s="70">
        <f>SUM(I173:I176)</f>
        <v>1</v>
      </c>
      <c r="M173" s="70" t="str">
        <f>IF(AND(L173&gt;=90%,L173&lt;=100%),"CUMPLE",IF(AND(L173&gt;=1%,L173&lt;90%),"CUMPLE PARCIALMENTE",IF(L173=0%,"NO CUMPLE","NO APLICA")))</f>
        <v>CUMPLE</v>
      </c>
    </row>
    <row r="174" spans="1:13" ht="39.6">
      <c r="A174" s="8" t="s">
        <v>1456</v>
      </c>
      <c r="B174" s="7" t="str">
        <f>IF(A174="","",IFERROR(VLOOKUP(A174,Criterios!$A:$G,7,FALSE),"—"))</f>
        <v>Un plan de cierre para la instalación de relaves ha sido establecido y se han preparado estimaciones de costos asociados al cierre.</v>
      </c>
      <c r="C174" s="32" t="s">
        <v>1765</v>
      </c>
      <c r="D174" s="31" t="s">
        <v>1673</v>
      </c>
      <c r="E174" s="30" t="str">
        <f>IF(D174="","",IFERROR(VLOOKUP(D174,Catalogo_Documentos!$A:$B,2,FALSE),"—"))</f>
        <v>Plan de cierre</v>
      </c>
      <c r="F174" s="65"/>
      <c r="G174" s="66">
        <v>0.25</v>
      </c>
      <c r="H174" s="67">
        <v>1</v>
      </c>
      <c r="I174" s="67">
        <f>Relacion[[#This Row],[Ponderación Criterio]]*Relacion[[#This Row],[% Avance Documento]]</f>
        <v>0.25</v>
      </c>
      <c r="J174" s="68"/>
      <c r="K174" s="68"/>
      <c r="L174" s="71"/>
      <c r="M174" s="71"/>
    </row>
    <row r="175" spans="1:13" ht="92.45">
      <c r="A175" s="8" t="s">
        <v>1459</v>
      </c>
      <c r="B175" s="7" t="str">
        <f>IF(A175="","",IFERROR(VLOOKUP(A175,Criterios!$A:$G,7,FALSE),"—"))</f>
        <v>Los estimados de costos asociados al cierre son revisados periódicamente y se realiza declaración pública anualmente para confirmar que la capacidad económica (incluyendo el seguro, en la medida que sea comercialmente razonable) esté disponible para cumplir con los requisitos de cierre y plazo esperado para la instalación de relaves en su estado actual.</v>
      </c>
      <c r="C175" s="32" t="s">
        <v>1765</v>
      </c>
      <c r="D175" s="31" t="s">
        <v>1673</v>
      </c>
      <c r="E175" s="30" t="str">
        <f>IF(D175="","",IFERROR(VLOOKUP(D175,Catalogo_Documentos!$A:$B,2,FALSE),"—"))</f>
        <v>Plan de cierre</v>
      </c>
      <c r="F175" s="65"/>
      <c r="G175" s="66">
        <v>0.25</v>
      </c>
      <c r="H175" s="67">
        <v>1</v>
      </c>
      <c r="I175" s="67">
        <f>Relacion[[#This Row],[Ponderación Criterio]]*Relacion[[#This Row],[% Avance Documento]]</f>
        <v>0.25</v>
      </c>
      <c r="J175" s="68"/>
      <c r="K175" s="68"/>
      <c r="L175" s="71"/>
      <c r="M175" s="71"/>
    </row>
    <row r="176" spans="1:13" ht="92.45">
      <c r="A176" s="8" t="s">
        <v>1462</v>
      </c>
      <c r="B176" s="7" t="str">
        <f>IF(A176="","",IFERROR(VLOOKUP(A176,Criterios!$A:$G,7,FALSE),"—"))</f>
        <v>Si uno de los activos del Operador que involucra una instalación de relaves sufre un cambio de Titularidad desde la última revisión, el Operador debe proporcionar documentación de que evaluaron y tomaron en consideración la capacidad de un adquiriente para mantener este Estándar (sujetos a las provisiones de las regulaciones locales/nacionales)</v>
      </c>
      <c r="C176" s="32" t="s">
        <v>1765</v>
      </c>
      <c r="D176" s="31" t="s">
        <v>1750</v>
      </c>
      <c r="E176" s="30" t="str">
        <f>IF(D176="","",IFERROR(VLOOKUP(D176,Catalogo_Documentos!$A:$B,2,FALSE),"—"))</f>
        <v>Planes de reconstrucción, restauración y recuperación</v>
      </c>
      <c r="F176" s="65"/>
      <c r="G176" s="66">
        <v>0.25</v>
      </c>
      <c r="H176" s="67">
        <v>1</v>
      </c>
      <c r="I176" s="67">
        <f>Relacion[[#This Row],[Ponderación Criterio]]*Relacion[[#This Row],[% Avance Documento]]</f>
        <v>0.25</v>
      </c>
      <c r="J176" s="68"/>
      <c r="K176" s="68"/>
      <c r="L176" s="71"/>
      <c r="M176" s="71"/>
    </row>
    <row r="177" spans="1:13" ht="39.6">
      <c r="A177" s="8" t="s">
        <v>1465</v>
      </c>
      <c r="B177" s="7" t="str">
        <f>IF(A177="","",IFERROR(VLOOKUP(A177,Criterios!$A:$G,7,FALSE),"—"))</f>
        <v>El Operador ha desarrollado un programa educativo que incluye procedimientos y responsabilidades para prevención de fallas.</v>
      </c>
      <c r="C177" s="32" t="s">
        <v>1765</v>
      </c>
      <c r="D177" s="31" t="s">
        <v>1687</v>
      </c>
      <c r="E177" s="30" t="str">
        <f>IF(D177="","",IFERROR(VLOOKUP(D177,Catalogo_Documentos!$A:$B,2,FALSE),"—"))</f>
        <v>Programa de capacitación del SGR</v>
      </c>
      <c r="F177" s="65"/>
      <c r="G177" s="66">
        <v>0.5</v>
      </c>
      <c r="H177" s="67">
        <v>1</v>
      </c>
      <c r="I177" s="67">
        <f>Relacion[[#This Row],[Ponderación Criterio]]*Relacion[[#This Row],[% Avance Documento]]</f>
        <v>0.5</v>
      </c>
      <c r="J177" s="68"/>
      <c r="K177" s="68"/>
      <c r="L177" s="70">
        <f>SUM(I177:I178)</f>
        <v>0.85</v>
      </c>
      <c r="M177" s="70" t="str">
        <f>IF(AND(L177&gt;=90%,L177&lt;=100%),"CUMPLE",IF(AND(L177&gt;=1%,L177&lt;90%),"CUMPLE PARCIALMENTE",IF(L177=0%,"NO CUMPLE","NO APLICA")))</f>
        <v>CUMPLE PARCIALMENTE</v>
      </c>
    </row>
    <row r="178" spans="1:13" ht="39.6">
      <c r="A178" s="8" t="s">
        <v>1469</v>
      </c>
      <c r="B178" s="7" t="str">
        <f>IF(A178="","",IFERROR(VLOOKUP(A178,Criterios!$A:$G,7,FALSE),"—"))</f>
        <v>Aquellos con roles de prevención de fallas en cualquier fase del ciclo de vida de la instalación de relaves son incluidos en el programa de educación.</v>
      </c>
      <c r="C178" s="32" t="s">
        <v>1765</v>
      </c>
      <c r="D178" s="31" t="s">
        <v>1687</v>
      </c>
      <c r="E178" s="30" t="str">
        <f>IF(D178="","",IFERROR(VLOOKUP(D178,Catalogo_Documentos!$A:$B,2,FALSE),"—"))</f>
        <v>Programa de capacitación del SGR</v>
      </c>
      <c r="F178" s="65"/>
      <c r="G178" s="66">
        <v>0.5</v>
      </c>
      <c r="H178" s="67">
        <v>0.7</v>
      </c>
      <c r="I178" s="67">
        <f>Relacion[[#This Row],[Ponderación Criterio]]*Relacion[[#This Row],[% Avance Documento]]</f>
        <v>0.35</v>
      </c>
      <c r="J178" s="68"/>
      <c r="K178" s="68"/>
      <c r="L178" s="71"/>
      <c r="M178" s="71"/>
    </row>
    <row r="179" spans="1:13" ht="52.9">
      <c r="A179" s="8" t="s">
        <v>1472</v>
      </c>
      <c r="B179" s="7" t="str">
        <f>IF(A179="","",IFERROR(VLOOKUP(A179,Criterios!$A:$G,7,FALSE),"—"))</f>
        <v>Se han establecido mecanismos que incorporan el conocimiento basado en la experiencia del trabajador en la planificación, diseño y operación de todas las fases del ciclo de vida de la instalación de relaves.</v>
      </c>
      <c r="C179" s="32" t="s">
        <v>1765</v>
      </c>
      <c r="D179" s="31" t="s">
        <v>1687</v>
      </c>
      <c r="E179" s="30" t="str">
        <f>IF(D179="","",IFERROR(VLOOKUP(D179,Catalogo_Documentos!$A:$B,2,FALSE),"—"))</f>
        <v>Programa de capacitación del SGR</v>
      </c>
      <c r="F179" s="65"/>
      <c r="G179" s="66">
        <v>1</v>
      </c>
      <c r="H179" s="67">
        <v>0.7</v>
      </c>
      <c r="I179" s="67">
        <f>Relacion[[#This Row],[Ponderación Criterio]]*Relacion[[#This Row],[% Avance Documento]]</f>
        <v>0.7</v>
      </c>
      <c r="J179" s="68"/>
      <c r="K179" s="68"/>
      <c r="L179" s="69">
        <f>Relacion[[#This Row],[Avance Ponderado Efectivo]]</f>
        <v>0.7</v>
      </c>
      <c r="M179" s="69" t="str">
        <f>IF(AND(L179&gt;=90%,L179&lt;=100%),"CUMPLE",IF(AND(L179&gt;=1%,L179&lt;90%),"CUMPLE PARCIALMENTE",IF(L179=0%,"NO CUMPLE","NO APLICA")))</f>
        <v>CUMPLE PARCIALMENTE</v>
      </c>
    </row>
    <row r="180" spans="1:13" ht="92.45">
      <c r="A180" s="8" t="s">
        <v>1476</v>
      </c>
      <c r="B180" s="7" t="str">
        <f>IF(A180="","",IFERROR(VLOOKUP(A180,Criterios!$A:$G,7,FALSE),"—"))</f>
        <v>El Operador ha establecido mecanismos que promueven la colaboración multifuncional para respaldar la seguridad pública y la integridad de la instalación de relaves a través de: 
– intercambio eficaz de datos y conocimiento. 
– comunicación eficaz, e 
– implementación de medidas de gestión.</v>
      </c>
      <c r="C180" s="32" t="s">
        <v>1765</v>
      </c>
      <c r="D180" s="31" t="s">
        <v>1742</v>
      </c>
      <c r="E180" s="30" t="str">
        <f>IF(D180="","",IFERROR(VLOOKUP(D180,Catalogo_Documentos!$A:$B,2,FALSE),"—"))</f>
        <v>Sistema de gestión de relaves (TMS)</v>
      </c>
      <c r="F180" s="65"/>
      <c r="G180" s="66">
        <v>1</v>
      </c>
      <c r="H180" s="67">
        <v>1</v>
      </c>
      <c r="I180" s="67">
        <f>Relacion[[#This Row],[Ponderación Criterio]]*Relacion[[#This Row],[% Avance Documento]]</f>
        <v>1</v>
      </c>
      <c r="J180" s="68"/>
      <c r="K180" s="68"/>
      <c r="L180" s="69">
        <f>Relacion[[#This Row],[Avance Ponderado Efectivo]]</f>
        <v>1</v>
      </c>
      <c r="M180" s="69" t="str">
        <f>IF(AND(L180&gt;=90%,L180&lt;=100%),"CUMPLE",IF(AND(L180&gt;=1%,L180&lt;90%),"CUMPLE PARCIALMENTE",IF(L180=0%,"NO CUMPLE","NO APLICA")))</f>
        <v>CUMPLE</v>
      </c>
    </row>
    <row r="181" spans="1:13" ht="26.45">
      <c r="A181" s="8" t="s">
        <v>1480</v>
      </c>
      <c r="B181" s="7" t="str">
        <f>IF(A181="","",IFERROR(VLOOKUP(A181,Criterios!$A:$G,7,FALSE),"—"))</f>
        <v>El Operador ha identificado e implementado lecciones de investigaciones de incidentes internos.</v>
      </c>
      <c r="C181" s="32" t="s">
        <v>1765</v>
      </c>
      <c r="D181" s="31" t="s">
        <v>1748</v>
      </c>
      <c r="E181" s="30" t="str">
        <f>IF(D181="","",IFERROR(VLOOKUP(D181,Catalogo_Documentos!$A:$B,2,FALSE),"—"))</f>
        <v>Reportes de identificación y lecciones de incidencias</v>
      </c>
      <c r="F181" s="65"/>
      <c r="G181" s="66">
        <v>0.33333333333333331</v>
      </c>
      <c r="H181" s="67">
        <v>1</v>
      </c>
      <c r="I181" s="67">
        <f>Relacion[[#This Row],[Ponderación Criterio]]*Relacion[[#This Row],[% Avance Documento]]</f>
        <v>0.33333333333333331</v>
      </c>
      <c r="J181" s="68"/>
      <c r="K181" s="68"/>
      <c r="L181" s="70">
        <f>SUM(I181:I183)</f>
        <v>1</v>
      </c>
      <c r="M181" s="70" t="str">
        <f>IF(AND(L181&gt;=90%,L181&lt;=100%),"CUMPLE",IF(AND(L181&gt;=1%,L181&lt;90%),"CUMPLE PARCIALMENTE",IF(L181=0%,"NO CUMPLE","NO APLICA")))</f>
        <v>CUMPLE</v>
      </c>
    </row>
    <row r="182" spans="1:13" ht="26.45">
      <c r="A182" s="8" t="s">
        <v>1484</v>
      </c>
      <c r="B182" s="7" t="str">
        <f>IF(A182="","",IFERROR(VLOOKUP(A182,Criterios!$A:$G,7,FALSE),"—"))</f>
        <v>El Operador ha identificado e implementado lecciones de reportes de incidentes externos relevantes.</v>
      </c>
      <c r="C182" s="32" t="s">
        <v>1765</v>
      </c>
      <c r="D182" s="31" t="s">
        <v>1748</v>
      </c>
      <c r="E182" s="30" t="str">
        <f>IF(D182="","",IFERROR(VLOOKUP(D182,Catalogo_Documentos!$A:$B,2,FALSE),"—"))</f>
        <v>Reportes de identificación y lecciones de incidencias</v>
      </c>
      <c r="F182" s="65"/>
      <c r="G182" s="66">
        <v>0.33333333333333331</v>
      </c>
      <c r="H182" s="67">
        <v>1</v>
      </c>
      <c r="I182" s="67">
        <f>Relacion[[#This Row],[Ponderación Criterio]]*Relacion[[#This Row],[% Avance Documento]]</f>
        <v>0.33333333333333331</v>
      </c>
      <c r="J182" s="68"/>
      <c r="K182" s="68"/>
      <c r="L182" s="71"/>
      <c r="M182" s="71"/>
    </row>
    <row r="183" spans="1:13" ht="39.6">
      <c r="A183" s="8" t="s">
        <v>1487</v>
      </c>
      <c r="B183" s="7" t="str">
        <f>IF(A183="","",IFERROR(VLOOKUP(A183,Criterios!$A:$G,7,FALSE),"—"))</f>
        <v>Las lecciones de incidentes internos y externos aprendidas prestan especial atención a los factores humanos y organizativos.</v>
      </c>
      <c r="C183" s="32" t="s">
        <v>1765</v>
      </c>
      <c r="D183" s="31" t="s">
        <v>1748</v>
      </c>
      <c r="E183" s="30" t="str">
        <f>IF(D183="","",IFERROR(VLOOKUP(D183,Catalogo_Documentos!$A:$B,2,FALSE),"—"))</f>
        <v>Reportes de identificación y lecciones de incidencias</v>
      </c>
      <c r="F183" s="65"/>
      <c r="G183" s="66">
        <v>0.33333333333333331</v>
      </c>
      <c r="H183" s="67">
        <v>1</v>
      </c>
      <c r="I183" s="67">
        <f>Relacion[[#This Row],[Ponderación Criterio]]*Relacion[[#This Row],[% Avance Documento]]</f>
        <v>0.33333333333333331</v>
      </c>
      <c r="J183" s="68"/>
      <c r="K183" s="68"/>
      <c r="L183" s="71"/>
      <c r="M183" s="71"/>
    </row>
    <row r="184" spans="1:13" ht="66">
      <c r="A184" s="8" t="s">
        <v>1490</v>
      </c>
      <c r="B184" s="7" t="str">
        <f>IF(A184="","",IFERROR(VLOOKUP(A184,Criterios!$A:$G,7,FALSE),"—"))</f>
        <v>El Operador ha establecido un mecanismo documentado que reconoce, recompensa y protege a los empleados y contratistas que reportan problemas o identifican oportunidades para la mejora de la gestión de la instalación de relaves.</v>
      </c>
      <c r="C184" s="32" t="s">
        <v>1765</v>
      </c>
      <c r="D184" s="31" t="s">
        <v>1742</v>
      </c>
      <c r="E184" s="30" t="str">
        <f>IF(D184="","",IFERROR(VLOOKUP(D184,Catalogo_Documentos!$A:$B,2,FALSE),"—"))</f>
        <v>Sistema de gestión de relaves (TMS)</v>
      </c>
      <c r="F184" s="65"/>
      <c r="G184" s="66">
        <v>0.5</v>
      </c>
      <c r="H184" s="67">
        <v>0.7</v>
      </c>
      <c r="I184" s="67">
        <f>Relacion[[#This Row],[Ponderación Criterio]]*Relacion[[#This Row],[% Avance Documento]]</f>
        <v>0.35</v>
      </c>
      <c r="J184" s="68"/>
      <c r="K184" s="68"/>
      <c r="L184" s="70">
        <f>SUM(I184:I185)</f>
        <v>0.7</v>
      </c>
      <c r="M184" s="70" t="str">
        <f>IF(AND(L184&gt;=90%,L184&lt;=100%),"CUMPLE",IF(AND(L184&gt;=1%,L184&lt;90%),"CUMPLE PARCIALMENTE",IF(L184=0%,"NO CUMPLE","NO APLICA")))</f>
        <v>CUMPLE PARCIALMENTE</v>
      </c>
    </row>
    <row r="185" spans="1:13" ht="52.9">
      <c r="A185" s="8" t="s">
        <v>1494</v>
      </c>
      <c r="B185" s="7" t="str">
        <f>IF(A185="","",IFERROR(VLOOKUP(A185,Criterios!$A:$G,7,FALSE),"—"))</f>
        <v>El Operador ha respondido de manera oportuna, y comunicado a los empleados y contratistas las acciones tomadas en respuesta a las preocupaciones y oportunidades presentadas.</v>
      </c>
      <c r="C185" s="32" t="s">
        <v>1765</v>
      </c>
      <c r="D185" s="31" t="s">
        <v>1667</v>
      </c>
      <c r="E185" s="30" t="str">
        <f>IF(D185="","",IFERROR(VLOOKUP(D185,Catalogo_Documentos!$A:$B,2,FALSE),"—"))</f>
        <v>Reportes de desempeño anual</v>
      </c>
      <c r="F185" s="65"/>
      <c r="G185" s="66">
        <v>0.5</v>
      </c>
      <c r="H185" s="67">
        <v>0.7</v>
      </c>
      <c r="I185" s="67">
        <f>Relacion[[#This Row],[Ponderación Criterio]]*Relacion[[#This Row],[% Avance Documento]]</f>
        <v>0.35</v>
      </c>
      <c r="J185" s="68"/>
      <c r="K185" s="68"/>
      <c r="L185" s="71"/>
      <c r="M185" s="71"/>
    </row>
    <row r="186" spans="1:13" ht="105.6">
      <c r="A186" s="8" t="s">
        <v>1497</v>
      </c>
      <c r="B186" s="7" t="str">
        <f>IF(A186="","",IFERROR(VLOOKUP(A186,Criterios!$A:$G,7,FALSE),"—"))</f>
        <v>El Ejecutivo Responsable ha establecido un proceso formal, confidencial y por escrito para recibir, investigar y abordar con prontitud las inquietudes de empleados y contratistas relacionadas a la instalación de relaves, incluyendo posibles violaciones de permisos u otros asuntos relaciones al cumplimiento reglamentario, seguridad pública, integridad de la instalación de relaves o al medio ambiente.</v>
      </c>
      <c r="C186" s="33" t="s">
        <v>1764</v>
      </c>
      <c r="D186" s="31" t="s">
        <v>1716</v>
      </c>
      <c r="E186" s="30" t="str">
        <f>IF(D186="","",IFERROR(VLOOKUP(D186,Catalogo_Documentos!$A:$B,2,FALSE),"—"))</f>
        <v>Procedimiento de quejas y reclamos.</v>
      </c>
      <c r="F186" s="65"/>
      <c r="G186" s="66">
        <v>1</v>
      </c>
      <c r="H186" s="67">
        <v>0.2</v>
      </c>
      <c r="I186" s="67">
        <f>Relacion[[#This Row],[Ponderación Criterio]]*Relacion[[#This Row],[% Avance Documento]]</f>
        <v>0.2</v>
      </c>
      <c r="J186" s="68"/>
      <c r="K186" s="68"/>
      <c r="L186" s="69">
        <f>Relacion[[#This Row],[Avance Ponderado Efectivo]]</f>
        <v>0.2</v>
      </c>
      <c r="M186" s="69" t="str">
        <f>IF(AND(L186&gt;=90%,L186&lt;=100%),"CUMPLE",IF(AND(L186&gt;=1%,L186&lt;90%),"CUMPLE PARCIALMENTE",IF(L186=0%,"NO CUMPLE","NO APLICA")))</f>
        <v>CUMPLE PARCIALMENTE</v>
      </c>
    </row>
    <row r="187" spans="1:13" ht="79.150000000000006">
      <c r="A187" s="8" t="s">
        <v>1501</v>
      </c>
      <c r="B187" s="7" t="str">
        <f>IF(A187="","",IFERROR(VLOOKUP(A187,Criterios!$A:$G,7,FALSE),"—"))</f>
        <v>El Operador mantiene prácticas de protección al denunciante que no descargan, discriminan o toman represalias contra un denunciante quien, en buena fe, reporta posibles violaciones relacionadas al cumplimiento reglamentario, seguridad pública, integridad de la instalación de relaves o el medio ambiente.</v>
      </c>
      <c r="C187" s="33" t="s">
        <v>1764</v>
      </c>
      <c r="D187" s="31" t="s">
        <v>1716</v>
      </c>
      <c r="E187" s="30" t="str">
        <f>IF(D187="","",IFERROR(VLOOKUP(D187,Catalogo_Documentos!$A:$B,2,FALSE),"—"))</f>
        <v>Procedimiento de quejas y reclamos.</v>
      </c>
      <c r="F187" s="65"/>
      <c r="G187" s="66">
        <v>1</v>
      </c>
      <c r="H187" s="67">
        <v>1</v>
      </c>
      <c r="I187" s="67">
        <f>Relacion[[#This Row],[Ponderación Criterio]]*Relacion[[#This Row],[% Avance Documento]]</f>
        <v>1</v>
      </c>
      <c r="J187" s="68"/>
      <c r="K187" s="68"/>
      <c r="L187" s="69">
        <f>Relacion[[#This Row],[Avance Ponderado Efectivo]]</f>
        <v>1</v>
      </c>
      <c r="M187" s="69" t="str">
        <f>IF(AND(L187&gt;=90%,L187&lt;=100%),"CUMPLE",IF(AND(L187&gt;=1%,L187&lt;90%),"CUMPLE PARCIALMENTE",IF(L187=0%,"NO CUMPLE","NO APLICA")))</f>
        <v>CUMPLE</v>
      </c>
    </row>
    <row r="188" spans="1:13" ht="79.150000000000006">
      <c r="A188" s="8" t="s">
        <v>1505</v>
      </c>
      <c r="B188" s="7" t="str">
        <f>IF(A188="","",IFERROR(VLOOKUP(A188,Criterios!$A:$G,7,FALSE),"—"))</f>
        <v>El Sistema de Gestión de Relaves (TMS) incluye un Plan de Preparación y Respuesta frente a Emergencias (EPRP) específico al sitio de la instalación de relaves. El EPRP incluye acciones específicas tanto para preparar, como para manejar un evento creciente, y para responder después que un evento ha ocurrido.</v>
      </c>
      <c r="C188" s="33" t="s">
        <v>1764</v>
      </c>
      <c r="D188" s="31" t="s">
        <v>1718</v>
      </c>
      <c r="E188" s="30" t="str">
        <f>IF(D188="","",IFERROR(VLOOKUP(D188,Catalogo_Documentos!$A:$B,2,FALSE),"—"))</f>
        <v>Plan de preparación y respuesta frente a Emergencias (EPRP)</v>
      </c>
      <c r="F188" s="65"/>
      <c r="G188" s="66">
        <v>0.2</v>
      </c>
      <c r="H188" s="67">
        <v>1</v>
      </c>
      <c r="I188" s="67">
        <f>Relacion[[#This Row],[Ponderación Criterio]]*Relacion[[#This Row],[% Avance Documento]]</f>
        <v>0.2</v>
      </c>
      <c r="J188" s="68"/>
      <c r="K188" s="68"/>
      <c r="L188" s="70">
        <f>SUM(I188:I192)</f>
        <v>1</v>
      </c>
      <c r="M188" s="70" t="str">
        <f>IF(AND(L188&gt;=90%,L188&lt;=100%),"CUMPLE",IF(AND(L188&gt;=1%,L188&lt;90%),"CUMPLE PARCIALMENTE",IF(L188=0%,"NO CUMPLE","NO APLICA")))</f>
        <v>CUMPLE</v>
      </c>
    </row>
    <row r="189" spans="1:13" ht="66">
      <c r="A189" s="8" t="s">
        <v>1510</v>
      </c>
      <c r="B189" s="7" t="str">
        <f>IF(A189="","",IFERROR(VLOOKUP(A189,Criterios!$A:$G,7,FALSE),"—"))</f>
        <v>El EPRP de la instalación de relaves es responsivo a los escenarios de falla de flujo creíbles y a la evaluación de las consecuencias potenciales, e identifica claramente las áreas potencialmente afectadas y el grado potencial de las consecuencias esperadas.</v>
      </c>
      <c r="C189" s="33" t="s">
        <v>1764</v>
      </c>
      <c r="D189" s="31" t="s">
        <v>1718</v>
      </c>
      <c r="E189" s="30" t="str">
        <f>IF(D189="","",IFERROR(VLOOKUP(D189,Catalogo_Documentos!$A:$B,2,FALSE),"—"))</f>
        <v>Plan de preparación y respuesta frente a Emergencias (EPRP)</v>
      </c>
      <c r="F189" s="65"/>
      <c r="G189" s="66">
        <v>0.2</v>
      </c>
      <c r="H189" s="67">
        <v>1</v>
      </c>
      <c r="I189" s="67">
        <f>Relacion[[#This Row],[Ponderación Criterio]]*Relacion[[#This Row],[% Avance Documento]]</f>
        <v>0.2</v>
      </c>
      <c r="J189" s="68"/>
      <c r="K189" s="68"/>
      <c r="L189" s="71"/>
      <c r="M189" s="71" t="str">
        <f>IF(AND(L189&gt;=90%,L189&lt;=100%),"CUMPLE",IF(AND(L189&gt;=1%,L189&lt;90%),"CUMPLE PARCIALMENTE",IF(L189=0%,"NO CUMPLE","NO APLICA")))</f>
        <v>NO CUMPLE</v>
      </c>
    </row>
    <row r="190" spans="1:13" ht="52.9">
      <c r="A190" s="8" t="s">
        <v>1513</v>
      </c>
      <c r="B190" s="7" t="str">
        <f>IF(A190="","",IFERROR(VLOOKUP(A190,Criterios!$A:$G,7,FALSE),"—"))</f>
        <v>El EPRP fue desarrollado con aportes de experiencia apropiada en respuesta frente a emergencias, operaciones de sitio y de personas afectadas por el proyecto utilizando las mejores prácticas.</v>
      </c>
      <c r="C190" s="33" t="s">
        <v>1764</v>
      </c>
      <c r="D190" s="31" t="s">
        <v>1718</v>
      </c>
      <c r="E190" s="30" t="str">
        <f>IF(D190="","",IFERROR(VLOOKUP(D190,Catalogo_Documentos!$A:$B,2,FALSE),"—"))</f>
        <v>Plan de preparación y respuesta frente a Emergencias (EPRP)</v>
      </c>
      <c r="F190" s="65"/>
      <c r="G190" s="66">
        <v>0.2</v>
      </c>
      <c r="H190" s="67">
        <v>1</v>
      </c>
      <c r="I190" s="67">
        <f>Relacion[[#This Row],[Ponderación Criterio]]*Relacion[[#This Row],[% Avance Documento]]</f>
        <v>0.2</v>
      </c>
      <c r="J190" s="68"/>
      <c r="K190" s="68"/>
      <c r="L190" s="71"/>
      <c r="M190" s="71"/>
    </row>
    <row r="191" spans="1:13" ht="92.45">
      <c r="A191" s="8" t="s">
        <v>1516</v>
      </c>
      <c r="B191" s="7" t="str">
        <f>IF(A191="","",IFERROR(VLOOKUP(A191,Criterios!$A:$G,7,FALSE),"—"))</f>
        <v>El EPRP de la instalación de relaves para las instalaciones operativas son evaluados y revisados sobre el proceso y frecuencia especificados en el plan, cada 3 años, o más frecuentemente si es activado por un cambio material a la instalación de relaves o al contexto social, medioambiental o económico. Referencia R 13.2 y R. 13.3.</v>
      </c>
      <c r="C191" s="33" t="s">
        <v>1764</v>
      </c>
      <c r="D191" s="31" t="s">
        <v>1718</v>
      </c>
      <c r="E191" s="30" t="str">
        <f>IF(D191="","",IFERROR(VLOOKUP(D191,Catalogo_Documentos!$A:$B,2,FALSE),"—"))</f>
        <v>Plan de preparación y respuesta frente a Emergencias (EPRP)</v>
      </c>
      <c r="F191" s="65"/>
      <c r="G191" s="66">
        <v>0.2</v>
      </c>
      <c r="H191" s="67">
        <v>1</v>
      </c>
      <c r="I191" s="67">
        <f>Relacion[[#This Row],[Ponderación Criterio]]*Relacion[[#This Row],[% Avance Documento]]</f>
        <v>0.2</v>
      </c>
      <c r="J191" s="68"/>
      <c r="K191" s="68"/>
      <c r="L191" s="71"/>
      <c r="M191" s="71"/>
    </row>
    <row r="192" spans="1:13" ht="105.6">
      <c r="A192" s="8" t="s">
        <v>1519</v>
      </c>
      <c r="B192" s="7" t="str">
        <f>IF(A192="","",IFERROR(VLOOKUP(A192,Criterios!$A:$G,7,FALSE),"—"))</f>
        <v>El desarrollo y actualizaciones del EPRP involucran compromisos importantes de empleados, contratistas, proveedores de respuesta frente a emergencia comunitarios, y las personas afectadas por el proyecto son involucradas para codesarrollar preparación frente a emergencias enfocadas en la comunidad y comunicación de plan a las personas afectadas por el proyecto.</v>
      </c>
      <c r="C192" s="33" t="s">
        <v>1764</v>
      </c>
      <c r="D192" s="31" t="s">
        <v>1718</v>
      </c>
      <c r="E192" s="30" t="str">
        <f>IF(D192="","",IFERROR(VLOOKUP(D192,Catalogo_Documentos!$A:$B,2,FALSE),"—"))</f>
        <v>Plan de preparación y respuesta frente a Emergencias (EPRP)</v>
      </c>
      <c r="F192" s="65"/>
      <c r="G192" s="66">
        <v>0.2</v>
      </c>
      <c r="H192" s="67">
        <v>1</v>
      </c>
      <c r="I192" s="67">
        <f>Relacion[[#This Row],[Ponderación Criterio]]*Relacion[[#This Row],[% Avance Documento]]</f>
        <v>0.2</v>
      </c>
      <c r="J192" s="68"/>
      <c r="K192" s="68"/>
      <c r="L192" s="71"/>
      <c r="M192" s="71"/>
    </row>
    <row r="193" spans="1:13" ht="52.9">
      <c r="A193" s="8" t="s">
        <v>1522</v>
      </c>
      <c r="B193" s="7" t="str">
        <f>IF(A193="","",IFERROR(VLOOKUP(A193,Criterios!$A:$G,7,FALSE),"—"))</f>
        <v>El Operador a identificado agencias del sector público, entidades de primera línea, autoridades locales e instituciones que participarían en cualquier respuesta de emergencia a una falla de una instalación de relaves.</v>
      </c>
      <c r="C193" s="32" t="s">
        <v>1765</v>
      </c>
      <c r="D193" s="31" t="s">
        <v>1718</v>
      </c>
      <c r="E193" s="30" t="str">
        <f>IF(D193="","",IFERROR(VLOOKUP(D193,Catalogo_Documentos!$A:$B,2,FALSE),"—"))</f>
        <v>Plan de preparación y respuesta frente a Emergencias (EPRP)</v>
      </c>
      <c r="F193" s="65"/>
      <c r="G193" s="66">
        <v>0.33333333333333331</v>
      </c>
      <c r="H193" s="67">
        <v>0.7</v>
      </c>
      <c r="I193" s="67">
        <f>Relacion[[#This Row],[Ponderación Criterio]]*Relacion[[#This Row],[% Avance Documento]]</f>
        <v>0.23333333333333331</v>
      </c>
      <c r="J193" s="68"/>
      <c r="K193" s="68"/>
      <c r="L193" s="70">
        <f>SUM(I193:I195)</f>
        <v>0.43333333333333329</v>
      </c>
      <c r="M193" s="70" t="str">
        <f>IF(AND(L193&gt;=90%,L193&lt;=100%),"CUMPLE",IF(AND(L193&gt;=1%,L193&lt;90%),"CUMPLE PARCIALMENTE",IF(L193=0%,"NO CUMPLE","NO APLICA")))</f>
        <v>CUMPLE PARCIALMENTE</v>
      </c>
    </row>
    <row r="194" spans="1:13" ht="26.45">
      <c r="A194" s="8" t="s">
        <v>1526</v>
      </c>
      <c r="B194" s="7" t="str">
        <f>IF(A194="","",IFERROR(VLOOKUP(A194,Criterios!$A:$G,7,FALSE),"—"))</f>
        <v>El Operador se ha involucrado con las organizaciones identificadas.</v>
      </c>
      <c r="C194" s="32" t="s">
        <v>1765</v>
      </c>
      <c r="D194" s="31" t="s">
        <v>1718</v>
      </c>
      <c r="E194" s="30" t="str">
        <f>IF(D194="","",IFERROR(VLOOKUP(D194,Catalogo_Documentos!$A:$B,2,FALSE),"—"))</f>
        <v>Plan de preparación y respuesta frente a Emergencias (EPRP)</v>
      </c>
      <c r="F194" s="65"/>
      <c r="G194" s="66">
        <v>0.33333333333333331</v>
      </c>
      <c r="H194" s="67">
        <v>0.4</v>
      </c>
      <c r="I194" s="67">
        <f>Relacion[[#This Row],[Ponderación Criterio]]*Relacion[[#This Row],[% Avance Documento]]</f>
        <v>0.13333333333333333</v>
      </c>
      <c r="J194" s="68"/>
      <c r="K194" s="68"/>
      <c r="L194" s="71"/>
      <c r="M194" s="71"/>
    </row>
    <row r="195" spans="1:13" ht="92.45">
      <c r="A195" s="8" t="s">
        <v>1529</v>
      </c>
      <c r="B195" s="7" t="str">
        <f>IF(A195="","",IFERROR(VLOOKUP(A195,Criterios!$A:$G,7,FALSE),"—"))</f>
        <v>El Operador ha tomado pasos razonables para evaluar la habilidad de las organizaciones identificadas para abordar los riesgos identificados en el EPRP de la instalación de relaves, para identificar las carencias en la capacidad, y para utilizar esta información para respaldar el desarrollo de un plan colaborativo para mejorar la preparación si se identifican carencias.</v>
      </c>
      <c r="C195" s="32" t="s">
        <v>1765</v>
      </c>
      <c r="D195" s="31" t="s">
        <v>1718</v>
      </c>
      <c r="E195" s="30" t="str">
        <f>IF(D195="","",IFERROR(VLOOKUP(D195,Catalogo_Documentos!$A:$B,2,FALSE),"—"))</f>
        <v>Plan de preparación y respuesta frente a Emergencias (EPRP)</v>
      </c>
      <c r="F195" s="65"/>
      <c r="G195" s="66">
        <v>0.33333333333333331</v>
      </c>
      <c r="H195" s="67">
        <v>0.2</v>
      </c>
      <c r="I195" s="67">
        <f>Relacion[[#This Row],[Ponderación Criterio]]*Relacion[[#This Row],[% Avance Documento]]</f>
        <v>6.6666666666666666E-2</v>
      </c>
      <c r="J195" s="68"/>
      <c r="K195" s="68"/>
      <c r="L195" s="71"/>
      <c r="M195" s="71"/>
    </row>
    <row r="196" spans="1:13" ht="52.9">
      <c r="A196" s="8" t="s">
        <v>1532</v>
      </c>
      <c r="B196" s="7" t="str">
        <f>IF(A196="","",IFERROR(VLOOKUP(A196,Criterios!$A:$G,7,FALSE),"—"))</f>
        <v>El Operador incorpora el conocimiento de las medidas enfocadas a la comunidad y la capacidad del sector público al establecer un estado de preparación en el EPRP.</v>
      </c>
      <c r="C196" s="32" t="s">
        <v>1765</v>
      </c>
      <c r="D196" s="31" t="s">
        <v>1718</v>
      </c>
      <c r="E196" s="30" t="str">
        <f>IF(D196="","",IFERROR(VLOOKUP(D196,Catalogo_Documentos!$A:$B,2,FALSE),"—"))</f>
        <v>Plan de preparación y respuesta frente a Emergencias (EPRP)</v>
      </c>
      <c r="F196" s="65"/>
      <c r="G196" s="66">
        <v>0.16666666666666666</v>
      </c>
      <c r="H196" s="67">
        <v>0.4</v>
      </c>
      <c r="I196" s="67">
        <f>Relacion[[#This Row],[Ponderación Criterio]]*Relacion[[#This Row],[% Avance Documento]]</f>
        <v>6.6666666666666666E-2</v>
      </c>
      <c r="J196" s="68"/>
      <c r="K196" s="68"/>
      <c r="L196" s="70">
        <f>SUM(I196:I201)</f>
        <v>0.39999999999999997</v>
      </c>
      <c r="M196" s="70" t="str">
        <f>IF(AND(L196&gt;=90%,L196&lt;=100%),"CUMPLE",IF(AND(L196&gt;=1%,L196&lt;90%),"CUMPLE PARCIALMENTE",IF(L196=0%,"NO CUMPLE","NO APLICA")))</f>
        <v>CUMPLE PARCIALMENTE</v>
      </c>
    </row>
    <row r="197" spans="1:13" ht="79.150000000000006">
      <c r="A197" s="8" t="s">
        <v>1536</v>
      </c>
      <c r="B197" s="7" t="str">
        <f>IF(A197="","",IFERROR(VLOOKUP(A197,Criterios!$A:$G,7,FALSE),"—"))</f>
        <v>El Operador ha tomado todos los pasos razonables para mantener un estado de preparación compartido al involucrarse con las agencias del sector público, entidades de primera línea, autoridades locales, instituciones, que responderían frente una emergencia (como se identificó en 13.2).</v>
      </c>
      <c r="C197" s="32" t="s">
        <v>1765</v>
      </c>
      <c r="D197" s="31" t="s">
        <v>1718</v>
      </c>
      <c r="E197" s="30" t="str">
        <f>IF(D197="","",IFERROR(VLOOKUP(D197,Catalogo_Documentos!$A:$B,2,FALSE),"—"))</f>
        <v>Plan de preparación y respuesta frente a Emergencias (EPRP)</v>
      </c>
      <c r="F197" s="65"/>
      <c r="G197" s="66">
        <v>0.16666666666666666</v>
      </c>
      <c r="H197" s="67">
        <v>0.4</v>
      </c>
      <c r="I197" s="67">
        <f>Relacion[[#This Row],[Ponderación Criterio]]*Relacion[[#This Row],[% Avance Documento]]</f>
        <v>6.6666666666666666E-2</v>
      </c>
      <c r="J197" s="68"/>
      <c r="K197" s="68"/>
      <c r="L197" s="71"/>
      <c r="M197" s="71"/>
    </row>
    <row r="198" spans="1:13" ht="52.9">
      <c r="A198" s="8" t="s">
        <v>1539</v>
      </c>
      <c r="B198" s="7" t="str">
        <f>IF(A198="","",IFERROR(VLOOKUP(A198,Criterios!$A:$G,7,FALSE),"—"))</f>
        <v>El Operador aseguró y mantiene recursos en un estado de preparación para responder a escenarios de falla de flujo creíble de una instalación de relaves si aplica a su instalación.</v>
      </c>
      <c r="C198" s="32" t="s">
        <v>1765</v>
      </c>
      <c r="D198" s="31" t="s">
        <v>1718</v>
      </c>
      <c r="E198" s="30" t="str">
        <f>IF(D198="","",IFERROR(VLOOKUP(D198,Catalogo_Documentos!$A:$B,2,FALSE),"—"))</f>
        <v>Plan de preparación y respuesta frente a Emergencias (EPRP)</v>
      </c>
      <c r="F198" s="65"/>
      <c r="G198" s="66">
        <v>0.16666666666666666</v>
      </c>
      <c r="H198" s="67">
        <v>0.4</v>
      </c>
      <c r="I198" s="67">
        <f>Relacion[[#This Row],[Ponderación Criterio]]*Relacion[[#This Row],[% Avance Documento]]</f>
        <v>6.6666666666666666E-2</v>
      </c>
      <c r="J198" s="68"/>
      <c r="K198" s="68"/>
      <c r="L198" s="71"/>
      <c r="M198" s="71"/>
    </row>
    <row r="199" spans="1:13" ht="26.45">
      <c r="A199" s="8" t="s">
        <v>1542</v>
      </c>
      <c r="B199" s="7" t="str">
        <f>IF(A199="","",IFERROR(VLOOKUP(A199,Criterios!$A:$G,7,FALSE),"—"))</f>
        <v>Se realizan capacitaciones internas y enfocadas en la comunidad y ejercicios sobre el EPRP.</v>
      </c>
      <c r="C199" s="32" t="s">
        <v>1765</v>
      </c>
      <c r="D199" s="31" t="s">
        <v>1744</v>
      </c>
      <c r="E199" s="30" t="str">
        <f>IF(D199="","",IFERROR(VLOOKUP(D199,Catalogo_Documentos!$A:$B,2,FALSE),"—"))</f>
        <v>Registro de simulacros y capacitaciones internas</v>
      </c>
      <c r="F199" s="65" t="s">
        <v>1718</v>
      </c>
      <c r="G199" s="66">
        <v>0.16666666666666666</v>
      </c>
      <c r="H199" s="67">
        <v>0.4</v>
      </c>
      <c r="I199" s="67">
        <f>Relacion[[#This Row],[Ponderación Criterio]]*Relacion[[#This Row],[% Avance Documento]]</f>
        <v>6.6666666666666666E-2</v>
      </c>
      <c r="J199" s="68"/>
      <c r="K199" s="68"/>
      <c r="L199" s="71"/>
      <c r="M199" s="71"/>
    </row>
    <row r="200" spans="1:13" ht="66">
      <c r="A200" s="8" t="s">
        <v>1545</v>
      </c>
      <c r="B200" s="7" t="str">
        <f>IF(A200="","",IFERROR(VLOOKUP(A200,Criterios!$A:$G,7,FALSE),"—"))</f>
        <v>El Operador tiene un programa para realizar simulaciones de respuesta a emergencias con proveedores de servicios de emergencias, y personas afectadas por el proyecto a una frecuencia definida por el EPRP.</v>
      </c>
      <c r="C200" s="32" t="s">
        <v>1765</v>
      </c>
      <c r="D200" s="31" t="s">
        <v>1744</v>
      </c>
      <c r="E200" s="30" t="str">
        <f>IF(D200="","",IFERROR(VLOOKUP(D200,Catalogo_Documentos!$A:$B,2,FALSE),"—"))</f>
        <v>Registro de simulacros y capacitaciones internas</v>
      </c>
      <c r="F200" s="65" t="s">
        <v>1718</v>
      </c>
      <c r="G200" s="66">
        <v>0.16666666666666666</v>
      </c>
      <c r="H200" s="67">
        <v>0.4</v>
      </c>
      <c r="I200" s="67">
        <f>Relacion[[#This Row],[Ponderación Criterio]]*Relacion[[#This Row],[% Avance Documento]]</f>
        <v>6.6666666666666666E-2</v>
      </c>
      <c r="J200" s="68"/>
      <c r="K200" s="68"/>
      <c r="L200" s="71"/>
      <c r="M200" s="71"/>
    </row>
    <row r="201" spans="1:13" ht="118.9">
      <c r="A201" s="8" t="s">
        <v>1548</v>
      </c>
      <c r="B201" s="7" t="str">
        <f>IF(A201="","",IFERROR(VLOOKUP(A201,Criterios!$A:$G,7,FALSE),"—"))</f>
        <v>Para las instalaciones con escenarios de falla de flujo creíble el Operador llevó a cabo una respuesta de emergencia, las simulaciones se llevan a cabo por lo menos cada 3 años para aquellas instalaciones de relaves con escenarios de falla de flujo creíble, que pueden resultar en muertes. Las simulaciones pueden variar desde ejercicios de mesa hasta ejercicios de campo de una emergencia y pueden incluir la evaluación de múltiples escenarios de falla de flujo creíbles.</v>
      </c>
      <c r="C201" s="32" t="s">
        <v>1765</v>
      </c>
      <c r="D201" s="31" t="s">
        <v>1744</v>
      </c>
      <c r="E201" s="30" t="str">
        <f>IF(D201="","",IFERROR(VLOOKUP(D201,Catalogo_Documentos!$A:$B,2,FALSE),"—"))</f>
        <v>Registro de simulacros y capacitaciones internas</v>
      </c>
      <c r="F201" s="65" t="s">
        <v>1718</v>
      </c>
      <c r="G201" s="66">
        <v>0.16666666666666666</v>
      </c>
      <c r="H201" s="67">
        <v>0.4</v>
      </c>
      <c r="I201" s="67">
        <f>Relacion[[#This Row],[Ponderación Criterio]]*Relacion[[#This Row],[% Avance Documento]]</f>
        <v>6.6666666666666666E-2</v>
      </c>
      <c r="J201" s="68"/>
      <c r="K201" s="68"/>
      <c r="L201" s="71"/>
      <c r="M201" s="71"/>
    </row>
    <row r="202" spans="1:13" ht="52.9">
      <c r="A202" s="8" t="s">
        <v>1551</v>
      </c>
      <c r="B202" s="7" t="str">
        <f>IF(A202="","",IFERROR(VLOOKUP(A202,Criterios!$A:$G,7,FALSE),"—"))</f>
        <v>El EPRP incluye acciones específicas para responder inmediatamente si ha ocurrido una falla catastrófica de una instalación de relaves (refiérase a los Requisitos en 13.1).</v>
      </c>
      <c r="C202" s="32" t="s">
        <v>1765</v>
      </c>
      <c r="D202" s="31" t="s">
        <v>1750</v>
      </c>
      <c r="E202" s="30" t="str">
        <f>IF(D202="","",IFERROR(VLOOKUP(D202,Catalogo_Documentos!$A:$B,2,FALSE),"—"))</f>
        <v>Planes de reconstrucción, restauración y recuperación</v>
      </c>
      <c r="F202" s="65"/>
      <c r="G202" s="66">
        <v>0.5</v>
      </c>
      <c r="H202" s="67">
        <v>0.4</v>
      </c>
      <c r="I202" s="67">
        <f>Relacion[[#This Row],[Ponderación Criterio]]*Relacion[[#This Row],[% Avance Documento]]</f>
        <v>0.2</v>
      </c>
      <c r="J202" s="68"/>
      <c r="K202" s="68"/>
      <c r="L202" s="70">
        <f>SUM(I202:I203)</f>
        <v>0.4</v>
      </c>
      <c r="M202" s="70" t="str">
        <f>IF(AND(L202&gt;=90%,L202&lt;=100%),"CUMPLE",IF(AND(L202&gt;=1%,L202&lt;90%),"CUMPLE PARCIALMENTE",IF(L202=0%,"NO CUMPLE","NO APLICA")))</f>
        <v>CUMPLE PARCIALMENTE</v>
      </c>
    </row>
    <row r="203" spans="1:13" ht="52.9">
      <c r="A203" s="8" t="s">
        <v>1555</v>
      </c>
      <c r="B203" s="7" t="str">
        <f>IF(A203="","",IFERROR(VLOOKUP(A203,Criterios!$A:$G,7,FALSE),"—"))</f>
        <v>La respuesta inmediata en el evento de una falla catastrófica de una instalación de relaves claramente prioriza la salvación de vidas, provisión de ayuda humanitaria y minimización de daño medioambiental.</v>
      </c>
      <c r="C203" s="32" t="s">
        <v>1765</v>
      </c>
      <c r="D203" s="31" t="s">
        <v>1750</v>
      </c>
      <c r="E203" s="30" t="str">
        <f>IF(D203="","",IFERROR(VLOOKUP(D203,Catalogo_Documentos!$A:$B,2,FALSE),"—"))</f>
        <v>Planes de reconstrucción, restauración y recuperación</v>
      </c>
      <c r="F203" s="65"/>
      <c r="G203" s="66">
        <v>0.5</v>
      </c>
      <c r="H203" s="67">
        <v>0.4</v>
      </c>
      <c r="I203" s="67">
        <f>Relacion[[#This Row],[Ponderación Criterio]]*Relacion[[#This Row],[% Avance Documento]]</f>
        <v>0.2</v>
      </c>
      <c r="J203" s="68"/>
      <c r="K203" s="68"/>
      <c r="L203" s="71"/>
      <c r="M203" s="71"/>
    </row>
    <row r="204" spans="1:13" ht="52.9">
      <c r="A204" s="8" t="s">
        <v>1558</v>
      </c>
      <c r="B204" s="7" t="str">
        <f>IF(A204="","",IFERROR(VLOOKUP(A204,Criterios!$A:$G,7,FALSE),"—"))</f>
        <v>El Operador ha identificado agencias del sector público y otras organizaciones que participarían en estrategias sociales y medioambientales de mediano y largo plazo posteriores a la falla.</v>
      </c>
      <c r="C204" s="27"/>
      <c r="D204" s="31" t="s">
        <v>1750</v>
      </c>
      <c r="E204" s="30" t="str">
        <f>IF(D204="","",IFERROR(VLOOKUP(D204,Catalogo_Documentos!$A:$B,2,FALSE),"—"))</f>
        <v>Planes de reconstrucción, restauración y recuperación</v>
      </c>
      <c r="F204" s="65"/>
      <c r="G204" s="66">
        <v>0.5</v>
      </c>
      <c r="H204" s="67">
        <v>0.4</v>
      </c>
      <c r="I204" s="67">
        <f>Relacion[[#This Row],[Ponderación Criterio]]*Relacion[[#This Row],[% Avance Documento]]</f>
        <v>0.2</v>
      </c>
      <c r="J204" s="68"/>
      <c r="K204" s="68"/>
      <c r="L204" s="70">
        <f>SUM(I204:I205)</f>
        <v>0.4</v>
      </c>
      <c r="M204" s="70" t="str">
        <f>IF(AND(L204&gt;=90%,L204&lt;=100%),"CUMPLE",IF(AND(L204&gt;=1%,L204&lt;90%),"CUMPLE PARCIALMENTE",IF(L204=0%,"NO CUMPLE","NO APLICA")))</f>
        <v>CUMPLE PARCIALMENTE</v>
      </c>
    </row>
    <row r="205" spans="1:13" ht="26.45">
      <c r="A205" s="8" t="s">
        <v>1562</v>
      </c>
      <c r="B205" s="7" t="str">
        <f>IF(A205="","",IFERROR(VLOOKUP(A205,Criterios!$A:$G,7,FALSE),"—"))</f>
        <v>El Operador ha tomado pasos razonables para involucrarse significativamente con tales organizaciones.</v>
      </c>
      <c r="C205" s="32" t="s">
        <v>1765</v>
      </c>
      <c r="D205" s="31" t="s">
        <v>1750</v>
      </c>
      <c r="E205" s="30" t="str">
        <f>IF(D205="","",IFERROR(VLOOKUP(D205,Catalogo_Documentos!$A:$B,2,FALSE),"—"))</f>
        <v>Planes de reconstrucción, restauración y recuperación</v>
      </c>
      <c r="F205" s="65"/>
      <c r="G205" s="66">
        <v>0.5</v>
      </c>
      <c r="H205" s="67">
        <v>0.4</v>
      </c>
      <c r="I205" s="67">
        <f>Relacion[[#This Row],[Ponderación Criterio]]*Relacion[[#This Row],[% Avance Documento]]</f>
        <v>0.2</v>
      </c>
      <c r="J205" s="68"/>
      <c r="K205" s="68"/>
      <c r="L205" s="71"/>
      <c r="M205" s="71"/>
    </row>
    <row r="206" spans="1:13" ht="39.6">
      <c r="A206" s="8" t="s">
        <v>1565</v>
      </c>
      <c r="B206" s="7" t="str">
        <f>IF(A206="","",IFERROR(VLOOKUP(A206,Criterios!$A:$G,7,FALSE),"—"))</f>
        <v>El Operador ha realizado una evaluación de impacto posterior al incidente que aborda los impactos sociales, medioambientales y económicos locales.</v>
      </c>
      <c r="C206" s="32" t="s">
        <v>1765</v>
      </c>
      <c r="D206" s="31" t="s">
        <v>1750</v>
      </c>
      <c r="E206" s="30" t="str">
        <f>IF(D206="","",IFERROR(VLOOKUP(D206,Catalogo_Documentos!$A:$B,2,FALSE),"—"))</f>
        <v>Planes de reconstrucción, restauración y recuperación</v>
      </c>
      <c r="F206" s="65"/>
      <c r="G206" s="66">
        <v>0.5</v>
      </c>
      <c r="H206" s="67">
        <v>0.4</v>
      </c>
      <c r="I206" s="67">
        <f>Relacion[[#This Row],[Ponderación Criterio]]*Relacion[[#This Row],[% Avance Documento]]</f>
        <v>0.2</v>
      </c>
      <c r="J206" s="68"/>
      <c r="K206" s="68"/>
      <c r="L206" s="70">
        <f>SUM(I206:I207)</f>
        <v>0.4</v>
      </c>
      <c r="M206" s="70" t="str">
        <f>IF(AND(L206&gt;=90%,L206&lt;=100%),"CUMPLE",IF(AND(L206&gt;=1%,L206&lt;90%),"CUMPLE PARCIALMENTE",IF(L206=0%,"NO CUMPLE","NO APLICA")))</f>
        <v>CUMPLE PARCIALMENTE</v>
      </c>
    </row>
    <row r="207" spans="1:13" ht="52.9">
      <c r="A207" s="8" t="s">
        <v>1569</v>
      </c>
      <c r="B207" s="7" t="str">
        <f>IF(A207="","",IFERROR(VLOOKUP(A207,Criterios!$A:$G,7,FALSE),"—"))</f>
        <v>La evaluación de impacto posterior al incidente ha sido realizada tan rápido como ha sido posible una vez las personas estén seguras y se hayan cumplido con las necesidades de supervivencia a corto plazo.</v>
      </c>
      <c r="C207" s="32" t="s">
        <v>1765</v>
      </c>
      <c r="D207" s="31" t="s">
        <v>1750</v>
      </c>
      <c r="E207" s="30" t="str">
        <f>IF(D207="","",IFERROR(VLOOKUP(D207,Catalogo_Documentos!$A:$B,2,FALSE),"—"))</f>
        <v>Planes de reconstrucción, restauración y recuperación</v>
      </c>
      <c r="F207" s="65"/>
      <c r="G207" s="66">
        <v>0.5</v>
      </c>
      <c r="H207" s="67">
        <v>0.4</v>
      </c>
      <c r="I207" s="67">
        <f>Relacion[[#This Row],[Ponderación Criterio]]*Relacion[[#This Row],[% Avance Documento]]</f>
        <v>0.2</v>
      </c>
      <c r="J207" s="68"/>
      <c r="K207" s="68"/>
      <c r="L207" s="71"/>
      <c r="M207" s="71"/>
    </row>
    <row r="208" spans="1:13" ht="52.9">
      <c r="A208" s="8" t="s">
        <v>1572</v>
      </c>
      <c r="B208" s="7" t="str">
        <f>IF(A208="","",IFERROR(VLOOKUP(A208,Criterios!$A:$G,7,FALSE),"—"))</f>
        <v>El Operador, ha desarrollado planes en conjunto con agencias del sector público y otras partes interesadas para abordar los impactos sociales, medioambientales y económicos locales a medio y largo de la falla.</v>
      </c>
      <c r="C208" s="32" t="s">
        <v>1765</v>
      </c>
      <c r="D208" s="31" t="s">
        <v>1750</v>
      </c>
      <c r="E208" s="30" t="str">
        <f>IF(D208="","",IFERROR(VLOOKUP(D208,Catalogo_Documentos!$A:$B,2,FALSE),"—"))</f>
        <v>Planes de reconstrucción, restauración y recuperación</v>
      </c>
      <c r="F208" s="65"/>
      <c r="G208" s="66">
        <v>0.33333333333333331</v>
      </c>
      <c r="H208" s="67">
        <v>0.4</v>
      </c>
      <c r="I208" s="67">
        <f>Relacion[[#This Row],[Ponderación Criterio]]*Relacion[[#This Row],[% Avance Documento]]</f>
        <v>0.13333333333333333</v>
      </c>
      <c r="J208" s="68"/>
      <c r="K208" s="68"/>
      <c r="L208" s="70">
        <f>SUM(I208:I210)</f>
        <v>0.4</v>
      </c>
      <c r="M208" s="70" t="str">
        <f>IF(AND(L208&gt;=90%,L208&lt;=100%),"CUMPLE",IF(AND(L208&gt;=1%,L208&lt;90%),"CUMPLE PARCIALMENTE",IF(L208=0%,"NO CUMPLE","NO APLICA")))</f>
        <v>CUMPLE PARCIALMENTE</v>
      </c>
    </row>
    <row r="209" spans="1:13" ht="39.6">
      <c r="A209" s="8" t="s">
        <v>1576</v>
      </c>
      <c r="B209" s="7" t="str">
        <f>IF(A209="","",IFERROR(VLOOKUP(A209,Criterios!$A:$G,7,FALSE),"—"))</f>
        <v>El Operador ha proporcionado para la divulgación de los planes de reconstrucción, restauración y recuperación de ser permitido por las autoridades públicas.</v>
      </c>
      <c r="C209" s="32" t="s">
        <v>1765</v>
      </c>
      <c r="D209" s="31" t="s">
        <v>1750</v>
      </c>
      <c r="E209" s="30" t="str">
        <f>IF(D209="","",IFERROR(VLOOKUP(D209,Catalogo_Documentos!$A:$B,2,FALSE),"—"))</f>
        <v>Planes de reconstrucción, restauración y recuperación</v>
      </c>
      <c r="F209" s="65"/>
      <c r="G209" s="66">
        <v>0.33333333333333331</v>
      </c>
      <c r="H209" s="67">
        <v>0.4</v>
      </c>
      <c r="I209" s="67">
        <f>Relacion[[#This Row],[Ponderación Criterio]]*Relacion[[#This Row],[% Avance Documento]]</f>
        <v>0.13333333333333333</v>
      </c>
      <c r="J209" s="68"/>
      <c r="K209" s="68"/>
      <c r="L209" s="71"/>
      <c r="M209" s="71"/>
    </row>
    <row r="210" spans="1:13" ht="39.6">
      <c r="A210" s="8" t="s">
        <v>1579</v>
      </c>
      <c r="B210" s="7" t="str">
        <f>IF(A210="","",IFERROR(VLOOKUP(A210,Criterios!$A:$G,7,FALSE),"—"))</f>
        <v>El Operador ha implementado los planes en colaboración con agencias del sector público y otras partes interesadas.</v>
      </c>
      <c r="C210" s="32" t="s">
        <v>1765</v>
      </c>
      <c r="D210" s="31" t="s">
        <v>1750</v>
      </c>
      <c r="E210" s="30" t="str">
        <f>IF(D210="","",IFERROR(VLOOKUP(D210,Catalogo_Documentos!$A:$B,2,FALSE),"—"))</f>
        <v>Planes de reconstrucción, restauración y recuperación</v>
      </c>
      <c r="F210" s="65"/>
      <c r="G210" s="66">
        <v>0.33333333333333331</v>
      </c>
      <c r="H210" s="67">
        <v>0.4</v>
      </c>
      <c r="I210" s="67">
        <f>Relacion[[#This Row],[Ponderación Criterio]]*Relacion[[#This Row],[% Avance Documento]]</f>
        <v>0.13333333333333333</v>
      </c>
      <c r="J210" s="68"/>
      <c r="K210" s="68"/>
      <c r="L210" s="71"/>
      <c r="M210" s="71"/>
    </row>
    <row r="211" spans="1:13" ht="52.9">
      <c r="A211" s="8" t="s">
        <v>1582</v>
      </c>
      <c r="B211" s="7" t="str">
        <f>IF(A211="","",IFERROR(VLOOKUP(A211,Criterios!$A:$G,7,FALSE),"—"))</f>
        <v>El Operador ha establecido la participación de las personas afectadas en las obras de reconstrucción, restauración y recuperación y actividades de monitoreo continuas.</v>
      </c>
      <c r="C211" s="32" t="s">
        <v>1765</v>
      </c>
      <c r="D211" s="31" t="s">
        <v>1750</v>
      </c>
      <c r="E211" s="30" t="str">
        <f>IF(D211="","",IFERROR(VLOOKUP(D211,Catalogo_Documentos!$A:$B,2,FALSE),"—"))</f>
        <v>Planes de reconstrucción, restauración y recuperación</v>
      </c>
      <c r="F211" s="65"/>
      <c r="G211" s="66">
        <v>1</v>
      </c>
      <c r="H211" s="67">
        <v>0.4</v>
      </c>
      <c r="I211" s="67">
        <f>Relacion[[#This Row],[Ponderación Criterio]]*Relacion[[#This Row],[% Avance Documento]]</f>
        <v>0.4</v>
      </c>
      <c r="J211" s="68"/>
      <c r="K211" s="68"/>
      <c r="L211" s="69">
        <f>Relacion[[#This Row],[Avance Ponderado Efectivo]]</f>
        <v>0.4</v>
      </c>
      <c r="M211" s="69" t="str">
        <f>IF(AND(L211&gt;=90%,L211&lt;=100%),"CUMPLE",IF(AND(L211&gt;=1%,L211&lt;90%),"CUMPLE PARCIALMENTE",IF(L211=0%,"NO CUMPLE","NO APLICA")))</f>
        <v>CUMPLE PARCIALMENTE</v>
      </c>
    </row>
    <row r="212" spans="1:13" ht="26.45">
      <c r="A212" s="8" t="s">
        <v>1586</v>
      </c>
      <c r="B212" s="7" t="str">
        <f>IF(A212="","",IFERROR(VLOOKUP(A212,Criterios!$A:$G,7,FALSE),"—"))</f>
        <v>El Operador facilita el seguimiento y los informes públicos de los resultados posteriores a la falla.</v>
      </c>
      <c r="C212" s="32" t="s">
        <v>1765</v>
      </c>
      <c r="D212" s="31" t="s">
        <v>1750</v>
      </c>
      <c r="E212" s="30" t="str">
        <f>IF(D212="","",IFERROR(VLOOKUP(D212,Catalogo_Documentos!$A:$B,2,FALSE),"—"))</f>
        <v>Planes de reconstrucción, restauración y recuperación</v>
      </c>
      <c r="F212" s="65"/>
      <c r="G212" s="66">
        <v>0.33333333333333331</v>
      </c>
      <c r="H212" s="67">
        <v>0.4</v>
      </c>
      <c r="I212" s="67">
        <f>Relacion[[#This Row],[Ponderación Criterio]]*Relacion[[#This Row],[% Avance Documento]]</f>
        <v>0.13333333333333333</v>
      </c>
      <c r="J212" s="68"/>
      <c r="K212" s="68"/>
      <c r="L212" s="70">
        <f>SUM(I212:I214)</f>
        <v>0.4</v>
      </c>
      <c r="M212" s="70" t="str">
        <f>IF(AND(L212&gt;=90%,L212&lt;=100%),"CUMPLE",IF(AND(L212&gt;=1%,L212&lt;90%),"CUMPLE PARCIALMENTE",IF(L212=0%,"NO CUMPLE","NO APLICA")))</f>
        <v>CUMPLE PARCIALMENTE</v>
      </c>
    </row>
    <row r="213" spans="1:13" ht="52.9">
      <c r="A213" s="8" t="s">
        <v>1590</v>
      </c>
      <c r="B213" s="7" t="str">
        <f>IF(A213="","",IFERROR(VLOOKUP(A213,Criterios!$A:$G,7,FALSE),"—"))</f>
        <v>El seguimiento e informes públicos de los resultados posteriores a la falla están en regla con los umbrales e indicadores descritos en los planes de reconstrucción, restauración y recuperación.</v>
      </c>
      <c r="C213" s="32" t="s">
        <v>1765</v>
      </c>
      <c r="D213" s="31" t="s">
        <v>1750</v>
      </c>
      <c r="E213" s="30" t="str">
        <f>IF(D213="","",IFERROR(VLOOKUP(D213,Catalogo_Documentos!$A:$B,2,FALSE),"—"))</f>
        <v>Planes de reconstrucción, restauración y recuperación</v>
      </c>
      <c r="F213" s="65"/>
      <c r="G213" s="66">
        <v>0.33333333333333331</v>
      </c>
      <c r="H213" s="67">
        <v>0.4</v>
      </c>
      <c r="I213" s="67">
        <f>Relacion[[#This Row],[Ponderación Criterio]]*Relacion[[#This Row],[% Avance Documento]]</f>
        <v>0.13333333333333333</v>
      </c>
      <c r="J213" s="68"/>
      <c r="K213" s="68"/>
      <c r="L213" s="71"/>
      <c r="M213" s="71"/>
    </row>
    <row r="214" spans="1:13" ht="39.6">
      <c r="A214" s="8" t="s">
        <v>1593</v>
      </c>
      <c r="B214" s="7" t="str">
        <f>IF(A214="","",IFERROR(VLOOKUP(A214,Criterios!$A:$G,7,FALSE),"—"))</f>
        <v>Las actividades de seguimiento e informes públicos posteriores a la falla se adaptan en respuesta a los resultados y observaciones.</v>
      </c>
      <c r="C214" s="32" t="s">
        <v>1765</v>
      </c>
      <c r="D214" s="31" t="s">
        <v>1750</v>
      </c>
      <c r="E214" s="30" t="str">
        <f>IF(D214="","",IFERROR(VLOOKUP(D214,Catalogo_Documentos!$A:$B,2,FALSE),"—"))</f>
        <v>Planes de reconstrucción, restauración y recuperación</v>
      </c>
      <c r="F214" s="65"/>
      <c r="G214" s="66">
        <v>0.33333333333333331</v>
      </c>
      <c r="H214" s="67">
        <v>0.4</v>
      </c>
      <c r="I214" s="67">
        <f>Relacion[[#This Row],[Ponderación Criterio]]*Relacion[[#This Row],[% Avance Documento]]</f>
        <v>0.13333333333333333</v>
      </c>
      <c r="J214" s="68"/>
      <c r="K214" s="68"/>
      <c r="L214" s="71"/>
      <c r="M214" s="71"/>
    </row>
    <row r="215" spans="1:13" ht="26.45">
      <c r="A215" s="8" t="s">
        <v>1596</v>
      </c>
      <c r="B215" s="7" t="str">
        <f>IF(A215="","",IFERROR(VLOOKUP(A215,Criterios!$A:$G,7,FALSE),"—"))</f>
        <v>Todas las divulgaciones especificadas en 15.1 (A) y (B) son abordadas.</v>
      </c>
      <c r="C215" s="32" t="s">
        <v>1765</v>
      </c>
      <c r="D215" s="31" t="s">
        <v>1720</v>
      </c>
      <c r="E215" s="30" t="str">
        <f>IF(D215="","",IFERROR(VLOOKUP(D215,Catalogo_Documentos!$A:$B,2,FALSE),"—"))</f>
        <v>Registro de divulgación pública</v>
      </c>
      <c r="F215" s="65"/>
      <c r="G215" s="66">
        <v>0.5</v>
      </c>
      <c r="H215" s="67">
        <v>0.4</v>
      </c>
      <c r="I215" s="67">
        <f>Relacion[[#This Row],[Ponderación Criterio]]*Relacion[[#This Row],[% Avance Documento]]</f>
        <v>0.2</v>
      </c>
      <c r="J215" s="68"/>
      <c r="K215" s="68"/>
      <c r="L215" s="70">
        <f>SUM(I215:I216)</f>
        <v>0.4</v>
      </c>
      <c r="M215" s="70" t="str">
        <f>IF(AND(L215&gt;=90%,L215&lt;=100%),"CUMPLE",IF(AND(L215&gt;=1%,L215&lt;90%),"CUMPLE PARCIALMENTE",IF(L215=0%,"NO CUMPLE","NO APLICA")))</f>
        <v>CUMPLE PARCIALMENTE</v>
      </c>
    </row>
    <row r="216" spans="1:13" ht="26.45">
      <c r="A216" s="8" t="s">
        <v>1602</v>
      </c>
      <c r="B216" s="7" t="str">
        <f>IF(A216="","",IFERROR(VLOOKUP(A216,Criterios!$A:$G,7,FALSE),"—"))</f>
        <v>Las divulgaciones especificadas en 15.1(C) son abordadas.</v>
      </c>
      <c r="C216" s="32" t="s">
        <v>1765</v>
      </c>
      <c r="D216" s="31" t="s">
        <v>1720</v>
      </c>
      <c r="E216" s="30" t="str">
        <f>IF(D216="","",IFERROR(VLOOKUP(D216,Catalogo_Documentos!$A:$B,2,FALSE),"—"))</f>
        <v>Registro de divulgación pública</v>
      </c>
      <c r="F216" s="65"/>
      <c r="G216" s="66">
        <v>0.5</v>
      </c>
      <c r="H216" s="67">
        <v>0.4</v>
      </c>
      <c r="I216" s="67">
        <f>Relacion[[#This Row],[Ponderación Criterio]]*Relacion[[#This Row],[% Avance Documento]]</f>
        <v>0.2</v>
      </c>
      <c r="J216" s="68"/>
      <c r="K216" s="68"/>
      <c r="L216" s="71"/>
      <c r="M216" s="71"/>
    </row>
    <row r="217" spans="1:13" ht="52.9">
      <c r="A217" s="8" t="s">
        <v>1605</v>
      </c>
      <c r="B217" s="7" t="str">
        <f>IF(A217="","",IFERROR(VLOOKUP(A217,Criterios!$A:$G,7,FALSE),"—"))</f>
        <v>El Operador mantiene un enfoque sistemático y oportuno a la respuesta de solicitudes de material informativo de seguridad pública e integridad de la instalación de relaves por parte de personas afectadas por el proyecto.</v>
      </c>
      <c r="C217" s="32" t="s">
        <v>1765</v>
      </c>
      <c r="D217" s="31" t="s">
        <v>1716</v>
      </c>
      <c r="E217" s="30" t="str">
        <f>IF(D217="","",IFERROR(VLOOKUP(D217,Catalogo_Documentos!$A:$B,2,FALSE),"—"))</f>
        <v>Procedimiento de quejas y reclamos.</v>
      </c>
      <c r="F217" s="65"/>
      <c r="G217" s="66">
        <v>0.5</v>
      </c>
      <c r="H217" s="67">
        <v>0.4</v>
      </c>
      <c r="I217" s="67">
        <f>Relacion[[#This Row],[Ponderación Criterio]]*Relacion[[#This Row],[% Avance Documento]]</f>
        <v>0.2</v>
      </c>
      <c r="J217" s="68"/>
      <c r="K217" s="68"/>
      <c r="L217" s="70">
        <f>SUM(I217:I218)</f>
        <v>0.4</v>
      </c>
      <c r="M217" s="70" t="str">
        <f>IF(AND(L217&gt;=90%,L217&lt;=100%),"CUMPLE",IF(AND(L217&gt;=1%,L217&lt;90%),"CUMPLE PARCIALMENTE",IF(L217=0%,"NO CUMPLE","NO APLICA")))</f>
        <v>CUMPLE PARCIALMENTE</v>
      </c>
    </row>
    <row r="218" spans="1:13" ht="79.150000000000006">
      <c r="A218" s="8" t="s">
        <v>1609</v>
      </c>
      <c r="B218" s="7" t="str">
        <f>IF(A218="","",IFERROR(VLOOKUP(A218,Criterios!$A:$G,7,FALSE),"—"))</f>
        <v>En las instancias que tales solicitudes son denegadas por el Operador, se deberá proporcionar una explicación a las personas afectadas por el proyecto dentro de un plazo razonable y se mantendrán registros de las explicaciones brindadas relevantes a las personas afectadas por el proyecto solicitantes.</v>
      </c>
      <c r="C218" s="32" t="s">
        <v>1765</v>
      </c>
      <c r="D218" s="31" t="s">
        <v>1716</v>
      </c>
      <c r="E218" s="30" t="str">
        <f>IF(D218="","",IFERROR(VLOOKUP(D218,Catalogo_Documentos!$A:$B,2,FALSE),"—"))</f>
        <v>Procedimiento de quejas y reclamos.</v>
      </c>
      <c r="F218" s="65"/>
      <c r="G218" s="66">
        <v>0.5</v>
      </c>
      <c r="H218" s="67">
        <v>0.4</v>
      </c>
      <c r="I218" s="67">
        <f>Relacion[[#This Row],[Ponderación Criterio]]*Relacion[[#This Row],[% Avance Documento]]</f>
        <v>0.2</v>
      </c>
      <c r="J218" s="68"/>
      <c r="K218" s="68"/>
      <c r="L218" s="71"/>
      <c r="M218" s="71"/>
    </row>
    <row r="219" spans="1:13" ht="39.6">
      <c r="A219" s="8" t="s">
        <v>1612</v>
      </c>
      <c r="B219" s="7" t="str">
        <f>IF(A219="","",IFERROR(VLOOKUP(A219,Criterios!$A:$G,7,FALSE),"—"))</f>
        <v>Contribuye con información a las iniciativas de transparencia global relacionadas a la seguridad e integridad de instalaciones de relaves.</v>
      </c>
      <c r="C219" s="32" t="s">
        <v>1765</v>
      </c>
      <c r="D219" s="31" t="s">
        <v>1746</v>
      </c>
      <c r="E219" s="30" t="str">
        <f>IF(D219="","",IFERROR(VLOOKUP(D219,Catalogo_Documentos!$A:$B,2,FALSE),"—"))</f>
        <v xml:space="preserve"> Inventario de TSF’s para repositorios de acceso público</v>
      </c>
      <c r="F219" s="65"/>
      <c r="G219" s="66">
        <v>0.5</v>
      </c>
      <c r="H219" s="67">
        <v>0.4</v>
      </c>
      <c r="I219" s="67">
        <f>Relacion[[#This Row],[Ponderación Criterio]]*Relacion[[#This Row],[% Avance Documento]]</f>
        <v>0.2</v>
      </c>
      <c r="J219" s="68"/>
      <c r="K219" s="68"/>
      <c r="L219" s="70">
        <f>SUM(I219:I220)</f>
        <v>0.4</v>
      </c>
      <c r="M219" s="70" t="str">
        <f>IF(AND(L219&gt;=90%,L219&lt;=100%),"CUMPLE",IF(AND(L219&gt;=1%,L219&lt;90%),"CUMPLE PARCIALMENTE",IF(L219=0%,"NO CUMPLE","NO APLICA")))</f>
        <v>CUMPLE PARCIALMENTE</v>
      </c>
    </row>
    <row r="220" spans="1:13" ht="52.9">
      <c r="A220" s="8" t="s">
        <v>1616</v>
      </c>
      <c r="B220" s="7" t="str">
        <f>IF(A220="","",IFERROR(VLOOKUP(A220,Criterios!$A:$G,7,FALSE),"—"))</f>
        <v>Actualizar periódicamente la información divulgada relacionada a la seguridad e integridad de instalaciones de relaves, como mínimo de acuerdo a los requisitos en 15.1</v>
      </c>
      <c r="C220" s="32" t="s">
        <v>1765</v>
      </c>
      <c r="D220" s="31" t="s">
        <v>1720</v>
      </c>
      <c r="E220" s="30" t="str">
        <f>IF(D220="","",IFERROR(VLOOKUP(D220,Catalogo_Documentos!$A:$B,2,FALSE),"—"))</f>
        <v>Registro de divulgación pública</v>
      </c>
      <c r="F220" s="65"/>
      <c r="G220" s="66">
        <v>0.5</v>
      </c>
      <c r="H220" s="67">
        <v>0.4</v>
      </c>
      <c r="I220" s="67">
        <f>Relacion[[#This Row],[Ponderación Criterio]]*Relacion[[#This Row],[% Avance Documento]]</f>
        <v>0.2</v>
      </c>
      <c r="J220" s="68"/>
      <c r="K220" s="68"/>
      <c r="L220" s="71"/>
      <c r="M220" s="71"/>
    </row>
    <row r="221" spans="1:13">
      <c r="A221" s="28"/>
      <c r="B221" s="26" t="str">
        <f>IF(A221="","",IFERROR(VLOOKUP(A221,Criterios!$A:$G,7,FALSE),"—"))</f>
        <v/>
      </c>
      <c r="C221" s="25" t="str">
        <f>IF(D221="","",IFERROR(VLOOKUP(D221,Catalogo_Documentos!$A:$B,3,FALSE),"—"))</f>
        <v/>
      </c>
      <c r="D221" s="29"/>
      <c r="E221" s="25" t="str">
        <f>IF(D221="","",IFERROR(VLOOKUP(D221,Catalogo_Documentos!$A:$B,2,FALSE),"—"))</f>
        <v/>
      </c>
      <c r="F221" s="25"/>
      <c r="I221" s="64"/>
    </row>
    <row r="222" spans="1:13">
      <c r="A222" s="28"/>
      <c r="B222" s="26" t="str">
        <f>IF(A222="","",IFERROR(VLOOKUP(A222,Criterios!$A:$G,7,FALSE),"—"))</f>
        <v/>
      </c>
      <c r="C222" s="25" t="str">
        <f>IF(D222="","",IFERROR(VLOOKUP(D222,Catalogo_Documentos!$A:$B,3,FALSE),"—"))</f>
        <v/>
      </c>
      <c r="D222" s="29"/>
      <c r="E222" s="25" t="str">
        <f>IF(D222="","",IFERROR(VLOOKUP(D222,Catalogo_Documentos!$A:$B,2,FALSE),"—"))</f>
        <v/>
      </c>
      <c r="F222" s="25"/>
      <c r="I222" s="64"/>
    </row>
    <row r="223" spans="1:13">
      <c r="A223" s="28"/>
      <c r="B223" s="26" t="str">
        <f>IF(A223="","",IFERROR(VLOOKUP(A223,Criterios!$A:$G,7,FALSE),"—"))</f>
        <v/>
      </c>
      <c r="C223" s="25" t="str">
        <f>IF(D223="","",IFERROR(VLOOKUP(D223,Catalogo_Documentos!$A:$B,3,FALSE),"—"))</f>
        <v/>
      </c>
      <c r="D223" s="29"/>
      <c r="E223" s="25" t="str">
        <f>IF(D223="","",IFERROR(VLOOKUP(D223,Catalogo_Documentos!$A:$B,2,FALSE),"—"))</f>
        <v/>
      </c>
      <c r="F223" s="25"/>
      <c r="I223" s="64"/>
    </row>
    <row r="224" spans="1:13">
      <c r="A224" s="28"/>
      <c r="B224" s="26" t="str">
        <f>IF(A224="","",IFERROR(VLOOKUP(A224,Criterios!$A:$G,7,FALSE),"—"))</f>
        <v/>
      </c>
      <c r="C224" s="25" t="str">
        <f>IF(D224="","",IFERROR(VLOOKUP(D224,Catalogo_Documentos!$A:$B,3,FALSE),"—"))</f>
        <v/>
      </c>
      <c r="D224" s="29"/>
      <c r="E224" s="25" t="str">
        <f>IF(D224="","",IFERROR(VLOOKUP(D224,Catalogo_Documentos!$A:$B,2,FALSE),"—"))</f>
        <v/>
      </c>
      <c r="F224" s="25"/>
      <c r="I224" s="64"/>
    </row>
    <row r="225" spans="1:9">
      <c r="A225" s="28"/>
      <c r="B225" s="26" t="str">
        <f>IF(A225="","",IFERROR(VLOOKUP(A225,Criterios!$A:$G,7,FALSE),"—"))</f>
        <v/>
      </c>
      <c r="C225" s="25" t="str">
        <f>IF(D225="","",IFERROR(VLOOKUP(D225,Catalogo_Documentos!$A:$B,3,FALSE),"—"))</f>
        <v/>
      </c>
      <c r="D225" s="29"/>
      <c r="E225" s="25" t="str">
        <f>IF(D225="","",IFERROR(VLOOKUP(D225,Catalogo_Documentos!$A:$B,2,FALSE),"—"))</f>
        <v/>
      </c>
      <c r="F225" s="25"/>
      <c r="I225" s="64"/>
    </row>
    <row r="226" spans="1:9">
      <c r="A226" s="28"/>
      <c r="B226" s="26" t="str">
        <f>IF(A226="","",IFERROR(VLOOKUP(A226,Criterios!$A:$G,7,FALSE),"—"))</f>
        <v/>
      </c>
      <c r="C226" s="25" t="str">
        <f>IF(D226="","",IFERROR(VLOOKUP(D226,Catalogo_Documentos!$A:$B,3,FALSE),"—"))</f>
        <v/>
      </c>
      <c r="D226" s="29"/>
      <c r="E226" s="25" t="str">
        <f>IF(D226="","",IFERROR(VLOOKUP(D226,Catalogo_Documentos!$A:$B,2,FALSE),"—"))</f>
        <v/>
      </c>
      <c r="F226" s="25"/>
      <c r="I226" s="64"/>
    </row>
    <row r="227" spans="1:9">
      <c r="A227" s="28"/>
      <c r="B227" s="26" t="str">
        <f>IF(A227="","",IFERROR(VLOOKUP(A227,Criterios!$A:$G,7,FALSE),"—"))</f>
        <v/>
      </c>
      <c r="C227" s="25" t="str">
        <f>IF(D227="","",IFERROR(VLOOKUP(D227,Catalogo_Documentos!$A:$B,3,FALSE),"—"))</f>
        <v/>
      </c>
      <c r="D227" s="29"/>
      <c r="E227" s="25" t="str">
        <f>IF(D227="","",IFERROR(VLOOKUP(D227,Catalogo_Documentos!$A:$B,2,FALSE),"—"))</f>
        <v/>
      </c>
      <c r="F227" s="25"/>
      <c r="I227" s="64"/>
    </row>
    <row r="228" spans="1:9">
      <c r="A228" s="28"/>
      <c r="B228" s="26" t="str">
        <f>IF(A228="","",IFERROR(VLOOKUP(A228,Criterios!$A:$G,7,FALSE),"—"))</f>
        <v/>
      </c>
      <c r="C228" s="25" t="str">
        <f>IF(D228="","",IFERROR(VLOOKUP(D228,Catalogo_Documentos!$A:$B,3,FALSE),"—"))</f>
        <v/>
      </c>
      <c r="D228" s="29"/>
      <c r="E228" s="25" t="str">
        <f>IF(D228="","",IFERROR(VLOOKUP(D228,Catalogo_Documentos!$A:$B,2,FALSE),"—"))</f>
        <v/>
      </c>
      <c r="F228" s="25"/>
      <c r="I228" s="64"/>
    </row>
    <row r="229" spans="1:9">
      <c r="A229" s="28"/>
      <c r="B229" s="26" t="str">
        <f>IF(A229="","",IFERROR(VLOOKUP(A229,Criterios!$A:$G,7,FALSE),"—"))</f>
        <v/>
      </c>
      <c r="C229" s="25" t="str">
        <f>IF(D229="","",IFERROR(VLOOKUP(D229,Catalogo_Documentos!$A:$B,3,FALSE),"—"))</f>
        <v/>
      </c>
      <c r="D229" s="29"/>
      <c r="E229" s="25" t="str">
        <f>IF(D229="","",IFERROR(VLOOKUP(D229,Catalogo_Documentos!$A:$B,2,FALSE),"—"))</f>
        <v/>
      </c>
      <c r="F229" s="25"/>
      <c r="I229" s="64"/>
    </row>
    <row r="230" spans="1:9">
      <c r="A230" s="28"/>
      <c r="B230" s="26" t="str">
        <f>IF(A230="","",IFERROR(VLOOKUP(A230,Criterios!$A:$G,7,FALSE),"—"))</f>
        <v/>
      </c>
      <c r="C230" s="25" t="str">
        <f>IF(D230="","",IFERROR(VLOOKUP(D230,Catalogo_Documentos!$A:$B,3,FALSE),"—"))</f>
        <v/>
      </c>
      <c r="D230" s="29"/>
      <c r="E230" s="25" t="str">
        <f>IF(D230="","",IFERROR(VLOOKUP(D230,Catalogo_Documentos!$A:$B,2,FALSE),"—"))</f>
        <v/>
      </c>
      <c r="F230" s="25"/>
      <c r="I230" s="64"/>
    </row>
    <row r="231" spans="1:9">
      <c r="A231" s="28"/>
      <c r="B231" s="26" t="str">
        <f>IF(A231="","",IFERROR(VLOOKUP(A231,Criterios!$A:$G,7,FALSE),"—"))</f>
        <v/>
      </c>
      <c r="C231" s="25" t="str">
        <f>IF(D231="","",IFERROR(VLOOKUP(D231,Catalogo_Documentos!$A:$B,3,FALSE),"—"))</f>
        <v/>
      </c>
      <c r="D231" s="29"/>
      <c r="E231" s="25" t="str">
        <f>IF(D231="","",IFERROR(VLOOKUP(D231,Catalogo_Documentos!$A:$B,2,FALSE),"—"))</f>
        <v/>
      </c>
      <c r="F231" s="25"/>
      <c r="I231" s="64"/>
    </row>
    <row r="232" spans="1:9">
      <c r="A232" s="28"/>
      <c r="B232" s="26" t="str">
        <f>IF(A232="","",IFERROR(VLOOKUP(A232,Criterios!$A:$G,7,FALSE),"—"))</f>
        <v/>
      </c>
      <c r="C232" s="25" t="str">
        <f>IF(D232="","",IFERROR(VLOOKUP(D232,Catalogo_Documentos!$A:$B,3,FALSE),"—"))</f>
        <v/>
      </c>
      <c r="D232" s="29"/>
      <c r="E232" s="25" t="str">
        <f>IF(D232="","",IFERROR(VLOOKUP(D232,Catalogo_Documentos!$A:$B,2,FALSE),"—"))</f>
        <v/>
      </c>
      <c r="F232" s="25"/>
      <c r="I232" s="64"/>
    </row>
    <row r="233" spans="1:9">
      <c r="A233" s="28"/>
      <c r="B233" s="26" t="str">
        <f>IF(A233="","",IFERROR(VLOOKUP(A233,Criterios!$A:$G,7,FALSE),"—"))</f>
        <v/>
      </c>
      <c r="C233" s="25" t="str">
        <f>IF(D233="","",IFERROR(VLOOKUP(D233,Catalogo_Documentos!$A:$B,3,FALSE),"—"))</f>
        <v/>
      </c>
      <c r="D233" s="29"/>
      <c r="E233" s="25" t="str">
        <f>IF(D233="","",IFERROR(VLOOKUP(D233,Catalogo_Documentos!$A:$B,2,FALSE),"—"))</f>
        <v/>
      </c>
      <c r="F233" s="25"/>
      <c r="I233" s="64"/>
    </row>
    <row r="234" spans="1:9">
      <c r="A234" s="28"/>
      <c r="B234" s="26" t="str">
        <f>IF(A234="","",IFERROR(VLOOKUP(A234,Criterios!$A:$G,7,FALSE),"—"))</f>
        <v/>
      </c>
      <c r="C234" s="25" t="str">
        <f>IF(D234="","",IFERROR(VLOOKUP(D234,Catalogo_Documentos!$A:$B,3,FALSE),"—"))</f>
        <v/>
      </c>
      <c r="D234" s="29"/>
      <c r="E234" s="25" t="str">
        <f>IF(D234="","",IFERROR(VLOOKUP(D234,Catalogo_Documentos!$A:$B,2,FALSE),"—"))</f>
        <v/>
      </c>
      <c r="F234" s="25"/>
      <c r="I234" s="64"/>
    </row>
    <row r="235" spans="1:9">
      <c r="A235" s="28"/>
      <c r="B235" s="26" t="str">
        <f>IF(A235="","",IFERROR(VLOOKUP(A235,Criterios!$A:$G,7,FALSE),"—"))</f>
        <v/>
      </c>
      <c r="C235" s="25" t="str">
        <f>IF(D235="","",IFERROR(VLOOKUP(D235,Catalogo_Documentos!$A:$B,3,FALSE),"—"))</f>
        <v/>
      </c>
      <c r="D235" s="29"/>
      <c r="E235" s="25" t="str">
        <f>IF(D235="","",IFERROR(VLOOKUP(D235,Catalogo_Documentos!$A:$B,2,FALSE),"—"))</f>
        <v/>
      </c>
      <c r="F235" s="25"/>
      <c r="I235" s="64"/>
    </row>
    <row r="236" spans="1:9">
      <c r="A236" s="28"/>
      <c r="B236" s="26" t="str">
        <f>IF(A236="","",IFERROR(VLOOKUP(A236,Criterios!$A:$G,7,FALSE),"—"))</f>
        <v/>
      </c>
      <c r="C236" s="25" t="str">
        <f>IF(D236="","",IFERROR(VLOOKUP(D236,Catalogo_Documentos!$A:$B,3,FALSE),"—"))</f>
        <v/>
      </c>
      <c r="D236" s="29"/>
      <c r="E236" s="25" t="str">
        <f>IF(D236="","",IFERROR(VLOOKUP(D236,Catalogo_Documentos!$A:$B,2,FALSE),"—"))</f>
        <v/>
      </c>
      <c r="F236" s="25"/>
      <c r="I236" s="64"/>
    </row>
    <row r="237" spans="1:9">
      <c r="A237" s="28"/>
      <c r="B237" s="26" t="str">
        <f>IF(A237="","",IFERROR(VLOOKUP(A237,Criterios!$A:$G,7,FALSE),"—"))</f>
        <v/>
      </c>
      <c r="C237" s="25" t="str">
        <f>IF(D237="","",IFERROR(VLOOKUP(D237,Catalogo_Documentos!$A:$B,3,FALSE),"—"))</f>
        <v/>
      </c>
      <c r="D237" s="29"/>
      <c r="E237" s="25" t="str">
        <f>IF(D237="","",IFERROR(VLOOKUP(D237,Catalogo_Documentos!$A:$B,2,FALSE),"—"))</f>
        <v/>
      </c>
      <c r="F237" s="25"/>
      <c r="I237" s="64"/>
    </row>
    <row r="238" spans="1:9">
      <c r="A238" s="28"/>
      <c r="B238" s="26" t="str">
        <f>IF(A238="","",IFERROR(VLOOKUP(A238,Criterios!$A:$G,7,FALSE),"—"))</f>
        <v/>
      </c>
      <c r="C238" s="25" t="str">
        <f>IF(D238="","",IFERROR(VLOOKUP(D238,Catalogo_Documentos!$A:$B,3,FALSE),"—"))</f>
        <v/>
      </c>
      <c r="D238" s="29"/>
      <c r="E238" s="25" t="str">
        <f>IF(D238="","",IFERROR(VLOOKUP(D238,Catalogo_Documentos!$A:$B,2,FALSE),"—"))</f>
        <v/>
      </c>
      <c r="F238" s="25"/>
      <c r="I238" s="64"/>
    </row>
    <row r="239" spans="1:9">
      <c r="A239" s="28"/>
      <c r="B239" s="26" t="str">
        <f>IF(A239="","",IFERROR(VLOOKUP(A239,Criterios!$A:$G,7,FALSE),"—"))</f>
        <v/>
      </c>
      <c r="C239" s="25" t="str">
        <f>IF(D239="","",IFERROR(VLOOKUP(D239,Catalogo_Documentos!$A:$B,3,FALSE),"—"))</f>
        <v/>
      </c>
      <c r="D239" s="29"/>
      <c r="E239" s="25" t="str">
        <f>IF(D239="","",IFERROR(VLOOKUP(D239,Catalogo_Documentos!$A:$B,2,FALSE),"—"))</f>
        <v/>
      </c>
      <c r="F239" s="25"/>
      <c r="I239" s="64"/>
    </row>
    <row r="240" spans="1:9">
      <c r="A240" s="28"/>
      <c r="B240" s="26" t="str">
        <f>IF(A240="","",IFERROR(VLOOKUP(A240,Criterios!$A:$G,7,FALSE),"—"))</f>
        <v/>
      </c>
      <c r="C240" s="25" t="str">
        <f>IF(D240="","",IFERROR(VLOOKUP(D240,Catalogo_Documentos!$A:$B,3,FALSE),"—"))</f>
        <v/>
      </c>
      <c r="D240" s="29"/>
      <c r="E240" s="25" t="str">
        <f>IF(D240="","",IFERROR(VLOOKUP(D240,Catalogo_Documentos!$A:$B,2,FALSE),"—"))</f>
        <v/>
      </c>
      <c r="F240" s="25"/>
      <c r="I240" s="64"/>
    </row>
    <row r="241" spans="1:9">
      <c r="A241" s="28"/>
      <c r="B241" s="26" t="str">
        <f>IF(A241="","",IFERROR(VLOOKUP(A241,Criterios!$A:$G,7,FALSE),"—"))</f>
        <v/>
      </c>
      <c r="C241" s="25" t="str">
        <f>IF(D241="","",IFERROR(VLOOKUP(D241,Catalogo_Documentos!$A:$B,3,FALSE),"—"))</f>
        <v/>
      </c>
      <c r="D241" s="29"/>
      <c r="E241" s="25" t="str">
        <f>IF(D241="","",IFERROR(VLOOKUP(D241,Catalogo_Documentos!$A:$B,2,FALSE),"—"))</f>
        <v/>
      </c>
      <c r="F241" s="25"/>
      <c r="I241" s="64"/>
    </row>
    <row r="242" spans="1:9">
      <c r="A242" s="28"/>
      <c r="B242" s="26" t="str">
        <f>IF(A242="","",IFERROR(VLOOKUP(A242,Criterios!$A:$G,7,FALSE),"—"))</f>
        <v/>
      </c>
      <c r="C242" s="25" t="str">
        <f>IF(D242="","",IFERROR(VLOOKUP(D242,Catalogo_Documentos!$A:$B,3,FALSE),"—"))</f>
        <v/>
      </c>
      <c r="D242" s="29"/>
      <c r="E242" s="25" t="str">
        <f>IF(D242="","",IFERROR(VLOOKUP(D242,Catalogo_Documentos!$A:$B,2,FALSE),"—"))</f>
        <v/>
      </c>
      <c r="F242" s="25"/>
      <c r="I242" s="64"/>
    </row>
    <row r="243" spans="1:9">
      <c r="A243" s="28"/>
      <c r="B243" s="26" t="str">
        <f>IF(A243="","",IFERROR(VLOOKUP(A243,Criterios!$A:$G,7,FALSE),"—"))</f>
        <v/>
      </c>
      <c r="C243" s="25" t="str">
        <f>IF(D243="","",IFERROR(VLOOKUP(D243,Catalogo_Documentos!$A:$B,3,FALSE),"—"))</f>
        <v/>
      </c>
      <c r="D243" s="29"/>
      <c r="E243" s="25" t="str">
        <f>IF(D243="","",IFERROR(VLOOKUP(D243,Catalogo_Documentos!$A:$B,2,FALSE),"—"))</f>
        <v/>
      </c>
      <c r="F243" s="25"/>
      <c r="I243" s="64"/>
    </row>
    <row r="244" spans="1:9">
      <c r="A244" s="28"/>
      <c r="B244" s="26" t="str">
        <f>IF(A244="","",IFERROR(VLOOKUP(A244,Criterios!$A:$G,7,FALSE),"—"))</f>
        <v/>
      </c>
      <c r="C244" s="25" t="str">
        <f>IF(D244="","",IFERROR(VLOOKUP(D244,Catalogo_Documentos!$A:$B,3,FALSE),"—"))</f>
        <v/>
      </c>
      <c r="D244" s="29"/>
      <c r="E244" s="25" t="str">
        <f>IF(D244="","",IFERROR(VLOOKUP(D244,Catalogo_Documentos!$A:$B,2,FALSE),"—"))</f>
        <v/>
      </c>
      <c r="F244" s="25"/>
      <c r="I244" s="64"/>
    </row>
    <row r="245" spans="1:9">
      <c r="A245" s="28"/>
      <c r="B245" s="26" t="str">
        <f>IF(A245="","",IFERROR(VLOOKUP(A245,Criterios!$A:$G,7,FALSE),"—"))</f>
        <v/>
      </c>
      <c r="C245" s="25" t="str">
        <f>IF(D245="","",IFERROR(VLOOKUP(D245,Catalogo_Documentos!$A:$B,3,FALSE),"—"))</f>
        <v/>
      </c>
      <c r="D245" s="29"/>
      <c r="E245" s="25" t="str">
        <f>IF(D245="","",IFERROR(VLOOKUP(D245,Catalogo_Documentos!$A:$B,2,FALSE),"—"))</f>
        <v/>
      </c>
      <c r="F245" s="25"/>
      <c r="I245" s="64"/>
    </row>
    <row r="246" spans="1:9">
      <c r="A246" s="28"/>
      <c r="B246" s="26" t="str">
        <f>IF(A246="","",IFERROR(VLOOKUP(A246,Criterios!$A:$G,7,FALSE),"—"))</f>
        <v/>
      </c>
      <c r="C246" s="25" t="str">
        <f>IF(D246="","",IFERROR(VLOOKUP(D246,Catalogo_Documentos!$A:$B,3,FALSE),"—"))</f>
        <v/>
      </c>
      <c r="D246" s="29"/>
      <c r="E246" s="25" t="str">
        <f>IF(D246="","",IFERROR(VLOOKUP(D246,Catalogo_Documentos!$A:$B,2,FALSE),"—"))</f>
        <v/>
      </c>
      <c r="F246" s="25"/>
      <c r="I246" s="64"/>
    </row>
    <row r="247" spans="1:9">
      <c r="A247" s="28"/>
      <c r="B247" s="26" t="str">
        <f>IF(A247="","",IFERROR(VLOOKUP(A247,Criterios!$A:$G,7,FALSE),"—"))</f>
        <v/>
      </c>
      <c r="C247" s="25" t="str">
        <f>IF(D247="","",IFERROR(VLOOKUP(D247,Catalogo_Documentos!$A:$B,3,FALSE),"—"))</f>
        <v/>
      </c>
      <c r="D247" s="29"/>
      <c r="E247" s="25" t="str">
        <f>IF(D247="","",IFERROR(VLOOKUP(D247,Catalogo_Documentos!$A:$B,2,FALSE),"—"))</f>
        <v/>
      </c>
      <c r="F247" s="25"/>
      <c r="I247" s="64"/>
    </row>
    <row r="248" spans="1:9">
      <c r="A248" s="28"/>
      <c r="B248" s="26" t="str">
        <f>IF(A248="","",IFERROR(VLOOKUP(A248,Criterios!$A:$G,7,FALSE),"—"))</f>
        <v/>
      </c>
      <c r="C248" s="25" t="str">
        <f>IF(D248="","",IFERROR(VLOOKUP(D248,Catalogo_Documentos!$A:$B,3,FALSE),"—"))</f>
        <v/>
      </c>
      <c r="D248" s="29"/>
      <c r="E248" s="25" t="str">
        <f>IF(D248="","",IFERROR(VLOOKUP(D248,Catalogo_Documentos!$A:$B,2,FALSE),"—"))</f>
        <v/>
      </c>
      <c r="F248" s="25"/>
      <c r="I248" s="64"/>
    </row>
    <row r="249" spans="1:9">
      <c r="A249" s="28"/>
      <c r="B249" s="26" t="str">
        <f>IF(A249="","",IFERROR(VLOOKUP(A249,Criterios!$A:$G,7,FALSE),"—"))</f>
        <v/>
      </c>
      <c r="C249" s="25" t="str">
        <f>IF(D249="","",IFERROR(VLOOKUP(D249,Catalogo_Documentos!$A:$B,3,FALSE),"—"))</f>
        <v/>
      </c>
      <c r="D249" s="29"/>
      <c r="E249" s="25" t="str">
        <f>IF(D249="","",IFERROR(VLOOKUP(D249,Catalogo_Documentos!$A:$B,2,FALSE),"—"))</f>
        <v/>
      </c>
      <c r="F249" s="25"/>
      <c r="I249" s="64"/>
    </row>
    <row r="250" spans="1:9">
      <c r="A250" s="28"/>
      <c r="B250" s="26" t="str">
        <f>IF(A250="","",IFERROR(VLOOKUP(A250,Criterios!$A:$G,7,FALSE),"—"))</f>
        <v/>
      </c>
      <c r="C250" s="25" t="str">
        <f>IF(D250="","",IFERROR(VLOOKUP(D250,Catalogo_Documentos!$A:$B,3,FALSE),"—"))</f>
        <v/>
      </c>
      <c r="D250" s="29"/>
      <c r="E250" s="25" t="str">
        <f>IF(D250="","",IFERROR(VLOOKUP(D250,Catalogo_Documentos!$A:$B,2,FALSE),"—"))</f>
        <v/>
      </c>
      <c r="F250" s="25"/>
      <c r="I250" s="64"/>
    </row>
    <row r="251" spans="1:9">
      <c r="A251" s="28"/>
      <c r="B251" s="26" t="str">
        <f>IF(A251="","",IFERROR(VLOOKUP(A251,Criterios!$A:$G,7,FALSE),"—"))</f>
        <v/>
      </c>
      <c r="C251" s="25" t="str">
        <f>IF(D251="","",IFERROR(VLOOKUP(D251,Catalogo_Documentos!$A:$B,3,FALSE),"—"))</f>
        <v/>
      </c>
      <c r="D251" s="29"/>
      <c r="E251" s="25" t="str">
        <f>IF(D251="","",IFERROR(VLOOKUP(D251,Catalogo_Documentos!$A:$B,2,FALSE),"—"))</f>
        <v/>
      </c>
      <c r="F251" s="25"/>
      <c r="I251" s="64"/>
    </row>
    <row r="252" spans="1:9">
      <c r="A252" s="28"/>
      <c r="B252" s="26" t="str">
        <f>IF(A252="","",IFERROR(VLOOKUP(A252,Criterios!$A:$G,7,FALSE),"—"))</f>
        <v/>
      </c>
      <c r="C252" s="25" t="str">
        <f>IF(D252="","",IFERROR(VLOOKUP(D252,Catalogo_Documentos!$A:$B,3,FALSE),"—"))</f>
        <v/>
      </c>
      <c r="D252" s="29"/>
      <c r="E252" s="25" t="str">
        <f>IF(D252="","",IFERROR(VLOOKUP(D252,Catalogo_Documentos!$A:$B,2,FALSE),"—"))</f>
        <v/>
      </c>
      <c r="F252" s="25"/>
      <c r="I252" s="64"/>
    </row>
    <row r="253" spans="1:9">
      <c r="A253" s="28"/>
      <c r="B253" s="26" t="str">
        <f>IF(A253="","",IFERROR(VLOOKUP(A253,Criterios!$A:$G,7,FALSE),"—"))</f>
        <v/>
      </c>
      <c r="C253" s="25" t="str">
        <f>IF(D253="","",IFERROR(VLOOKUP(D253,Catalogo_Documentos!$A:$B,3,FALSE),"—"))</f>
        <v/>
      </c>
      <c r="D253" s="29"/>
      <c r="E253" s="25" t="str">
        <f>IF(D253="","",IFERROR(VLOOKUP(D253,Catalogo_Documentos!$A:$B,2,FALSE),"—"))</f>
        <v/>
      </c>
      <c r="F253" s="25"/>
      <c r="I253" s="64"/>
    </row>
    <row r="254" spans="1:9">
      <c r="A254" s="28"/>
      <c r="B254" s="26" t="str">
        <f>IF(A254="","",IFERROR(VLOOKUP(A254,Criterios!$A:$G,7,FALSE),"—"))</f>
        <v/>
      </c>
      <c r="C254" s="25" t="str">
        <f>IF(D254="","",IFERROR(VLOOKUP(D254,Catalogo_Documentos!$A:$B,3,FALSE),"—"))</f>
        <v/>
      </c>
      <c r="D254" s="29"/>
      <c r="E254" s="25" t="str">
        <f>IF(D254="","",IFERROR(VLOOKUP(D254,Catalogo_Documentos!$A:$B,2,FALSE),"—"))</f>
        <v/>
      </c>
      <c r="F254" s="25"/>
      <c r="I254" s="64"/>
    </row>
    <row r="255" spans="1:9">
      <c r="A255" s="28"/>
      <c r="B255" s="26" t="str">
        <f>IF(A255="","",IFERROR(VLOOKUP(A255,Criterios!$A:$G,7,FALSE),"—"))</f>
        <v/>
      </c>
      <c r="C255" s="25" t="str">
        <f>IF(D255="","",IFERROR(VLOOKUP(D255,Catalogo_Documentos!$A:$B,3,FALSE),"—"))</f>
        <v/>
      </c>
      <c r="D255" s="29"/>
      <c r="E255" s="25" t="str">
        <f>IF(D255="","",IFERROR(VLOOKUP(D255,Catalogo_Documentos!$A:$B,2,FALSE),"—"))</f>
        <v/>
      </c>
      <c r="F255" s="25"/>
      <c r="I255" s="64"/>
    </row>
    <row r="256" spans="1:9">
      <c r="A256" s="28"/>
      <c r="B256" s="26" t="str">
        <f>IF(A256="","",IFERROR(VLOOKUP(A256,Criterios!$A:$G,7,FALSE),"—"))</f>
        <v/>
      </c>
      <c r="C256" s="25" t="str">
        <f>IF(D256="","",IFERROR(VLOOKUP(D256,Catalogo_Documentos!$A:$B,3,FALSE),"—"))</f>
        <v/>
      </c>
      <c r="D256" s="29"/>
      <c r="E256" s="25" t="str">
        <f>IF(D256="","",IFERROR(VLOOKUP(D256,Catalogo_Documentos!$A:$B,2,FALSE),"—"))</f>
        <v/>
      </c>
      <c r="F256" s="25"/>
      <c r="I256" s="64"/>
    </row>
    <row r="257" spans="1:9">
      <c r="A257" s="28"/>
      <c r="B257" s="26" t="str">
        <f>IF(A257="","",IFERROR(VLOOKUP(A257,Criterios!$A:$G,7,FALSE),"—"))</f>
        <v/>
      </c>
      <c r="C257" s="25" t="str">
        <f>IF(D257="","",IFERROR(VLOOKUP(D257,Catalogo_Documentos!$A:$B,3,FALSE),"—"))</f>
        <v/>
      </c>
      <c r="D257" s="29"/>
      <c r="E257" s="25" t="str">
        <f>IF(D257="","",IFERROR(VLOOKUP(D257,Catalogo_Documentos!$A:$B,2,FALSE),"—"))</f>
        <v/>
      </c>
      <c r="F257" s="25"/>
      <c r="I257" s="64"/>
    </row>
    <row r="258" spans="1:9">
      <c r="A258" s="28"/>
      <c r="B258" s="26" t="str">
        <f>IF(A258="","",IFERROR(VLOOKUP(A258,Criterios!$A:$G,7,FALSE),"—"))</f>
        <v/>
      </c>
      <c r="C258" s="25" t="str">
        <f>IF(D258="","",IFERROR(VLOOKUP(D258,Catalogo_Documentos!$A:$B,3,FALSE),"—"))</f>
        <v/>
      </c>
      <c r="D258" s="29"/>
      <c r="E258" s="25" t="str">
        <f>IF(D258="","",IFERROR(VLOOKUP(D258,Catalogo_Documentos!$A:$B,2,FALSE),"—"))</f>
        <v/>
      </c>
      <c r="F258" s="25"/>
      <c r="I258" s="64"/>
    </row>
    <row r="259" spans="1:9">
      <c r="A259" s="28"/>
      <c r="B259" s="26" t="str">
        <f>IF(A259="","",IFERROR(VLOOKUP(A259,Criterios!$A:$G,7,FALSE),"—"))</f>
        <v/>
      </c>
      <c r="C259" s="25" t="str">
        <f>IF(D259="","",IFERROR(VLOOKUP(D259,Catalogo_Documentos!$A:$B,3,FALSE),"—"))</f>
        <v/>
      </c>
      <c r="D259" s="29"/>
      <c r="E259" s="25" t="str">
        <f>IF(D259="","",IFERROR(VLOOKUP(D259,Catalogo_Documentos!$A:$B,2,FALSE),"—"))</f>
        <v/>
      </c>
      <c r="F259" s="25"/>
      <c r="I259" s="64"/>
    </row>
    <row r="260" spans="1:9">
      <c r="A260" s="28"/>
      <c r="B260" s="26" t="str">
        <f>IF(A260="","",IFERROR(VLOOKUP(A260,Criterios!$A:$G,7,FALSE),"—"))</f>
        <v/>
      </c>
      <c r="C260" s="25" t="str">
        <f>IF(D260="","",IFERROR(VLOOKUP(D260,Catalogo_Documentos!$A:$B,3,FALSE),"—"))</f>
        <v/>
      </c>
      <c r="D260" s="29"/>
      <c r="E260" s="25" t="str">
        <f>IF(D260="","",IFERROR(VLOOKUP(D260,Catalogo_Documentos!$A:$B,2,FALSE),"—"))</f>
        <v/>
      </c>
      <c r="F260" s="25"/>
      <c r="I260" s="64"/>
    </row>
    <row r="261" spans="1:9">
      <c r="A261" s="28"/>
      <c r="B261" s="26" t="str">
        <f>IF(A261="","",IFERROR(VLOOKUP(A261,Criterios!$A:$G,7,FALSE),"—"))</f>
        <v/>
      </c>
      <c r="C261" s="25" t="str">
        <f>IF(D261="","",IFERROR(VLOOKUP(D261,Catalogo_Documentos!$A:$B,3,FALSE),"—"))</f>
        <v/>
      </c>
      <c r="D261" s="29"/>
      <c r="E261" s="25" t="str">
        <f>IF(D261="","",IFERROR(VLOOKUP(D261,Catalogo_Documentos!$A:$B,2,FALSE),"—"))</f>
        <v/>
      </c>
      <c r="F261" s="25"/>
      <c r="I261" s="64"/>
    </row>
    <row r="262" spans="1:9">
      <c r="A262" s="28"/>
      <c r="B262" s="26" t="str">
        <f>IF(A262="","",IFERROR(VLOOKUP(A262,Criterios!$A:$G,7,FALSE),"—"))</f>
        <v/>
      </c>
      <c r="C262" s="25" t="str">
        <f>IF(D262="","",IFERROR(VLOOKUP(D262,Catalogo_Documentos!$A:$B,3,FALSE),"—"))</f>
        <v/>
      </c>
      <c r="D262" s="29"/>
      <c r="E262" s="25" t="str">
        <f>IF(D262="","",IFERROR(VLOOKUP(D262,Catalogo_Documentos!$A:$B,2,FALSE),"—"))</f>
        <v/>
      </c>
      <c r="F262" s="25"/>
      <c r="I262" s="64"/>
    </row>
    <row r="263" spans="1:9">
      <c r="A263" s="28"/>
      <c r="B263" s="26" t="str">
        <f>IF(A263="","",IFERROR(VLOOKUP(A263,Criterios!$A:$G,7,FALSE),"—"))</f>
        <v/>
      </c>
      <c r="C263" s="25" t="str">
        <f>IF(D263="","",IFERROR(VLOOKUP(D263,Catalogo_Documentos!$A:$B,3,FALSE),"—"))</f>
        <v/>
      </c>
      <c r="D263" s="29"/>
      <c r="E263" s="25" t="str">
        <f>IF(D263="","",IFERROR(VLOOKUP(D263,Catalogo_Documentos!$A:$B,2,FALSE),"—"))</f>
        <v/>
      </c>
      <c r="F263" s="25"/>
      <c r="I263" s="64"/>
    </row>
    <row r="264" spans="1:9">
      <c r="A264" s="28"/>
      <c r="B264" s="26" t="str">
        <f>IF(A264="","",IFERROR(VLOOKUP(A264,Criterios!$A:$G,7,FALSE),"—"))</f>
        <v/>
      </c>
      <c r="C264" s="25" t="str">
        <f>IF(D264="","",IFERROR(VLOOKUP(D264,Catalogo_Documentos!$A:$B,3,FALSE),"—"))</f>
        <v/>
      </c>
      <c r="D264" s="29"/>
      <c r="E264" s="25" t="str">
        <f>IF(D264="","",IFERROR(VLOOKUP(D264,Catalogo_Documentos!$A:$B,2,FALSE),"—"))</f>
        <v/>
      </c>
      <c r="F264" s="25"/>
      <c r="I264" s="64"/>
    </row>
    <row r="265" spans="1:9">
      <c r="A265" s="28"/>
      <c r="B265" s="26" t="str">
        <f>IF(A265="","",IFERROR(VLOOKUP(A265,Criterios!$A:$G,7,FALSE),"—"))</f>
        <v/>
      </c>
      <c r="C265" s="25" t="str">
        <f>IF(D265="","",IFERROR(VLOOKUP(D265,Catalogo_Documentos!$A:$B,3,FALSE),"—"))</f>
        <v/>
      </c>
      <c r="D265" s="29"/>
      <c r="E265" s="25" t="str">
        <f>IF(D265="","",IFERROR(VLOOKUP(D265,Catalogo_Documentos!$A:$B,2,FALSE),"—"))</f>
        <v/>
      </c>
      <c r="F265" s="25"/>
      <c r="I265" s="64"/>
    </row>
    <row r="266" spans="1:9">
      <c r="A266" s="28"/>
      <c r="B266" s="26" t="str">
        <f>IF(A266="","",IFERROR(VLOOKUP(A266,Criterios!$A:$G,7,FALSE),"—"))</f>
        <v/>
      </c>
      <c r="C266" s="25" t="str">
        <f>IF(D266="","",IFERROR(VLOOKUP(D266,Catalogo_Documentos!$A:$B,3,FALSE),"—"))</f>
        <v/>
      </c>
      <c r="D266" s="29"/>
      <c r="E266" s="25" t="str">
        <f>IF(D266="","",IFERROR(VLOOKUP(D266,Catalogo_Documentos!$A:$B,2,FALSE),"—"))</f>
        <v/>
      </c>
      <c r="F266" s="25"/>
      <c r="I266" s="64"/>
    </row>
    <row r="267" spans="1:9">
      <c r="A267" s="28"/>
      <c r="B267" s="26" t="str">
        <f>IF(A267="","",IFERROR(VLOOKUP(A267,Criterios!$A:$G,7,FALSE),"—"))</f>
        <v/>
      </c>
      <c r="C267" s="25" t="str">
        <f>IF(D267="","",IFERROR(VLOOKUP(D267,Catalogo_Documentos!$A:$B,3,FALSE),"—"))</f>
        <v/>
      </c>
      <c r="D267" s="29"/>
      <c r="E267" s="25" t="str">
        <f>IF(D267="","",IFERROR(VLOOKUP(D267,Catalogo_Documentos!$A:$B,2,FALSE),"—"))</f>
        <v/>
      </c>
      <c r="F267" s="25"/>
      <c r="I267" s="64"/>
    </row>
    <row r="268" spans="1:9">
      <c r="A268" s="28"/>
      <c r="B268" s="26" t="str">
        <f>IF(A268="","",IFERROR(VLOOKUP(A268,Criterios!$A:$G,7,FALSE),"—"))</f>
        <v/>
      </c>
      <c r="C268" s="25" t="str">
        <f>IF(D268="","",IFERROR(VLOOKUP(D268,Catalogo_Documentos!$A:$B,3,FALSE),"—"))</f>
        <v/>
      </c>
      <c r="D268" s="29"/>
      <c r="E268" s="25" t="str">
        <f>IF(D268="","",IFERROR(VLOOKUP(D268,Catalogo_Documentos!$A:$B,2,FALSE),"—"))</f>
        <v/>
      </c>
      <c r="F268" s="25"/>
      <c r="I268" s="64"/>
    </row>
    <row r="269" spans="1:9">
      <c r="A269" s="28"/>
      <c r="B269" s="26" t="str">
        <f>IF(A269="","",IFERROR(VLOOKUP(A269,Criterios!$A:$G,7,FALSE),"—"))</f>
        <v/>
      </c>
      <c r="C269" s="25" t="str">
        <f>IF(D269="","",IFERROR(VLOOKUP(D269,Catalogo_Documentos!$A:$B,3,FALSE),"—"))</f>
        <v/>
      </c>
      <c r="D269" s="29"/>
      <c r="E269" s="25" t="str">
        <f>IF(D269="","",IFERROR(VLOOKUP(D269,Catalogo_Documentos!$A:$B,2,FALSE),"—"))</f>
        <v/>
      </c>
      <c r="F269" s="25"/>
      <c r="I269" s="64"/>
    </row>
    <row r="270" spans="1:9">
      <c r="A270" s="28"/>
      <c r="B270" s="26" t="str">
        <f>IF(A270="","",IFERROR(VLOOKUP(A270,Criterios!$A:$G,7,FALSE),"—"))</f>
        <v/>
      </c>
      <c r="C270" s="25" t="str">
        <f>IF(D270="","",IFERROR(VLOOKUP(D270,Catalogo_Documentos!$A:$B,3,FALSE),"—"))</f>
        <v/>
      </c>
      <c r="D270" s="29"/>
      <c r="E270" s="25" t="str">
        <f>IF(D270="","",IFERROR(VLOOKUP(D270,Catalogo_Documentos!$A:$B,2,FALSE),"—"))</f>
        <v/>
      </c>
      <c r="F270" s="25"/>
      <c r="I270" s="64"/>
    </row>
    <row r="271" spans="1:9">
      <c r="A271" s="28"/>
      <c r="B271" s="26" t="str">
        <f>IF(A271="","",IFERROR(VLOOKUP(A271,Criterios!$A:$G,7,FALSE),"—"))</f>
        <v/>
      </c>
      <c r="C271" s="25" t="str">
        <f>IF(D271="","",IFERROR(VLOOKUP(D271,Catalogo_Documentos!$A:$B,3,FALSE),"—"))</f>
        <v/>
      </c>
      <c r="D271" s="29"/>
      <c r="E271" s="25" t="str">
        <f>IF(D271="","",IFERROR(VLOOKUP(D271,Catalogo_Documentos!$A:$B,2,FALSE),"—"))</f>
        <v/>
      </c>
      <c r="F271" s="25"/>
      <c r="I271" s="64"/>
    </row>
    <row r="272" spans="1:9">
      <c r="A272" s="28"/>
      <c r="B272" s="26" t="str">
        <f>IF(A272="","",IFERROR(VLOOKUP(A272,Criterios!$A:$G,7,FALSE),"—"))</f>
        <v/>
      </c>
      <c r="C272" s="25" t="str">
        <f>IF(D272="","",IFERROR(VLOOKUP(D272,Catalogo_Documentos!$A:$B,3,FALSE),"—"))</f>
        <v/>
      </c>
      <c r="D272" s="29"/>
      <c r="E272" s="25" t="str">
        <f>IF(D272="","",IFERROR(VLOOKUP(D272,Catalogo_Documentos!$A:$B,2,FALSE),"—"))</f>
        <v/>
      </c>
      <c r="F272" s="25"/>
      <c r="I272" s="64"/>
    </row>
    <row r="273" spans="1:9">
      <c r="A273" s="28"/>
      <c r="B273" s="26" t="str">
        <f>IF(A273="","",IFERROR(VLOOKUP(A273,Criterios!$A:$G,7,FALSE),"—"))</f>
        <v/>
      </c>
      <c r="C273" s="25" t="str">
        <f>IF(D273="","",IFERROR(VLOOKUP(D273,Catalogo_Documentos!$A:$B,3,FALSE),"—"))</f>
        <v/>
      </c>
      <c r="D273" s="29"/>
      <c r="E273" s="25" t="str">
        <f>IF(D273="","",IFERROR(VLOOKUP(D273,Catalogo_Documentos!$A:$B,2,FALSE),"—"))</f>
        <v/>
      </c>
      <c r="F273" s="25"/>
      <c r="I273" s="64"/>
    </row>
    <row r="274" spans="1:9">
      <c r="A274" s="28"/>
      <c r="B274" s="26" t="str">
        <f>IF(A274="","",IFERROR(VLOOKUP(A274,Criterios!$A:$G,7,FALSE),"—"))</f>
        <v/>
      </c>
      <c r="C274" s="25" t="str">
        <f>IF(D274="","",IFERROR(VLOOKUP(D274,Catalogo_Documentos!$A:$B,3,FALSE),"—"))</f>
        <v/>
      </c>
      <c r="D274" s="29"/>
      <c r="E274" s="25" t="str">
        <f>IF(D274="","",IFERROR(VLOOKUP(D274,Catalogo_Documentos!$A:$B,2,FALSE),"—"))</f>
        <v/>
      </c>
      <c r="F274" s="25"/>
      <c r="I274" s="64"/>
    </row>
    <row r="275" spans="1:9">
      <c r="A275" s="28"/>
      <c r="B275" s="26" t="str">
        <f>IF(A275="","",IFERROR(VLOOKUP(A275,Criterios!$A:$G,7,FALSE),"—"))</f>
        <v/>
      </c>
      <c r="C275" s="25" t="str">
        <f>IF(D275="","",IFERROR(VLOOKUP(D275,Catalogo_Documentos!$A:$B,3,FALSE),"—"))</f>
        <v/>
      </c>
      <c r="D275" s="29"/>
      <c r="E275" s="25" t="str">
        <f>IF(D275="","",IFERROR(VLOOKUP(D275,Catalogo_Documentos!$A:$B,2,FALSE),"—"))</f>
        <v/>
      </c>
      <c r="F275" s="25"/>
      <c r="I275" s="64"/>
    </row>
    <row r="276" spans="1:9">
      <c r="A276" s="28"/>
      <c r="B276" s="26" t="str">
        <f>IF(A276="","",IFERROR(VLOOKUP(A276,Criterios!$A:$G,7,FALSE),"—"))</f>
        <v/>
      </c>
      <c r="C276" s="25" t="str">
        <f>IF(D276="","",IFERROR(VLOOKUP(D276,Catalogo_Documentos!$A:$B,3,FALSE),"—"))</f>
        <v/>
      </c>
      <c r="D276" s="29"/>
      <c r="E276" s="25" t="str">
        <f>IF(D276="","",IFERROR(VLOOKUP(D276,Catalogo_Documentos!$A:$B,2,FALSE),"—"))</f>
        <v/>
      </c>
      <c r="F276" s="25"/>
      <c r="I276" s="64"/>
    </row>
    <row r="277" spans="1:9">
      <c r="A277" s="28"/>
      <c r="B277" s="26" t="str">
        <f>IF(A277="","",IFERROR(VLOOKUP(A277,Criterios!$A:$G,7,FALSE),"—"))</f>
        <v/>
      </c>
      <c r="C277" s="25" t="str">
        <f>IF(D277="","",IFERROR(VLOOKUP(D277,Catalogo_Documentos!$A:$B,3,FALSE),"—"))</f>
        <v/>
      </c>
      <c r="D277" s="29"/>
      <c r="E277" s="25" t="str">
        <f>IF(D277="","",IFERROR(VLOOKUP(D277,Catalogo_Documentos!$A:$B,2,FALSE),"—"))</f>
        <v/>
      </c>
      <c r="F277" s="25"/>
      <c r="I277" s="64"/>
    </row>
    <row r="278" spans="1:9">
      <c r="A278" s="28"/>
      <c r="B278" s="26" t="str">
        <f>IF(A278="","",IFERROR(VLOOKUP(A278,Criterios!$A:$G,7,FALSE),"—"))</f>
        <v/>
      </c>
      <c r="C278" s="25" t="str">
        <f>IF(D278="","",IFERROR(VLOOKUP(D278,Catalogo_Documentos!$A:$B,3,FALSE),"—"))</f>
        <v/>
      </c>
      <c r="D278" s="29"/>
      <c r="E278" s="25" t="str">
        <f>IF(D278="","",IFERROR(VLOOKUP(D278,Catalogo_Documentos!$A:$B,2,FALSE),"—"))</f>
        <v/>
      </c>
      <c r="F278" s="25"/>
      <c r="I278" s="64"/>
    </row>
    <row r="279" spans="1:9">
      <c r="A279" s="28"/>
      <c r="B279" s="26" t="str">
        <f>IF(A279="","",IFERROR(VLOOKUP(A279,Criterios!$A:$G,7,FALSE),"—"))</f>
        <v/>
      </c>
      <c r="C279" s="25" t="str">
        <f>IF(D279="","",IFERROR(VLOOKUP(D279,Catalogo_Documentos!$A:$B,3,FALSE),"—"))</f>
        <v/>
      </c>
      <c r="D279" s="29"/>
      <c r="E279" s="25" t="str">
        <f>IF(D279="","",IFERROR(VLOOKUP(D279,Catalogo_Documentos!$A:$B,2,FALSE),"—"))</f>
        <v/>
      </c>
      <c r="F279" s="25"/>
      <c r="I279" s="64"/>
    </row>
    <row r="280" spans="1:9">
      <c r="A280" s="28"/>
      <c r="B280" s="26" t="str">
        <f>IF(A280="","",IFERROR(VLOOKUP(A280,Criterios!$A:$G,7,FALSE),"—"))</f>
        <v/>
      </c>
      <c r="C280" s="25" t="str">
        <f>IF(D280="","",IFERROR(VLOOKUP(D280,Catalogo_Documentos!$A:$B,3,FALSE),"—"))</f>
        <v/>
      </c>
      <c r="D280" s="29"/>
      <c r="E280" s="25" t="str">
        <f>IF(D280="","",IFERROR(VLOOKUP(D280,Catalogo_Documentos!$A:$B,2,FALSE),"—"))</f>
        <v/>
      </c>
      <c r="F280" s="25"/>
      <c r="I280" s="64"/>
    </row>
    <row r="281" spans="1:9">
      <c r="A281" s="28"/>
      <c r="B281" s="26" t="str">
        <f>IF(A281="","",IFERROR(VLOOKUP(A281,Criterios!$A:$G,7,FALSE),"—"))</f>
        <v/>
      </c>
      <c r="C281" s="25" t="str">
        <f>IF(D281="","",IFERROR(VLOOKUP(D281,Catalogo_Documentos!$A:$B,3,FALSE),"—"))</f>
        <v/>
      </c>
      <c r="D281" s="29"/>
      <c r="E281" s="25" t="str">
        <f>IF(D281="","",IFERROR(VLOOKUP(D281,Catalogo_Documentos!$A:$B,2,FALSE),"—"))</f>
        <v/>
      </c>
      <c r="F281" s="25"/>
      <c r="I281" s="64"/>
    </row>
    <row r="282" spans="1:9">
      <c r="A282" s="28"/>
      <c r="B282" s="26" t="str">
        <f>IF(A282="","",IFERROR(VLOOKUP(A282,Criterios!$A:$G,7,FALSE),"—"))</f>
        <v/>
      </c>
      <c r="C282" s="25" t="str">
        <f>IF(D282="","",IFERROR(VLOOKUP(D282,Catalogo_Documentos!$A:$B,3,FALSE),"—"))</f>
        <v/>
      </c>
      <c r="D282" s="29"/>
      <c r="E282" s="25" t="str">
        <f>IF(D282="","",IFERROR(VLOOKUP(D282,Catalogo_Documentos!$A:$B,2,FALSE),"—"))</f>
        <v/>
      </c>
      <c r="F282" s="25"/>
      <c r="I282" s="64"/>
    </row>
    <row r="283" spans="1:9">
      <c r="A283" s="28"/>
      <c r="B283" s="26" t="str">
        <f>IF(A283="","",IFERROR(VLOOKUP(A283,Criterios!$A:$G,7,FALSE),"—"))</f>
        <v/>
      </c>
      <c r="C283" s="25" t="str">
        <f>IF(D283="","",IFERROR(VLOOKUP(D283,Catalogo_Documentos!$A:$B,3,FALSE),"—"))</f>
        <v/>
      </c>
      <c r="D283" s="29"/>
      <c r="E283" s="25" t="str">
        <f>IF(D283="","",IFERROR(VLOOKUP(D283,Catalogo_Documentos!$A:$B,2,FALSE),"—"))</f>
        <v/>
      </c>
      <c r="F283" s="25"/>
      <c r="I283" s="64"/>
    </row>
    <row r="284" spans="1:9">
      <c r="A284" s="28"/>
      <c r="B284" s="26" t="str">
        <f>IF(A284="","",IFERROR(VLOOKUP(A284,Criterios!$A:$G,7,FALSE),"—"))</f>
        <v/>
      </c>
      <c r="C284" s="25" t="str">
        <f>IF(D284="","",IFERROR(VLOOKUP(D284,Catalogo_Documentos!$A:$B,3,FALSE),"—"))</f>
        <v/>
      </c>
      <c r="D284" s="29"/>
      <c r="E284" s="25" t="str">
        <f>IF(D284="","",IFERROR(VLOOKUP(D284,Catalogo_Documentos!$A:$B,2,FALSE),"—"))</f>
        <v/>
      </c>
      <c r="F284" s="25"/>
      <c r="I284" s="64"/>
    </row>
    <row r="285" spans="1:9">
      <c r="A285" s="28"/>
      <c r="B285" s="26" t="str">
        <f>IF(A285="","",IFERROR(VLOOKUP(A285,Criterios!$A:$G,7,FALSE),"—"))</f>
        <v/>
      </c>
      <c r="C285" s="25" t="str">
        <f>IF(D285="","",IFERROR(VLOOKUP(D285,Catalogo_Documentos!$A:$B,3,FALSE),"—"))</f>
        <v/>
      </c>
      <c r="D285" s="29"/>
      <c r="E285" s="25" t="str">
        <f>IF(D285="","",IFERROR(VLOOKUP(D285,Catalogo_Documentos!$A:$B,2,FALSE),"—"))</f>
        <v/>
      </c>
      <c r="F285" s="25"/>
      <c r="I285" s="64"/>
    </row>
    <row r="286" spans="1:9">
      <c r="A286" s="28"/>
      <c r="B286" s="26" t="str">
        <f>IF(A286="","",IFERROR(VLOOKUP(A286,Criterios!$A:$G,7,FALSE),"—"))</f>
        <v/>
      </c>
      <c r="C286" s="25" t="str">
        <f>IF(D286="","",IFERROR(VLOOKUP(D286,Catalogo_Documentos!$A:$B,3,FALSE),"—"))</f>
        <v/>
      </c>
      <c r="D286" s="29"/>
      <c r="E286" s="25" t="str">
        <f>IF(D286="","",IFERROR(VLOOKUP(D286,Catalogo_Documentos!$A:$B,2,FALSE),"—"))</f>
        <v/>
      </c>
      <c r="F286" s="25"/>
      <c r="I286" s="64"/>
    </row>
    <row r="287" spans="1:9">
      <c r="A287" s="28"/>
      <c r="B287" s="26" t="str">
        <f>IF(A287="","",IFERROR(VLOOKUP(A287,Criterios!$A:$G,7,FALSE),"—"))</f>
        <v/>
      </c>
      <c r="C287" s="25" t="str">
        <f>IF(D287="","",IFERROR(VLOOKUP(D287,Catalogo_Documentos!$A:$B,3,FALSE),"—"))</f>
        <v/>
      </c>
      <c r="D287" s="29"/>
      <c r="E287" s="25" t="str">
        <f>IF(D287="","",IFERROR(VLOOKUP(D287,Catalogo_Documentos!$A:$B,2,FALSE),"—"))</f>
        <v/>
      </c>
      <c r="F287" s="25"/>
      <c r="I287" s="64"/>
    </row>
    <row r="288" spans="1:9">
      <c r="A288" s="28"/>
      <c r="B288" s="26" t="str">
        <f>IF(A288="","",IFERROR(VLOOKUP(A288,Criterios!$A:$G,7,FALSE),"—"))</f>
        <v/>
      </c>
      <c r="C288" s="25" t="str">
        <f>IF(D288="","",IFERROR(VLOOKUP(D288,Catalogo_Documentos!$A:$B,3,FALSE),"—"))</f>
        <v/>
      </c>
      <c r="D288" s="29"/>
      <c r="E288" s="25" t="str">
        <f>IF(D288="","",IFERROR(VLOOKUP(D288,Catalogo_Documentos!$A:$B,2,FALSE),"—"))</f>
        <v/>
      </c>
      <c r="F288" s="25"/>
      <c r="I288" s="64"/>
    </row>
    <row r="289" spans="1:9">
      <c r="A289" s="28"/>
      <c r="B289" s="26" t="str">
        <f>IF(A289="","",IFERROR(VLOOKUP(A289,Criterios!$A:$G,7,FALSE),"—"))</f>
        <v/>
      </c>
      <c r="C289" s="25" t="str">
        <f>IF(D289="","",IFERROR(VLOOKUP(D289,Catalogo_Documentos!$A:$B,3,FALSE),"—"))</f>
        <v/>
      </c>
      <c r="D289" s="29"/>
      <c r="E289" s="25" t="str">
        <f>IF(D289="","",IFERROR(VLOOKUP(D289,Catalogo_Documentos!$A:$B,2,FALSE),"—"))</f>
        <v/>
      </c>
      <c r="F289" s="25"/>
      <c r="I289" s="64"/>
    </row>
    <row r="290" spans="1:9">
      <c r="A290" s="28"/>
      <c r="B290" s="26" t="str">
        <f>IF(A290="","",IFERROR(VLOOKUP(A290,Criterios!$A:$G,7,FALSE),"—"))</f>
        <v/>
      </c>
      <c r="C290" s="25" t="str">
        <f>IF(D290="","",IFERROR(VLOOKUP(D290,Catalogo_Documentos!$A:$B,3,FALSE),"—"))</f>
        <v/>
      </c>
      <c r="D290" s="29"/>
      <c r="E290" s="25" t="str">
        <f>IF(D290="","",IFERROR(VLOOKUP(D290,Catalogo_Documentos!$A:$B,2,FALSE),"—"))</f>
        <v/>
      </c>
      <c r="F290" s="25"/>
      <c r="I290" s="64"/>
    </row>
    <row r="291" spans="1:9">
      <c r="A291" s="28"/>
      <c r="B291" s="26" t="str">
        <f>IF(A291="","",IFERROR(VLOOKUP(A291,Criterios!$A:$G,7,FALSE),"—"))</f>
        <v/>
      </c>
      <c r="C291" s="25" t="str">
        <f>IF(D291="","",IFERROR(VLOOKUP(D291,Catalogo_Documentos!$A:$B,3,FALSE),"—"))</f>
        <v/>
      </c>
      <c r="D291" s="29"/>
      <c r="E291" s="25" t="str">
        <f>IF(D291="","",IFERROR(VLOOKUP(D291,Catalogo_Documentos!$A:$B,2,FALSE),"—"))</f>
        <v/>
      </c>
      <c r="F291" s="25"/>
      <c r="I291" s="64"/>
    </row>
    <row r="292" spans="1:9">
      <c r="A292" s="28"/>
      <c r="B292" s="26" t="str">
        <f>IF(A292="","",IFERROR(VLOOKUP(A292,Criterios!$A:$G,7,FALSE),"—"))</f>
        <v/>
      </c>
      <c r="C292" s="25" t="str">
        <f>IF(D292="","",IFERROR(VLOOKUP(D292,Catalogo_Documentos!$A:$B,3,FALSE),"—"))</f>
        <v/>
      </c>
      <c r="D292" s="29"/>
      <c r="E292" s="25" t="str">
        <f>IF(D292="","",IFERROR(VLOOKUP(D292,Catalogo_Documentos!$A:$B,2,FALSE),"—"))</f>
        <v/>
      </c>
      <c r="F292" s="25"/>
      <c r="I292" s="64"/>
    </row>
    <row r="293" spans="1:9">
      <c r="A293" s="28"/>
      <c r="B293" s="26" t="str">
        <f>IF(A293="","",IFERROR(VLOOKUP(A293,Criterios!$A:$G,7,FALSE),"—"))</f>
        <v/>
      </c>
      <c r="C293" s="25" t="str">
        <f>IF(D293="","",IFERROR(VLOOKUP(D293,Catalogo_Documentos!$A:$B,3,FALSE),"—"))</f>
        <v/>
      </c>
      <c r="D293" s="29"/>
      <c r="E293" s="25" t="str">
        <f>IF(D293="","",IFERROR(VLOOKUP(D293,Catalogo_Documentos!$A:$B,2,FALSE),"—"))</f>
        <v/>
      </c>
      <c r="F293" s="25"/>
      <c r="I293" s="64"/>
    </row>
    <row r="294" spans="1:9">
      <c r="A294" s="28"/>
      <c r="B294" s="26" t="str">
        <f>IF(A294="","",IFERROR(VLOOKUP(A294,Criterios!$A:$G,7,FALSE),"—"))</f>
        <v/>
      </c>
      <c r="C294" s="25" t="str">
        <f>IF(D294="","",IFERROR(VLOOKUP(D294,Catalogo_Documentos!$A:$B,3,FALSE),"—"))</f>
        <v/>
      </c>
      <c r="D294" s="29"/>
      <c r="E294" s="25" t="str">
        <f>IF(D294="","",IFERROR(VLOOKUP(D294,Catalogo_Documentos!$A:$B,2,FALSE),"—"))</f>
        <v/>
      </c>
      <c r="F294" s="25"/>
      <c r="I294" s="64"/>
    </row>
    <row r="295" spans="1:9">
      <c r="A295" s="28"/>
      <c r="B295" s="26" t="str">
        <f>IF(A295="","",IFERROR(VLOOKUP(A295,Criterios!$A:$G,7,FALSE),"—"))</f>
        <v/>
      </c>
      <c r="C295" s="25" t="str">
        <f>IF(D295="","",IFERROR(VLOOKUP(D295,Catalogo_Documentos!$A:$B,3,FALSE),"—"))</f>
        <v/>
      </c>
      <c r="D295" s="29"/>
      <c r="E295" s="25" t="str">
        <f>IF(D295="","",IFERROR(VLOOKUP(D295,Catalogo_Documentos!$A:$B,2,FALSE),"—"))</f>
        <v/>
      </c>
      <c r="F295" s="25"/>
      <c r="I295" s="64"/>
    </row>
    <row r="296" spans="1:9">
      <c r="A296" s="28"/>
      <c r="B296" s="26" t="str">
        <f>IF(A296="","",IFERROR(VLOOKUP(A296,Criterios!$A:$G,7,FALSE),"—"))</f>
        <v/>
      </c>
      <c r="C296" s="25" t="str">
        <f>IF(D296="","",IFERROR(VLOOKUP(D296,Catalogo_Documentos!$A:$B,3,FALSE),"—"))</f>
        <v/>
      </c>
      <c r="D296" s="29"/>
      <c r="E296" s="25" t="str">
        <f>IF(D296="","",IFERROR(VLOOKUP(D296,Catalogo_Documentos!$A:$B,2,FALSE),"—"))</f>
        <v/>
      </c>
      <c r="F296" s="25"/>
      <c r="I296" s="64"/>
    </row>
    <row r="297" spans="1:9">
      <c r="A297" s="28"/>
      <c r="B297" s="26" t="str">
        <f>IF(A297="","",IFERROR(VLOOKUP(A297,Criterios!$A:$G,7,FALSE),"—"))</f>
        <v/>
      </c>
      <c r="C297" s="25" t="str">
        <f>IF(D297="","",IFERROR(VLOOKUP(D297,Catalogo_Documentos!$A:$B,3,FALSE),"—"))</f>
        <v/>
      </c>
      <c r="D297" s="29"/>
      <c r="E297" s="25" t="str">
        <f>IF(D297="","",IFERROR(VLOOKUP(D297,Catalogo_Documentos!$A:$B,2,FALSE),"—"))</f>
        <v/>
      </c>
      <c r="F297" s="25"/>
      <c r="I297" s="64"/>
    </row>
    <row r="298" spans="1:9">
      <c r="A298" s="28"/>
      <c r="B298" s="26" t="str">
        <f>IF(A298="","",IFERROR(VLOOKUP(A298,Criterios!$A:$G,7,FALSE),"—"))</f>
        <v/>
      </c>
      <c r="C298" s="25" t="str">
        <f>IF(D298="","",IFERROR(VLOOKUP(D298,Catalogo_Documentos!$A:$B,3,FALSE),"—"))</f>
        <v/>
      </c>
      <c r="D298" s="29"/>
      <c r="E298" s="25" t="str">
        <f>IF(D298="","",IFERROR(VLOOKUP(D298,Catalogo_Documentos!$A:$B,2,FALSE),"—"))</f>
        <v/>
      </c>
      <c r="F298" s="25"/>
      <c r="I298" s="64"/>
    </row>
    <row r="299" spans="1:9">
      <c r="A299" s="28"/>
      <c r="B299" s="26" t="str">
        <f>IF(A299="","",IFERROR(VLOOKUP(A299,Criterios!$A:$G,7,FALSE),"—"))</f>
        <v/>
      </c>
      <c r="C299" s="25" t="str">
        <f>IF(D299="","",IFERROR(VLOOKUP(D299,Catalogo_Documentos!$A:$B,3,FALSE),"—"))</f>
        <v/>
      </c>
      <c r="D299" s="29"/>
      <c r="E299" s="25" t="str">
        <f>IF(D299="","",IFERROR(VLOOKUP(D299,Catalogo_Documentos!$A:$B,2,FALSE),"—"))</f>
        <v/>
      </c>
      <c r="F299" s="25"/>
      <c r="I299" s="64"/>
    </row>
    <row r="300" spans="1:9">
      <c r="A300" s="28"/>
      <c r="B300" s="26" t="str">
        <f>IF(A300="","",IFERROR(VLOOKUP(A300,Criterios!$A:$G,7,FALSE),"—"))</f>
        <v/>
      </c>
      <c r="C300" s="25" t="str">
        <f>IF(D300="","",IFERROR(VLOOKUP(D300,Catalogo_Documentos!$A:$B,3,FALSE),"—"))</f>
        <v/>
      </c>
      <c r="D300" s="29"/>
      <c r="E300" s="25" t="str">
        <f>IF(D300="","",IFERROR(VLOOKUP(D300,Catalogo_Documentos!$A:$B,2,FALSE),"—"))</f>
        <v/>
      </c>
      <c r="F300" s="25"/>
      <c r="I300" s="64"/>
    </row>
    <row r="301" spans="1:9">
      <c r="A301" s="28"/>
      <c r="B301" s="26" t="str">
        <f>IF(A301="","",IFERROR(VLOOKUP(A301,Criterios!$A:$G,7,FALSE),"—"))</f>
        <v/>
      </c>
      <c r="C301" s="25" t="str">
        <f>IF(D301="","",IFERROR(VLOOKUP(D301,Catalogo_Documentos!$A:$B,3,FALSE),"—"))</f>
        <v/>
      </c>
      <c r="D301" s="29"/>
      <c r="E301" s="25" t="str">
        <f>IF(D301="","",IFERROR(VLOOKUP(D301,Catalogo_Documentos!$A:$B,2,FALSE),"—"))</f>
        <v/>
      </c>
      <c r="F301" s="25"/>
      <c r="I301" s="64"/>
    </row>
    <row r="302" spans="1:9">
      <c r="A302" s="28"/>
      <c r="B302" s="26" t="str">
        <f>IF(A302="","",IFERROR(VLOOKUP(A302,Criterios!$A:$G,7,FALSE),"—"))</f>
        <v/>
      </c>
      <c r="C302" s="25" t="str">
        <f>IF(D302="","",IFERROR(VLOOKUP(D302,Catalogo_Documentos!$A:$B,3,FALSE),"—"))</f>
        <v/>
      </c>
      <c r="D302" s="29"/>
      <c r="E302" s="25" t="str">
        <f>IF(D302="","",IFERROR(VLOOKUP(D302,Catalogo_Documentos!$A:$B,2,FALSE),"—"))</f>
        <v/>
      </c>
      <c r="F302" s="25"/>
      <c r="I302" s="64"/>
    </row>
    <row r="303" spans="1:9">
      <c r="A303" s="28"/>
      <c r="B303" s="26" t="str">
        <f>IF(A303="","",IFERROR(VLOOKUP(A303,Criterios!$A:$G,7,FALSE),"—"))</f>
        <v/>
      </c>
      <c r="C303" s="25" t="str">
        <f>IF(D303="","",IFERROR(VLOOKUP(D303,Catalogo_Documentos!$A:$B,3,FALSE),"—"))</f>
        <v/>
      </c>
      <c r="D303" s="29"/>
      <c r="E303" s="25" t="str">
        <f>IF(D303="","",IFERROR(VLOOKUP(D303,Catalogo_Documentos!$A:$B,2,FALSE),"—"))</f>
        <v/>
      </c>
      <c r="F303" s="25"/>
      <c r="I303" s="64"/>
    </row>
    <row r="304" spans="1:9">
      <c r="A304" s="28"/>
      <c r="B304" s="26" t="str">
        <f>IF(A304="","",IFERROR(VLOOKUP(A304,Criterios!$A:$G,7,FALSE),"—"))</f>
        <v/>
      </c>
      <c r="C304" s="25" t="str">
        <f>IF(D304="","",IFERROR(VLOOKUP(D304,Catalogo_Documentos!$A:$B,3,FALSE),"—"))</f>
        <v/>
      </c>
      <c r="D304" s="29"/>
      <c r="E304" s="25" t="str">
        <f>IF(D304="","",IFERROR(VLOOKUP(D304,Catalogo_Documentos!$A:$B,2,FALSE),"—"))</f>
        <v/>
      </c>
      <c r="F304" s="25"/>
      <c r="I304" s="64"/>
    </row>
    <row r="305" spans="1:9">
      <c r="A305" s="28"/>
      <c r="B305" s="26" t="str">
        <f>IF(A305="","",IFERROR(VLOOKUP(A305,Criterios!$A:$G,7,FALSE),"—"))</f>
        <v/>
      </c>
      <c r="C305" s="25" t="str">
        <f>IF(D305="","",IFERROR(VLOOKUP(D305,Catalogo_Documentos!$A:$B,3,FALSE),"—"))</f>
        <v/>
      </c>
      <c r="D305" s="29"/>
      <c r="E305" s="25" t="str">
        <f>IF(D305="","",IFERROR(VLOOKUP(D305,Catalogo_Documentos!$A:$B,2,FALSE),"—"))</f>
        <v/>
      </c>
      <c r="F305" s="25"/>
      <c r="I305" s="64"/>
    </row>
    <row r="306" spans="1:9">
      <c r="A306" s="28"/>
      <c r="B306" s="26" t="str">
        <f>IF(A306="","",IFERROR(VLOOKUP(A306,Criterios!$A:$G,7,FALSE),"—"))</f>
        <v/>
      </c>
      <c r="C306" s="25" t="str">
        <f>IF(D306="","",IFERROR(VLOOKUP(D306,Catalogo_Documentos!$A:$B,3,FALSE),"—"))</f>
        <v/>
      </c>
      <c r="D306" s="29"/>
      <c r="E306" s="25" t="str">
        <f>IF(D306="","",IFERROR(VLOOKUP(D306,Catalogo_Documentos!$A:$B,2,FALSE),"—"))</f>
        <v/>
      </c>
      <c r="F306" s="25"/>
      <c r="I306" s="64"/>
    </row>
    <row r="307" spans="1:9">
      <c r="A307" s="28"/>
      <c r="B307" s="26" t="str">
        <f>IF(A307="","",IFERROR(VLOOKUP(A307,Criterios!$A:$G,7,FALSE),"—"))</f>
        <v/>
      </c>
      <c r="C307" s="25" t="str">
        <f>IF(D307="","",IFERROR(VLOOKUP(D307,Catalogo_Documentos!$A:$B,3,FALSE),"—"))</f>
        <v/>
      </c>
      <c r="D307" s="29"/>
      <c r="E307" s="25" t="str">
        <f>IF(D307="","",IFERROR(VLOOKUP(D307,Catalogo_Documentos!$A:$B,2,FALSE),"—"))</f>
        <v/>
      </c>
      <c r="F307" s="25"/>
      <c r="I307" s="64"/>
    </row>
    <row r="308" spans="1:9">
      <c r="A308" s="28"/>
      <c r="B308" s="26" t="str">
        <f>IF(A308="","",IFERROR(VLOOKUP(A308,Criterios!$A:$G,7,FALSE),"—"))</f>
        <v/>
      </c>
      <c r="C308" s="25" t="str">
        <f>IF(D308="","",IFERROR(VLOOKUP(D308,Catalogo_Documentos!$A:$B,3,FALSE),"—"))</f>
        <v/>
      </c>
      <c r="D308" s="29"/>
      <c r="E308" s="25" t="str">
        <f>IF(D308="","",IFERROR(VLOOKUP(D308,Catalogo_Documentos!$A:$B,2,FALSE),"—"))</f>
        <v/>
      </c>
      <c r="F308" s="25"/>
      <c r="I308" s="64"/>
    </row>
    <row r="309" spans="1:9">
      <c r="A309" s="28"/>
      <c r="B309" s="26" t="str">
        <f>IF(A309="","",IFERROR(VLOOKUP(A309,Criterios!$A:$G,7,FALSE),"—"))</f>
        <v/>
      </c>
      <c r="C309" s="25" t="str">
        <f>IF(D309="","",IFERROR(VLOOKUP(D309,Catalogo_Documentos!$A:$B,3,FALSE),"—"))</f>
        <v/>
      </c>
      <c r="D309" s="29"/>
      <c r="E309" s="25" t="str">
        <f>IF(D309="","",IFERROR(VLOOKUP(D309,Catalogo_Documentos!$A:$B,2,FALSE),"—"))</f>
        <v/>
      </c>
      <c r="F309" s="25"/>
      <c r="I309" s="64"/>
    </row>
    <row r="310" spans="1:9">
      <c r="A310" s="28"/>
      <c r="B310" s="26" t="str">
        <f>IF(A310="","",IFERROR(VLOOKUP(A310,Criterios!$A:$G,7,FALSE),"—"))</f>
        <v/>
      </c>
      <c r="C310" s="25" t="str">
        <f>IF(D310="","",IFERROR(VLOOKUP(D310,Catalogo_Documentos!$A:$B,3,FALSE),"—"))</f>
        <v/>
      </c>
      <c r="D310" s="29"/>
      <c r="E310" s="25" t="str">
        <f>IF(D310="","",IFERROR(VLOOKUP(D310,Catalogo_Documentos!$A:$B,2,FALSE),"—"))</f>
        <v/>
      </c>
      <c r="F310" s="25"/>
      <c r="I310" s="64"/>
    </row>
    <row r="311" spans="1:9">
      <c r="A311" s="28"/>
      <c r="B311" s="26" t="str">
        <f>IF(A311="","",IFERROR(VLOOKUP(A311,Criterios!$A:$G,7,FALSE),"—"))</f>
        <v/>
      </c>
      <c r="C311" s="25" t="str">
        <f>IF(D311="","",IFERROR(VLOOKUP(D311,Catalogo_Documentos!$A:$B,3,FALSE),"—"))</f>
        <v/>
      </c>
      <c r="D311" s="29"/>
      <c r="E311" s="25" t="str">
        <f>IF(D311="","",IFERROR(VLOOKUP(D311,Catalogo_Documentos!$A:$B,2,FALSE),"—"))</f>
        <v/>
      </c>
      <c r="F311" s="25"/>
      <c r="I311" s="64"/>
    </row>
    <row r="312" spans="1:9">
      <c r="A312" s="28"/>
      <c r="B312" s="26" t="str">
        <f>IF(A312="","",IFERROR(VLOOKUP(A312,Criterios!$A:$G,7,FALSE),"—"))</f>
        <v/>
      </c>
      <c r="C312" s="25" t="str">
        <f>IF(D312="","",IFERROR(VLOOKUP(D312,Catalogo_Documentos!$A:$B,3,FALSE),"—"))</f>
        <v/>
      </c>
      <c r="D312" s="29"/>
      <c r="E312" s="25" t="str">
        <f>IF(D312="","",IFERROR(VLOOKUP(D312,Catalogo_Documentos!$A:$B,2,FALSE),"—"))</f>
        <v/>
      </c>
      <c r="F312" s="25"/>
      <c r="I312" s="64"/>
    </row>
    <row r="313" spans="1:9">
      <c r="A313" s="28"/>
      <c r="B313" s="26" t="str">
        <f>IF(A313="","",IFERROR(VLOOKUP(A313,Criterios!$A:$G,7,FALSE),"—"))</f>
        <v/>
      </c>
      <c r="C313" s="25" t="str">
        <f>IF(D313="","",IFERROR(VLOOKUP(D313,Catalogo_Documentos!$A:$B,3,FALSE),"—"))</f>
        <v/>
      </c>
      <c r="D313" s="29"/>
      <c r="E313" s="25" t="str">
        <f>IF(D313="","",IFERROR(VLOOKUP(D313,Catalogo_Documentos!$A:$B,2,FALSE),"—"))</f>
        <v/>
      </c>
      <c r="F313" s="25"/>
      <c r="I313" s="64"/>
    </row>
    <row r="314" spans="1:9">
      <c r="A314" s="28"/>
      <c r="B314" s="26" t="str">
        <f>IF(A314="","",IFERROR(VLOOKUP(A314,Criterios!$A:$G,7,FALSE),"—"))</f>
        <v/>
      </c>
      <c r="C314" s="25" t="str">
        <f>IF(D314="","",IFERROR(VLOOKUP(D314,Catalogo_Documentos!$A:$B,3,FALSE),"—"))</f>
        <v/>
      </c>
      <c r="D314" s="29"/>
      <c r="E314" s="25" t="str">
        <f>IF(D314="","",IFERROR(VLOOKUP(D314,Catalogo_Documentos!$A:$B,2,FALSE),"—"))</f>
        <v/>
      </c>
      <c r="F314" s="25"/>
      <c r="I314" s="64"/>
    </row>
    <row r="315" spans="1:9">
      <c r="A315" s="28"/>
      <c r="B315" s="26" t="str">
        <f>IF(A315="","",IFERROR(VLOOKUP(A315,Criterios!$A:$G,7,FALSE),"—"))</f>
        <v/>
      </c>
      <c r="C315" s="25" t="str">
        <f>IF(D315="","",IFERROR(VLOOKUP(D315,Catalogo_Documentos!$A:$B,3,FALSE),"—"))</f>
        <v/>
      </c>
      <c r="D315" s="29"/>
      <c r="E315" s="25" t="str">
        <f>IF(D315="","",IFERROR(VLOOKUP(D315,Catalogo_Documentos!$A:$B,2,FALSE),"—"))</f>
        <v/>
      </c>
      <c r="F315" s="25"/>
      <c r="I315" s="64"/>
    </row>
    <row r="316" spans="1:9">
      <c r="A316" s="28"/>
      <c r="B316" s="26" t="str">
        <f>IF(A316="","",IFERROR(VLOOKUP(A316,Criterios!$A:$G,7,FALSE),"—"))</f>
        <v/>
      </c>
      <c r="C316" s="25" t="str">
        <f>IF(D316="","",IFERROR(VLOOKUP(D316,Catalogo_Documentos!$A:$B,3,FALSE),"—"))</f>
        <v/>
      </c>
      <c r="D316" s="29"/>
      <c r="E316" s="25" t="str">
        <f>IF(D316="","",IFERROR(VLOOKUP(D316,Catalogo_Documentos!$A:$B,2,FALSE),"—"))</f>
        <v/>
      </c>
      <c r="F316" s="25"/>
      <c r="I316" s="64"/>
    </row>
    <row r="317" spans="1:9">
      <c r="A317" s="28"/>
      <c r="B317" s="26" t="str">
        <f>IF(A317="","",IFERROR(VLOOKUP(A317,Criterios!$A:$G,7,FALSE),"—"))</f>
        <v/>
      </c>
      <c r="C317" s="25" t="str">
        <f>IF(D317="","",IFERROR(VLOOKUP(D317,Catalogo_Documentos!$A:$B,3,FALSE),"—"))</f>
        <v/>
      </c>
      <c r="D317" s="29"/>
      <c r="E317" s="25" t="str">
        <f>IF(D317="","",IFERROR(VLOOKUP(D317,Catalogo_Documentos!$A:$B,2,FALSE),"—"))</f>
        <v/>
      </c>
      <c r="F317" s="25"/>
      <c r="I317" s="64"/>
    </row>
    <row r="318" spans="1:9">
      <c r="A318" s="28"/>
      <c r="B318" s="26" t="str">
        <f>IF(A318="","",IFERROR(VLOOKUP(A318,Criterios!$A:$G,7,FALSE),"—"))</f>
        <v/>
      </c>
      <c r="C318" s="25" t="str">
        <f>IF(D318="","",IFERROR(VLOOKUP(D318,Catalogo_Documentos!$A:$B,3,FALSE),"—"))</f>
        <v/>
      </c>
      <c r="D318" s="29"/>
      <c r="E318" s="25" t="str">
        <f>IF(D318="","",IFERROR(VLOOKUP(D318,Catalogo_Documentos!$A:$B,2,FALSE),"—"))</f>
        <v/>
      </c>
      <c r="F318" s="25"/>
      <c r="I318" s="64"/>
    </row>
    <row r="319" spans="1:9">
      <c r="A319" s="28"/>
      <c r="B319" s="26" t="str">
        <f>IF(A319="","",IFERROR(VLOOKUP(A319,Criterios!$A:$G,7,FALSE),"—"))</f>
        <v/>
      </c>
      <c r="C319" s="25" t="str">
        <f>IF(D319="","",IFERROR(VLOOKUP(D319,Catalogo_Documentos!$A:$B,3,FALSE),"—"))</f>
        <v/>
      </c>
      <c r="D319" s="29"/>
      <c r="E319" s="25" t="str">
        <f>IF(D319="","",IFERROR(VLOOKUP(D319,Catalogo_Documentos!$A:$B,2,FALSE),"—"))</f>
        <v/>
      </c>
      <c r="F319" s="25"/>
      <c r="I319" s="64"/>
    </row>
    <row r="320" spans="1:9">
      <c r="A320" s="28"/>
      <c r="B320" s="26" t="str">
        <f>IF(A320="","",IFERROR(VLOOKUP(A320,Criterios!$A:$G,7,FALSE),"—"))</f>
        <v/>
      </c>
      <c r="C320" s="25" t="str">
        <f>IF(D320="","",IFERROR(VLOOKUP(D320,Catalogo_Documentos!$A:$B,3,FALSE),"—"))</f>
        <v/>
      </c>
      <c r="D320" s="29"/>
      <c r="E320" s="25" t="str">
        <f>IF(D320="","",IFERROR(VLOOKUP(D320,Catalogo_Documentos!$A:$B,2,FALSE),"—"))</f>
        <v/>
      </c>
      <c r="F320" s="25"/>
      <c r="I320" s="64"/>
    </row>
    <row r="321" spans="1:9">
      <c r="A321" s="28"/>
      <c r="B321" s="26" t="str">
        <f>IF(A321="","",IFERROR(VLOOKUP(A321,Criterios!$A:$G,7,FALSE),"—"))</f>
        <v/>
      </c>
      <c r="C321" s="25" t="str">
        <f>IF(D321="","",IFERROR(VLOOKUP(D321,Catalogo_Documentos!$A:$B,3,FALSE),"—"))</f>
        <v/>
      </c>
      <c r="D321" s="29"/>
      <c r="E321" s="25" t="str">
        <f>IF(D321="","",IFERROR(VLOOKUP(D321,Catalogo_Documentos!$A:$B,2,FALSE),"—"))</f>
        <v/>
      </c>
      <c r="F321" s="25"/>
      <c r="I321" s="64"/>
    </row>
    <row r="322" spans="1:9">
      <c r="A322" s="28"/>
      <c r="B322" s="26" t="str">
        <f>IF(A322="","",IFERROR(VLOOKUP(A322,Criterios!$A:$G,7,FALSE),"—"))</f>
        <v/>
      </c>
      <c r="C322" s="25" t="str">
        <f>IF(D322="","",IFERROR(VLOOKUP(D322,Catalogo_Documentos!$A:$B,3,FALSE),"—"))</f>
        <v/>
      </c>
      <c r="D322" s="29"/>
      <c r="E322" s="25" t="str">
        <f>IF(D322="","",IFERROR(VLOOKUP(D322,Catalogo_Documentos!$A:$B,2,FALSE),"—"))</f>
        <v/>
      </c>
      <c r="F322" s="25"/>
      <c r="I322" s="64"/>
    </row>
    <row r="323" spans="1:9">
      <c r="A323" s="28"/>
      <c r="B323" s="26" t="str">
        <f>IF(A323="","",IFERROR(VLOOKUP(A323,Criterios!$A:$G,7,FALSE),"—"))</f>
        <v/>
      </c>
      <c r="C323" s="25" t="str">
        <f>IF(D323="","",IFERROR(VLOOKUP(D323,Catalogo_Documentos!$A:$B,3,FALSE),"—"))</f>
        <v/>
      </c>
      <c r="D323" s="29"/>
      <c r="E323" s="25" t="str">
        <f>IF(D323="","",IFERROR(VLOOKUP(D323,Catalogo_Documentos!$A:$B,2,FALSE),"—"))</f>
        <v/>
      </c>
      <c r="F323" s="25"/>
      <c r="I323" s="64"/>
    </row>
    <row r="324" spans="1:9">
      <c r="A324" s="28"/>
      <c r="B324" s="26" t="str">
        <f>IF(A324="","",IFERROR(VLOOKUP(A324,Criterios!$A:$G,7,FALSE),"—"))</f>
        <v/>
      </c>
      <c r="C324" s="25" t="str">
        <f>IF(D324="","",IFERROR(VLOOKUP(D324,Catalogo_Documentos!$A:$B,3,FALSE),"—"))</f>
        <v/>
      </c>
      <c r="D324" s="29"/>
      <c r="E324" s="25" t="str">
        <f>IF(D324="","",IFERROR(VLOOKUP(D324,Catalogo_Documentos!$A:$B,2,FALSE),"—"))</f>
        <v/>
      </c>
      <c r="F324" s="25"/>
      <c r="I324" s="64"/>
    </row>
    <row r="325" spans="1:9">
      <c r="A325" s="28"/>
      <c r="B325" s="26" t="str">
        <f>IF(A325="","",IFERROR(VLOOKUP(A325,Criterios!$A:$G,7,FALSE),"—"))</f>
        <v/>
      </c>
      <c r="C325" s="25" t="str">
        <f>IF(D325="","",IFERROR(VLOOKUP(D325,Catalogo_Documentos!$A:$B,3,FALSE),"—"))</f>
        <v/>
      </c>
      <c r="D325" s="29"/>
      <c r="E325" s="25" t="str">
        <f>IF(D325="","",IFERROR(VLOOKUP(D325,Catalogo_Documentos!$A:$B,2,FALSE),"—"))</f>
        <v/>
      </c>
      <c r="F325" s="25"/>
      <c r="I325" s="64"/>
    </row>
    <row r="326" spans="1:9">
      <c r="A326" s="28"/>
      <c r="B326" s="26" t="str">
        <f>IF(A326="","",IFERROR(VLOOKUP(A326,Criterios!$A:$G,7,FALSE),"—"))</f>
        <v/>
      </c>
      <c r="C326" s="25" t="str">
        <f>IF(D326="","",IFERROR(VLOOKUP(D326,Catalogo_Documentos!$A:$B,3,FALSE),"—"))</f>
        <v/>
      </c>
      <c r="D326" s="29"/>
      <c r="E326" s="25" t="str">
        <f>IF(D326="","",IFERROR(VLOOKUP(D326,Catalogo_Documentos!$A:$B,2,FALSE),"—"))</f>
        <v/>
      </c>
      <c r="F326" s="25"/>
      <c r="I326" s="64"/>
    </row>
    <row r="327" spans="1:9">
      <c r="A327" s="28"/>
      <c r="B327" s="26" t="str">
        <f>IF(A327="","",IFERROR(VLOOKUP(A327,Criterios!$A:$G,7,FALSE),"—"))</f>
        <v/>
      </c>
      <c r="C327" s="25" t="str">
        <f>IF(D327="","",IFERROR(VLOOKUP(D327,Catalogo_Documentos!$A:$B,3,FALSE),"—"))</f>
        <v/>
      </c>
      <c r="D327" s="29"/>
      <c r="E327" s="25" t="str">
        <f>IF(D327="","",IFERROR(VLOOKUP(D327,Catalogo_Documentos!$A:$B,2,FALSE),"—"))</f>
        <v/>
      </c>
      <c r="F327" s="25"/>
      <c r="I327" s="64"/>
    </row>
    <row r="328" spans="1:9">
      <c r="A328" s="28"/>
      <c r="B328" s="26" t="str">
        <f>IF(A328="","",IFERROR(VLOOKUP(A328,Criterios!$A:$G,7,FALSE),"—"))</f>
        <v/>
      </c>
      <c r="C328" s="25" t="str">
        <f>IF(D328="","",IFERROR(VLOOKUP(D328,Catalogo_Documentos!$A:$B,3,FALSE),"—"))</f>
        <v/>
      </c>
      <c r="D328" s="29"/>
      <c r="E328" s="25" t="str">
        <f>IF(D328="","",IFERROR(VLOOKUP(D328,Catalogo_Documentos!$A:$B,2,FALSE),"—"))</f>
        <v/>
      </c>
      <c r="F328" s="25"/>
      <c r="I328" s="64"/>
    </row>
    <row r="329" spans="1:9">
      <c r="A329" s="28"/>
      <c r="B329" s="26" t="str">
        <f>IF(A329="","",IFERROR(VLOOKUP(A329,Criterios!$A:$G,7,FALSE),"—"))</f>
        <v/>
      </c>
      <c r="C329" s="25" t="str">
        <f>IF(D329="","",IFERROR(VLOOKUP(D329,Catalogo_Documentos!$A:$B,3,FALSE),"—"))</f>
        <v/>
      </c>
      <c r="D329" s="29"/>
      <c r="E329" s="25" t="str">
        <f>IF(D329="","",IFERROR(VLOOKUP(D329,Catalogo_Documentos!$A:$B,2,FALSE),"—"))</f>
        <v/>
      </c>
      <c r="F329" s="25"/>
      <c r="I329" s="64"/>
    </row>
    <row r="330" spans="1:9">
      <c r="A330" s="28"/>
      <c r="B330" s="26" t="str">
        <f>IF(A330="","",IFERROR(VLOOKUP(A330,Criterios!$A:$G,7,FALSE),"—"))</f>
        <v/>
      </c>
      <c r="C330" s="25" t="str">
        <f>IF(D330="","",IFERROR(VLOOKUP(D330,Catalogo_Documentos!$A:$B,3,FALSE),"—"))</f>
        <v/>
      </c>
      <c r="D330" s="29"/>
      <c r="E330" s="25" t="str">
        <f>IF(D330="","",IFERROR(VLOOKUP(D330,Catalogo_Documentos!$A:$B,2,FALSE),"—"))</f>
        <v/>
      </c>
      <c r="F330" s="25"/>
      <c r="I330" s="64"/>
    </row>
    <row r="331" spans="1:9">
      <c r="A331" s="28"/>
      <c r="B331" s="26" t="str">
        <f>IF(A331="","",IFERROR(VLOOKUP(A331,Criterios!$A:$G,7,FALSE),"—"))</f>
        <v/>
      </c>
      <c r="C331" s="25" t="str">
        <f>IF(D331="","",IFERROR(VLOOKUP(D331,Catalogo_Documentos!$A:$B,3,FALSE),"—"))</f>
        <v/>
      </c>
      <c r="D331" s="29"/>
      <c r="E331" s="25" t="str">
        <f>IF(D331="","",IFERROR(VLOOKUP(D331,Catalogo_Documentos!$A:$B,2,FALSE),"—"))</f>
        <v/>
      </c>
      <c r="F331" s="25"/>
      <c r="I331" s="64"/>
    </row>
    <row r="332" spans="1:9">
      <c r="A332" s="28"/>
      <c r="B332" s="26" t="str">
        <f>IF(A332="","",IFERROR(VLOOKUP(A332,Criterios!$A:$G,7,FALSE),"—"))</f>
        <v/>
      </c>
      <c r="C332" s="25" t="str">
        <f>IF(D332="","",IFERROR(VLOOKUP(D332,Catalogo_Documentos!$A:$B,3,FALSE),"—"))</f>
        <v/>
      </c>
      <c r="D332" s="29"/>
      <c r="E332" s="25" t="str">
        <f>IF(D332="","",IFERROR(VLOOKUP(D332,Catalogo_Documentos!$A:$B,2,FALSE),"—"))</f>
        <v/>
      </c>
      <c r="F332" s="25"/>
      <c r="I332" s="64"/>
    </row>
    <row r="333" spans="1:9">
      <c r="A333" s="28"/>
      <c r="B333" s="26" t="str">
        <f>IF(A333="","",IFERROR(VLOOKUP(A333,Criterios!$A:$G,7,FALSE),"—"))</f>
        <v/>
      </c>
      <c r="C333" s="25" t="str">
        <f>IF(D333="","",IFERROR(VLOOKUP(D333,Catalogo_Documentos!$A:$B,3,FALSE),"—"))</f>
        <v/>
      </c>
      <c r="D333" s="29"/>
      <c r="E333" s="25" t="str">
        <f>IF(D333="","",IFERROR(VLOOKUP(D333,Catalogo_Documentos!$A:$B,2,FALSE),"—"))</f>
        <v/>
      </c>
      <c r="F333" s="25"/>
      <c r="I333" s="64"/>
    </row>
    <row r="334" spans="1:9">
      <c r="A334" s="28"/>
      <c r="B334" s="26" t="str">
        <f>IF(A334="","",IFERROR(VLOOKUP(A334,Criterios!$A:$G,7,FALSE),"—"))</f>
        <v/>
      </c>
      <c r="C334" s="25" t="str">
        <f>IF(D334="","",IFERROR(VLOOKUP(D334,Catalogo_Documentos!$A:$B,3,FALSE),"—"))</f>
        <v/>
      </c>
      <c r="D334" s="29"/>
      <c r="E334" s="25" t="str">
        <f>IF(D334="","",IFERROR(VLOOKUP(D334,Catalogo_Documentos!$A:$B,2,FALSE),"—"))</f>
        <v/>
      </c>
      <c r="F334" s="25"/>
      <c r="I334" s="64"/>
    </row>
    <row r="335" spans="1:9">
      <c r="A335" s="28"/>
      <c r="B335" s="26" t="str">
        <f>IF(A335="","",IFERROR(VLOOKUP(A335,Criterios!$A:$G,7,FALSE),"—"))</f>
        <v/>
      </c>
      <c r="C335" s="25" t="str">
        <f>IF(D335="","",IFERROR(VLOOKUP(D335,Catalogo_Documentos!$A:$B,3,FALSE),"—"))</f>
        <v/>
      </c>
      <c r="D335" s="29"/>
      <c r="E335" s="25" t="str">
        <f>IF(D335="","",IFERROR(VLOOKUP(D335,Catalogo_Documentos!$A:$B,2,FALSE),"—"))</f>
        <v/>
      </c>
      <c r="F335" s="25"/>
      <c r="I335" s="64"/>
    </row>
    <row r="336" spans="1:9">
      <c r="A336" s="28"/>
      <c r="B336" s="26" t="str">
        <f>IF(A336="","",IFERROR(VLOOKUP(A336,Criterios!$A:$G,7,FALSE),"—"))</f>
        <v/>
      </c>
      <c r="C336" s="25" t="str">
        <f>IF(D336="","",IFERROR(VLOOKUP(D336,Catalogo_Documentos!$A:$B,3,FALSE),"—"))</f>
        <v/>
      </c>
      <c r="D336" s="29"/>
      <c r="E336" s="25" t="str">
        <f>IF(D336="","",IFERROR(VLOOKUP(D336,Catalogo_Documentos!$A:$B,2,FALSE),"—"))</f>
        <v/>
      </c>
      <c r="F336" s="25"/>
      <c r="I336" s="64"/>
    </row>
    <row r="337" spans="1:9">
      <c r="A337" s="28"/>
      <c r="B337" s="26" t="str">
        <f>IF(A337="","",IFERROR(VLOOKUP(A337,Criterios!$A:$G,7,FALSE),"—"))</f>
        <v/>
      </c>
      <c r="C337" s="25" t="str">
        <f>IF(D337="","",IFERROR(VLOOKUP(D337,Catalogo_Documentos!$A:$B,3,FALSE),"—"))</f>
        <v/>
      </c>
      <c r="D337" s="29"/>
      <c r="E337" s="25" t="str">
        <f>IF(D337="","",IFERROR(VLOOKUP(D337,Catalogo_Documentos!$A:$B,2,FALSE),"—"))</f>
        <v/>
      </c>
      <c r="F337" s="25"/>
      <c r="I337" s="64"/>
    </row>
    <row r="338" spans="1:9">
      <c r="A338" s="28"/>
      <c r="B338" s="26" t="str">
        <f>IF(A338="","",IFERROR(VLOOKUP(A338,Criterios!$A:$G,7,FALSE),"—"))</f>
        <v/>
      </c>
      <c r="C338" s="25" t="str">
        <f>IF(D338="","",IFERROR(VLOOKUP(D338,Catalogo_Documentos!$A:$B,3,FALSE),"—"))</f>
        <v/>
      </c>
      <c r="D338" s="29"/>
      <c r="E338" s="25" t="str">
        <f>IF(D338="","",IFERROR(VLOOKUP(D338,Catalogo_Documentos!$A:$B,2,FALSE),"—"))</f>
        <v/>
      </c>
      <c r="F338" s="25"/>
      <c r="I338" s="64"/>
    </row>
    <row r="339" spans="1:9">
      <c r="A339" s="28"/>
      <c r="B339" s="26" t="str">
        <f>IF(A339="","",IFERROR(VLOOKUP(A339,Criterios!$A:$G,7,FALSE),"—"))</f>
        <v/>
      </c>
      <c r="C339" s="25" t="str">
        <f>IF(D339="","",IFERROR(VLOOKUP(D339,Catalogo_Documentos!$A:$B,3,FALSE),"—"))</f>
        <v/>
      </c>
      <c r="D339" s="29"/>
      <c r="E339" s="25" t="str">
        <f>IF(D339="","",IFERROR(VLOOKUP(D339,Catalogo_Documentos!$A:$B,2,FALSE),"—"))</f>
        <v/>
      </c>
      <c r="F339" s="25"/>
      <c r="I339" s="64"/>
    </row>
    <row r="340" spans="1:9">
      <c r="A340" s="28"/>
      <c r="B340" s="26" t="str">
        <f>IF(A340="","",IFERROR(VLOOKUP(A340,Criterios!$A:$G,7,FALSE),"—"))</f>
        <v/>
      </c>
      <c r="C340" s="25" t="str">
        <f>IF(D340="","",IFERROR(VLOOKUP(D340,Catalogo_Documentos!$A:$B,3,FALSE),"—"))</f>
        <v/>
      </c>
      <c r="D340" s="29"/>
      <c r="E340" s="25" t="str">
        <f>IF(D340="","",IFERROR(VLOOKUP(D340,Catalogo_Documentos!$A:$B,2,FALSE),"—"))</f>
        <v/>
      </c>
      <c r="F340" s="25"/>
      <c r="I340" s="64"/>
    </row>
    <row r="341" spans="1:9">
      <c r="A341" s="28"/>
      <c r="B341" s="26" t="str">
        <f>IF(A341="","",IFERROR(VLOOKUP(A341,Criterios!$A:$G,7,FALSE),"—"))</f>
        <v/>
      </c>
      <c r="C341" s="25" t="str">
        <f>IF(D341="","",IFERROR(VLOOKUP(D341,Catalogo_Documentos!$A:$B,3,FALSE),"—"))</f>
        <v/>
      </c>
      <c r="D341" s="29"/>
      <c r="E341" s="25" t="str">
        <f>IF(D341="","",IFERROR(VLOOKUP(D341,Catalogo_Documentos!$A:$B,2,FALSE),"—"))</f>
        <v/>
      </c>
      <c r="F341" s="25"/>
      <c r="I341" s="64"/>
    </row>
    <row r="342" spans="1:9">
      <c r="A342" s="28"/>
      <c r="B342" s="26" t="str">
        <f>IF(A342="","",IFERROR(VLOOKUP(A342,Criterios!$A:$G,7,FALSE),"—"))</f>
        <v/>
      </c>
      <c r="C342" s="25" t="str">
        <f>IF(D342="","",IFERROR(VLOOKUP(D342,Catalogo_Documentos!$A:$B,3,FALSE),"—"))</f>
        <v/>
      </c>
      <c r="D342" s="29"/>
      <c r="E342" s="25" t="str">
        <f>IF(D342="","",IFERROR(VLOOKUP(D342,Catalogo_Documentos!$A:$B,2,FALSE),"—"))</f>
        <v/>
      </c>
      <c r="F342" s="25"/>
      <c r="I342" s="64"/>
    </row>
    <row r="343" spans="1:9">
      <c r="A343" s="28"/>
      <c r="B343" s="26" t="str">
        <f>IF(A343="","",IFERROR(VLOOKUP(A343,Criterios!$A:$G,7,FALSE),"—"))</f>
        <v/>
      </c>
      <c r="C343" s="25" t="str">
        <f>IF(D343="","",IFERROR(VLOOKUP(D343,Catalogo_Documentos!$A:$B,3,FALSE),"—"))</f>
        <v/>
      </c>
      <c r="D343" s="29"/>
      <c r="E343" s="25" t="str">
        <f>IF(D343="","",IFERROR(VLOOKUP(D343,Catalogo_Documentos!$A:$B,2,FALSE),"—"))</f>
        <v/>
      </c>
      <c r="F343" s="25"/>
      <c r="I343" s="64"/>
    </row>
    <row r="344" spans="1:9">
      <c r="A344" s="28"/>
      <c r="B344" s="26" t="str">
        <f>IF(A344="","",IFERROR(VLOOKUP(A344,Criterios!$A:$G,7,FALSE),"—"))</f>
        <v/>
      </c>
      <c r="C344" s="25" t="str">
        <f>IF(D344="","",IFERROR(VLOOKUP(D344,Catalogo_Documentos!$A:$B,3,FALSE),"—"))</f>
        <v/>
      </c>
      <c r="D344" s="29"/>
      <c r="E344" s="25" t="str">
        <f>IF(D344="","",IFERROR(VLOOKUP(D344,Catalogo_Documentos!$A:$B,2,FALSE),"—"))</f>
        <v/>
      </c>
      <c r="F344" s="25"/>
      <c r="I344" s="64"/>
    </row>
    <row r="345" spans="1:9">
      <c r="A345" s="28"/>
      <c r="B345" s="26" t="str">
        <f>IF(A345="","",IFERROR(VLOOKUP(A345,Criterios!$A:$G,7,FALSE),"—"))</f>
        <v/>
      </c>
      <c r="C345" s="25" t="str">
        <f>IF(D345="","",IFERROR(VLOOKUP(D345,Catalogo_Documentos!$A:$B,3,FALSE),"—"))</f>
        <v/>
      </c>
      <c r="D345" s="29"/>
      <c r="E345" s="25" t="str">
        <f>IF(D345="","",IFERROR(VLOOKUP(D345,Catalogo_Documentos!$A:$B,2,FALSE),"—"))</f>
        <v/>
      </c>
      <c r="F345" s="25"/>
      <c r="I345" s="64"/>
    </row>
    <row r="346" spans="1:9">
      <c r="A346" s="28"/>
      <c r="B346" s="26" t="str">
        <f>IF(A346="","",IFERROR(VLOOKUP(A346,Criterios!$A:$G,7,FALSE),"—"))</f>
        <v/>
      </c>
      <c r="C346" s="25" t="str">
        <f>IF(D346="","",IFERROR(VLOOKUP(D346,Catalogo_Documentos!$A:$B,3,FALSE),"—"))</f>
        <v/>
      </c>
      <c r="D346" s="29"/>
      <c r="E346" s="25" t="str">
        <f>IF(D346="","",IFERROR(VLOOKUP(D346,Catalogo_Documentos!$A:$B,2,FALSE),"—"))</f>
        <v/>
      </c>
      <c r="F346" s="25"/>
      <c r="I346" s="64"/>
    </row>
    <row r="347" spans="1:9">
      <c r="A347" s="28"/>
      <c r="B347" s="26" t="str">
        <f>IF(A347="","",IFERROR(VLOOKUP(A347,Criterios!$A:$G,7,FALSE),"—"))</f>
        <v/>
      </c>
      <c r="C347" s="25" t="str">
        <f>IF(D347="","",IFERROR(VLOOKUP(D347,Catalogo_Documentos!$A:$B,3,FALSE),"—"))</f>
        <v/>
      </c>
      <c r="D347" s="29"/>
      <c r="E347" s="25" t="str">
        <f>IF(D347="","",IFERROR(VLOOKUP(D347,Catalogo_Documentos!$A:$B,2,FALSE),"—"))</f>
        <v/>
      </c>
      <c r="F347" s="25"/>
      <c r="I347" s="64"/>
    </row>
    <row r="348" spans="1:9">
      <c r="A348" s="28"/>
      <c r="B348" s="26" t="str">
        <f>IF(A348="","",IFERROR(VLOOKUP(A348,Criterios!$A:$G,7,FALSE),"—"))</f>
        <v/>
      </c>
      <c r="C348" s="25" t="str">
        <f>IF(D348="","",IFERROR(VLOOKUP(D348,Catalogo_Documentos!$A:$B,3,FALSE),"—"))</f>
        <v/>
      </c>
      <c r="D348" s="29"/>
      <c r="E348" s="25" t="str">
        <f>IF(D348="","",IFERROR(VLOOKUP(D348,Catalogo_Documentos!$A:$B,2,FALSE),"—"))</f>
        <v/>
      </c>
      <c r="F348" s="25"/>
      <c r="I348" s="64"/>
    </row>
    <row r="349" spans="1:9">
      <c r="A349" s="28"/>
      <c r="B349" s="26" t="str">
        <f>IF(A349="","",IFERROR(VLOOKUP(A349,Criterios!$A:$G,7,FALSE),"—"))</f>
        <v/>
      </c>
      <c r="C349" s="25" t="str">
        <f>IF(D349="","",IFERROR(VLOOKUP(D349,Catalogo_Documentos!$A:$B,3,FALSE),"—"))</f>
        <v/>
      </c>
      <c r="D349" s="29"/>
      <c r="E349" s="25" t="str">
        <f>IF(D349="","",IFERROR(VLOOKUP(D349,Catalogo_Documentos!$A:$B,2,FALSE),"—"))</f>
        <v/>
      </c>
      <c r="F349" s="25"/>
      <c r="I349" s="64"/>
    </row>
    <row r="350" spans="1:9">
      <c r="A350" s="28"/>
      <c r="B350" s="26" t="str">
        <f>IF(A350="","",IFERROR(VLOOKUP(A350,Criterios!$A:$G,7,FALSE),"—"))</f>
        <v/>
      </c>
      <c r="C350" s="25" t="str">
        <f>IF(D350="","",IFERROR(VLOOKUP(D350,Catalogo_Documentos!$A:$B,3,FALSE),"—"))</f>
        <v/>
      </c>
      <c r="D350" s="29"/>
      <c r="E350" s="25" t="str">
        <f>IF(D350="","",IFERROR(VLOOKUP(D350,Catalogo_Documentos!$A:$B,2,FALSE),"—"))</f>
        <v/>
      </c>
      <c r="F350" s="25"/>
      <c r="I350" s="64"/>
    </row>
    <row r="351" spans="1:9">
      <c r="A351" s="28"/>
      <c r="B351" s="26" t="str">
        <f>IF(A351="","",IFERROR(VLOOKUP(A351,Criterios!$A:$G,7,FALSE),"—"))</f>
        <v/>
      </c>
      <c r="C351" s="25" t="str">
        <f>IF(D351="","",IFERROR(VLOOKUP(D351,Catalogo_Documentos!$A:$B,3,FALSE),"—"))</f>
        <v/>
      </c>
      <c r="D351" s="29"/>
      <c r="E351" s="25" t="str">
        <f>IF(D351="","",IFERROR(VLOOKUP(D351,Catalogo_Documentos!$A:$B,2,FALSE),"—"))</f>
        <v/>
      </c>
      <c r="F351" s="25"/>
      <c r="I351" s="64"/>
    </row>
    <row r="352" spans="1:9">
      <c r="A352" s="28"/>
      <c r="B352" s="26" t="str">
        <f>IF(A352="","",IFERROR(VLOOKUP(A352,Criterios!$A:$G,7,FALSE),"—"))</f>
        <v/>
      </c>
      <c r="C352" s="25" t="str">
        <f>IF(D352="","",IFERROR(VLOOKUP(D352,Catalogo_Documentos!$A:$B,3,FALSE),"—"))</f>
        <v/>
      </c>
      <c r="D352" s="29"/>
      <c r="E352" s="25" t="str">
        <f>IF(D352="","",IFERROR(VLOOKUP(D352,Catalogo_Documentos!$A:$B,2,FALSE),"—"))</f>
        <v/>
      </c>
      <c r="F352" s="25"/>
      <c r="I352" s="64"/>
    </row>
    <row r="353" spans="1:9">
      <c r="A353" s="28"/>
      <c r="B353" s="26" t="str">
        <f>IF(A353="","",IFERROR(VLOOKUP(A353,Criterios!$A:$G,7,FALSE),"—"))</f>
        <v/>
      </c>
      <c r="C353" s="25" t="str">
        <f>IF(D353="","",IFERROR(VLOOKUP(D353,Catalogo_Documentos!$A:$B,3,FALSE),"—"))</f>
        <v/>
      </c>
      <c r="D353" s="29"/>
      <c r="E353" s="25" t="str">
        <f>IF(D353="","",IFERROR(VLOOKUP(D353,Catalogo_Documentos!$A:$B,2,FALSE),"—"))</f>
        <v/>
      </c>
      <c r="F353" s="25"/>
      <c r="I353" s="64"/>
    </row>
    <row r="354" spans="1:9">
      <c r="A354" s="28"/>
      <c r="B354" s="26" t="str">
        <f>IF(A354="","",IFERROR(VLOOKUP(A354,Criterios!$A:$G,7,FALSE),"—"))</f>
        <v/>
      </c>
      <c r="C354" s="25" t="str">
        <f>IF(D354="","",IFERROR(VLOOKUP(D354,Catalogo_Documentos!$A:$B,3,FALSE),"—"))</f>
        <v/>
      </c>
      <c r="D354" s="29"/>
      <c r="E354" s="25" t="str">
        <f>IF(D354="","",IFERROR(VLOOKUP(D354,Catalogo_Documentos!$A:$B,2,FALSE),"—"))</f>
        <v/>
      </c>
      <c r="F354" s="25"/>
      <c r="I354" s="64"/>
    </row>
    <row r="355" spans="1:9">
      <c r="A355" s="28"/>
      <c r="B355" s="26" t="str">
        <f>IF(A355="","",IFERROR(VLOOKUP(A355,Criterios!$A:$G,7,FALSE),"—"))</f>
        <v/>
      </c>
      <c r="C355" s="25" t="str">
        <f>IF(D355="","",IFERROR(VLOOKUP(D355,Catalogo_Documentos!$A:$B,3,FALSE),"—"))</f>
        <v/>
      </c>
      <c r="D355" s="29"/>
      <c r="E355" s="25" t="str">
        <f>IF(D355="","",IFERROR(VLOOKUP(D355,Catalogo_Documentos!$A:$B,2,FALSE),"—"))</f>
        <v/>
      </c>
      <c r="F355" s="25"/>
      <c r="I355" s="64"/>
    </row>
    <row r="356" spans="1:9">
      <c r="A356" s="28"/>
      <c r="B356" s="26" t="str">
        <f>IF(A356="","",IFERROR(VLOOKUP(A356,Criterios!$A:$G,7,FALSE),"—"))</f>
        <v/>
      </c>
      <c r="C356" s="25" t="str">
        <f>IF(D356="","",IFERROR(VLOOKUP(D356,Catalogo_Documentos!$A:$B,3,FALSE),"—"))</f>
        <v/>
      </c>
      <c r="D356" s="29"/>
      <c r="E356" s="25" t="str">
        <f>IF(D356="","",IFERROR(VLOOKUP(D356,Catalogo_Documentos!$A:$B,2,FALSE),"—"))</f>
        <v/>
      </c>
      <c r="F356" s="25"/>
      <c r="I356" s="64"/>
    </row>
    <row r="357" spans="1:9">
      <c r="A357" s="28"/>
      <c r="B357" s="26" t="str">
        <f>IF(A357="","",IFERROR(VLOOKUP(A357,Criterios!$A:$G,7,FALSE),"—"))</f>
        <v/>
      </c>
      <c r="C357" s="25" t="str">
        <f>IF(D357="","",IFERROR(VLOOKUP(D357,Catalogo_Documentos!$A:$B,3,FALSE),"—"))</f>
        <v/>
      </c>
      <c r="D357" s="29"/>
      <c r="E357" s="25" t="str">
        <f>IF(D357="","",IFERROR(VLOOKUP(D357,Catalogo_Documentos!$A:$B,2,FALSE),"—"))</f>
        <v/>
      </c>
      <c r="F357" s="25"/>
      <c r="I357" s="64"/>
    </row>
    <row r="358" spans="1:9">
      <c r="A358" s="28"/>
      <c r="B358" s="26" t="str">
        <f>IF(A358="","",IFERROR(VLOOKUP(A358,Criterios!$A:$G,7,FALSE),"—"))</f>
        <v/>
      </c>
      <c r="C358" s="25" t="str">
        <f>IF(D358="","",IFERROR(VLOOKUP(D358,Catalogo_Documentos!$A:$B,3,FALSE),"—"))</f>
        <v/>
      </c>
      <c r="D358" s="29"/>
      <c r="E358" s="25" t="str">
        <f>IF(D358="","",IFERROR(VLOOKUP(D358,Catalogo_Documentos!$A:$B,2,FALSE),"—"))</f>
        <v/>
      </c>
      <c r="F358" s="25"/>
      <c r="I358" s="64"/>
    </row>
    <row r="359" spans="1:9">
      <c r="A359" s="28"/>
      <c r="B359" s="26" t="str">
        <f>IF(A359="","",IFERROR(VLOOKUP(A359,Criterios!$A:$G,7,FALSE),"—"))</f>
        <v/>
      </c>
      <c r="C359" s="25" t="str">
        <f>IF(D359="","",IFERROR(VLOOKUP(D359,Catalogo_Documentos!$A:$B,3,FALSE),"—"))</f>
        <v/>
      </c>
      <c r="D359" s="29"/>
      <c r="E359" s="25" t="str">
        <f>IF(D359="","",IFERROR(VLOOKUP(D359,Catalogo_Documentos!$A:$B,2,FALSE),"—"))</f>
        <v/>
      </c>
      <c r="F359" s="25"/>
      <c r="I359" s="64"/>
    </row>
    <row r="360" spans="1:9">
      <c r="A360" s="28"/>
      <c r="B360" s="26" t="str">
        <f>IF(A360="","",IFERROR(VLOOKUP(A360,Criterios!$A:$G,7,FALSE),"—"))</f>
        <v/>
      </c>
      <c r="C360" s="25" t="str">
        <f>IF(D360="","",IFERROR(VLOOKUP(D360,Catalogo_Documentos!$A:$B,3,FALSE),"—"))</f>
        <v/>
      </c>
      <c r="D360" s="29"/>
      <c r="E360" s="25" t="str">
        <f>IF(D360="","",IFERROR(VLOOKUP(D360,Catalogo_Documentos!$A:$B,2,FALSE),"—"))</f>
        <v/>
      </c>
      <c r="F360" s="25"/>
      <c r="I360" s="64"/>
    </row>
    <row r="361" spans="1:9">
      <c r="A361" s="28"/>
      <c r="B361" s="26" t="str">
        <f>IF(A361="","",IFERROR(VLOOKUP(A361,Criterios!$A:$G,7,FALSE),"—"))</f>
        <v/>
      </c>
      <c r="C361" s="25" t="str">
        <f>IF(D361="","",IFERROR(VLOOKUP(D361,Catalogo_Documentos!$A:$B,3,FALSE),"—"))</f>
        <v/>
      </c>
      <c r="D361" s="29"/>
      <c r="E361" s="25" t="str">
        <f>IF(D361="","",IFERROR(VLOOKUP(D361,Catalogo_Documentos!$A:$B,2,FALSE),"—"))</f>
        <v/>
      </c>
      <c r="F361" s="25"/>
      <c r="I361" s="64"/>
    </row>
    <row r="362" spans="1:9">
      <c r="A362" s="28"/>
      <c r="B362" s="26" t="str">
        <f>IF(A362="","",IFERROR(VLOOKUP(A362,Criterios!$A:$G,7,FALSE),"—"))</f>
        <v/>
      </c>
      <c r="C362" s="25" t="str">
        <f>IF(D362="","",IFERROR(VLOOKUP(D362,Catalogo_Documentos!$A:$B,3,FALSE),"—"))</f>
        <v/>
      </c>
      <c r="D362" s="29"/>
      <c r="E362" s="25" t="str">
        <f>IF(D362="","",IFERROR(VLOOKUP(D362,Catalogo_Documentos!$A:$B,2,FALSE),"—"))</f>
        <v/>
      </c>
      <c r="F362" s="25"/>
      <c r="I362" s="64"/>
    </row>
    <row r="363" spans="1:9">
      <c r="A363" s="28"/>
      <c r="B363" s="26" t="str">
        <f>IF(A363="","",IFERROR(VLOOKUP(A363,Criterios!$A:$G,7,FALSE),"—"))</f>
        <v/>
      </c>
      <c r="C363" s="25" t="str">
        <f>IF(D363="","",IFERROR(VLOOKUP(D363,Catalogo_Documentos!$A:$B,3,FALSE),"—"))</f>
        <v/>
      </c>
      <c r="D363" s="29"/>
      <c r="E363" s="25" t="str">
        <f>IF(D363="","",IFERROR(VLOOKUP(D363,Catalogo_Documentos!$A:$B,2,FALSE),"—"))</f>
        <v/>
      </c>
      <c r="F363" s="25"/>
      <c r="I363" s="64"/>
    </row>
    <row r="364" spans="1:9">
      <c r="A364" s="28"/>
      <c r="B364" s="26" t="str">
        <f>IF(A364="","",IFERROR(VLOOKUP(A364,Criterios!$A:$G,7,FALSE),"—"))</f>
        <v/>
      </c>
      <c r="C364" s="25" t="str">
        <f>IF(D364="","",IFERROR(VLOOKUP(D364,Catalogo_Documentos!$A:$B,3,FALSE),"—"))</f>
        <v/>
      </c>
      <c r="D364" s="29"/>
      <c r="E364" s="25" t="str">
        <f>IF(D364="","",IFERROR(VLOOKUP(D364,Catalogo_Documentos!$A:$B,2,FALSE),"—"))</f>
        <v/>
      </c>
      <c r="F364" s="25"/>
      <c r="I364" s="64"/>
    </row>
    <row r="365" spans="1:9">
      <c r="A365" s="28"/>
      <c r="B365" s="26" t="str">
        <f>IF(A365="","",IFERROR(VLOOKUP(A365,Criterios!$A:$G,7,FALSE),"—"))</f>
        <v/>
      </c>
      <c r="C365" s="25" t="str">
        <f>IF(D365="","",IFERROR(VLOOKUP(D365,Catalogo_Documentos!$A:$B,3,FALSE),"—"))</f>
        <v/>
      </c>
      <c r="D365" s="29"/>
      <c r="E365" s="25" t="str">
        <f>IF(D365="","",IFERROR(VLOOKUP(D365,Catalogo_Documentos!$A:$B,2,FALSE),"—"))</f>
        <v/>
      </c>
      <c r="F365" s="25"/>
      <c r="I365" s="64"/>
    </row>
    <row r="366" spans="1:9">
      <c r="A366" s="28"/>
      <c r="B366" s="26" t="str">
        <f>IF(A366="","",IFERROR(VLOOKUP(A366,Criterios!$A:$G,7,FALSE),"—"))</f>
        <v/>
      </c>
      <c r="C366" s="25" t="str">
        <f>IF(D366="","",IFERROR(VLOOKUP(D366,Catalogo_Documentos!$A:$B,3,FALSE),"—"))</f>
        <v/>
      </c>
      <c r="D366" s="29"/>
      <c r="E366" s="25" t="str">
        <f>IF(D366="","",IFERROR(VLOOKUP(D366,Catalogo_Documentos!$A:$B,2,FALSE),"—"))</f>
        <v/>
      </c>
      <c r="F366" s="25"/>
      <c r="I366" s="64"/>
    </row>
    <row r="367" spans="1:9">
      <c r="A367" s="28"/>
      <c r="B367" s="26" t="str">
        <f>IF(A367="","",IFERROR(VLOOKUP(A367,Criterios!$A:$G,7,FALSE),"—"))</f>
        <v/>
      </c>
      <c r="C367" s="25" t="str">
        <f>IF(D367="","",IFERROR(VLOOKUP(D367,Catalogo_Documentos!$A:$B,3,FALSE),"—"))</f>
        <v/>
      </c>
      <c r="D367" s="29"/>
      <c r="E367" s="25" t="str">
        <f>IF(D367="","",IFERROR(VLOOKUP(D367,Catalogo_Documentos!$A:$B,2,FALSE),"—"))</f>
        <v/>
      </c>
      <c r="F367" s="25"/>
      <c r="I367" s="64"/>
    </row>
    <row r="368" spans="1:9">
      <c r="A368" s="28"/>
      <c r="B368" s="26" t="str">
        <f>IF(A368="","",IFERROR(VLOOKUP(A368,Criterios!$A:$G,7,FALSE),"—"))</f>
        <v/>
      </c>
      <c r="C368" s="25" t="str">
        <f>IF(D368="","",IFERROR(VLOOKUP(D368,Catalogo_Documentos!$A:$B,3,FALSE),"—"))</f>
        <v/>
      </c>
      <c r="D368" s="29"/>
      <c r="E368" s="25" t="str">
        <f>IF(D368="","",IFERROR(VLOOKUP(D368,Catalogo_Documentos!$A:$B,2,FALSE),"—"))</f>
        <v/>
      </c>
      <c r="F368" s="25"/>
      <c r="I368" s="64"/>
    </row>
    <row r="369" spans="1:9">
      <c r="A369" s="28"/>
      <c r="B369" s="26" t="str">
        <f>IF(A369="","",IFERROR(VLOOKUP(A369,Criterios!$A:$G,7,FALSE),"—"))</f>
        <v/>
      </c>
      <c r="C369" s="25" t="str">
        <f>IF(D369="","",IFERROR(VLOOKUP(D369,Catalogo_Documentos!$A:$B,3,FALSE),"—"))</f>
        <v/>
      </c>
      <c r="D369" s="29"/>
      <c r="E369" s="25" t="str">
        <f>IF(D369="","",IFERROR(VLOOKUP(D369,Catalogo_Documentos!$A:$B,2,FALSE),"—"))</f>
        <v/>
      </c>
      <c r="F369" s="25"/>
      <c r="I369" s="64"/>
    </row>
    <row r="370" spans="1:9">
      <c r="A370" s="28"/>
      <c r="B370" s="26" t="str">
        <f>IF(A370="","",IFERROR(VLOOKUP(A370,Criterios!$A:$G,7,FALSE),"—"))</f>
        <v/>
      </c>
      <c r="C370" s="25" t="str">
        <f>IF(D370="","",IFERROR(VLOOKUP(D370,Catalogo_Documentos!$A:$B,3,FALSE),"—"))</f>
        <v/>
      </c>
      <c r="D370" s="29"/>
      <c r="E370" s="25" t="str">
        <f>IF(D370="","",IFERROR(VLOOKUP(D370,Catalogo_Documentos!$A:$B,2,FALSE),"—"))</f>
        <v/>
      </c>
      <c r="F370" s="25"/>
      <c r="I370" s="64"/>
    </row>
    <row r="371" spans="1:9">
      <c r="A371" s="28"/>
      <c r="B371" s="26" t="str">
        <f>IF(A371="","",IFERROR(VLOOKUP(A371,Criterios!$A:$G,7,FALSE),"—"))</f>
        <v/>
      </c>
      <c r="C371" s="25" t="str">
        <f>IF(D371="","",IFERROR(VLOOKUP(D371,Catalogo_Documentos!$A:$B,3,FALSE),"—"))</f>
        <v/>
      </c>
      <c r="D371" s="29"/>
      <c r="E371" s="25" t="str">
        <f>IF(D371="","",IFERROR(VLOOKUP(D371,Catalogo_Documentos!$A:$B,2,FALSE),"—"))</f>
        <v/>
      </c>
      <c r="F371" s="25"/>
      <c r="I371" s="64"/>
    </row>
    <row r="372" spans="1:9">
      <c r="A372" s="28"/>
      <c r="B372" s="26" t="str">
        <f>IF(A372="","",IFERROR(VLOOKUP(A372,Criterios!$A:$G,7,FALSE),"—"))</f>
        <v/>
      </c>
      <c r="C372" s="25" t="str">
        <f>IF(D372="","",IFERROR(VLOOKUP(D372,Catalogo_Documentos!$A:$B,3,FALSE),"—"))</f>
        <v/>
      </c>
      <c r="D372" s="29"/>
      <c r="E372" s="25" t="str">
        <f>IF(D372="","",IFERROR(VLOOKUP(D372,Catalogo_Documentos!$A:$B,2,FALSE),"—"))</f>
        <v/>
      </c>
      <c r="F372" s="25"/>
      <c r="I372" s="64"/>
    </row>
    <row r="373" spans="1:9">
      <c r="A373" s="28"/>
      <c r="B373" s="26" t="str">
        <f>IF(A373="","",IFERROR(VLOOKUP(A373,Criterios!$A:$G,7,FALSE),"—"))</f>
        <v/>
      </c>
      <c r="C373" s="25" t="str">
        <f>IF(D373="","",IFERROR(VLOOKUP(D373,Catalogo_Documentos!$A:$B,3,FALSE),"—"))</f>
        <v/>
      </c>
      <c r="D373" s="29"/>
      <c r="E373" s="25" t="str">
        <f>IF(D373="","",IFERROR(VLOOKUP(D373,Catalogo_Documentos!$A:$B,2,FALSE),"—"))</f>
        <v/>
      </c>
      <c r="F373" s="25"/>
      <c r="I373" s="64"/>
    </row>
    <row r="374" spans="1:9">
      <c r="A374" s="28"/>
      <c r="B374" s="26" t="str">
        <f>IF(A374="","",IFERROR(VLOOKUP(A374,Criterios!$A:$G,7,FALSE),"—"))</f>
        <v/>
      </c>
      <c r="C374" s="25" t="str">
        <f>IF(D374="","",IFERROR(VLOOKUP(D374,Catalogo_Documentos!$A:$B,3,FALSE),"—"))</f>
        <v/>
      </c>
      <c r="D374" s="29"/>
      <c r="E374" s="25" t="str">
        <f>IF(D374="","",IFERROR(VLOOKUP(D374,Catalogo_Documentos!$A:$B,2,FALSE),"—"))</f>
        <v/>
      </c>
      <c r="F374" s="25"/>
      <c r="I374" s="64"/>
    </row>
    <row r="375" spans="1:9">
      <c r="A375" s="28"/>
      <c r="B375" s="26" t="str">
        <f>IF(A375="","",IFERROR(VLOOKUP(A375,Criterios!$A:$G,7,FALSE),"—"))</f>
        <v/>
      </c>
      <c r="C375" s="25" t="str">
        <f>IF(D375="","",IFERROR(VLOOKUP(D375,Catalogo_Documentos!$A:$B,3,FALSE),"—"))</f>
        <v/>
      </c>
      <c r="D375" s="29"/>
      <c r="E375" s="25" t="str">
        <f>IF(D375="","",IFERROR(VLOOKUP(D375,Catalogo_Documentos!$A:$B,2,FALSE),"—"))</f>
        <v/>
      </c>
      <c r="F375" s="25"/>
      <c r="I375" s="64"/>
    </row>
    <row r="376" spans="1:9">
      <c r="A376" s="28"/>
      <c r="B376" s="26" t="str">
        <f>IF(A376="","",IFERROR(VLOOKUP(A376,Criterios!$A:$G,7,FALSE),"—"))</f>
        <v/>
      </c>
      <c r="C376" s="25" t="str">
        <f>IF(D376="","",IFERROR(VLOOKUP(D376,Catalogo_Documentos!$A:$B,3,FALSE),"—"))</f>
        <v/>
      </c>
      <c r="D376" s="29"/>
      <c r="E376" s="25" t="str">
        <f>IF(D376="","",IFERROR(VLOOKUP(D376,Catalogo_Documentos!$A:$B,2,FALSE),"—"))</f>
        <v/>
      </c>
      <c r="F376" s="25"/>
      <c r="I376" s="64"/>
    </row>
    <row r="377" spans="1:9">
      <c r="A377" s="28"/>
      <c r="B377" s="26" t="str">
        <f>IF(A377="","",IFERROR(VLOOKUP(A377,Criterios!$A:$G,7,FALSE),"—"))</f>
        <v/>
      </c>
      <c r="C377" s="25" t="str">
        <f>IF(D377="","",IFERROR(VLOOKUP(D377,Catalogo_Documentos!$A:$B,3,FALSE),"—"))</f>
        <v/>
      </c>
      <c r="D377" s="29"/>
      <c r="E377" s="25" t="str">
        <f>IF(D377="","",IFERROR(VLOOKUP(D377,Catalogo_Documentos!$A:$B,2,FALSE),"—"))</f>
        <v/>
      </c>
      <c r="F377" s="25"/>
      <c r="I377" s="64"/>
    </row>
    <row r="378" spans="1:9">
      <c r="A378" s="28"/>
      <c r="B378" s="26" t="str">
        <f>IF(A378="","",IFERROR(VLOOKUP(A378,Criterios!$A:$G,7,FALSE),"—"))</f>
        <v/>
      </c>
      <c r="C378" s="25" t="str">
        <f>IF(D378="","",IFERROR(VLOOKUP(D378,Catalogo_Documentos!$A:$B,3,FALSE),"—"))</f>
        <v/>
      </c>
      <c r="D378" s="29"/>
      <c r="E378" s="25" t="str">
        <f>IF(D378="","",IFERROR(VLOOKUP(D378,Catalogo_Documentos!$A:$B,2,FALSE),"—"))</f>
        <v/>
      </c>
      <c r="F378" s="25"/>
      <c r="I378" s="64"/>
    </row>
    <row r="379" spans="1:9">
      <c r="A379" s="28"/>
      <c r="B379" s="26" t="str">
        <f>IF(A379="","",IFERROR(VLOOKUP(A379,Criterios!$A:$G,7,FALSE),"—"))</f>
        <v/>
      </c>
      <c r="C379" s="25" t="str">
        <f>IF(D379="","",IFERROR(VLOOKUP(D379,Catalogo_Documentos!$A:$B,3,FALSE),"—"))</f>
        <v/>
      </c>
      <c r="D379" s="29"/>
      <c r="E379" s="25" t="str">
        <f>IF(D379="","",IFERROR(VLOOKUP(D379,Catalogo_Documentos!$A:$B,2,FALSE),"—"))</f>
        <v/>
      </c>
      <c r="F379" s="25"/>
      <c r="I379" s="64"/>
    </row>
    <row r="380" spans="1:9">
      <c r="A380" s="28"/>
      <c r="B380" s="26" t="str">
        <f>IF(A380="","",IFERROR(VLOOKUP(A380,Criterios!$A:$G,7,FALSE),"—"))</f>
        <v/>
      </c>
      <c r="C380" s="25" t="str">
        <f>IF(D380="","",IFERROR(VLOOKUP(D380,Catalogo_Documentos!$A:$B,3,FALSE),"—"))</f>
        <v/>
      </c>
      <c r="D380" s="29"/>
      <c r="E380" s="25" t="str">
        <f>IF(D380="","",IFERROR(VLOOKUP(D380,Catalogo_Documentos!$A:$B,2,FALSE),"—"))</f>
        <v/>
      </c>
      <c r="F380" s="25"/>
      <c r="I380" s="64"/>
    </row>
    <row r="381" spans="1:9">
      <c r="A381" s="28"/>
      <c r="B381" s="26" t="str">
        <f>IF(A381="","",IFERROR(VLOOKUP(A381,Criterios!$A:$G,7,FALSE),"—"))</f>
        <v/>
      </c>
      <c r="C381" s="25" t="str">
        <f>IF(D381="","",IFERROR(VLOOKUP(D381,Catalogo_Documentos!$A:$B,3,FALSE),"—"))</f>
        <v/>
      </c>
      <c r="D381" s="29"/>
      <c r="E381" s="25" t="str">
        <f>IF(D381="","",IFERROR(VLOOKUP(D381,Catalogo_Documentos!$A:$B,2,FALSE),"—"))</f>
        <v/>
      </c>
      <c r="F381" s="25"/>
      <c r="I381" s="64"/>
    </row>
    <row r="382" spans="1:9">
      <c r="A382" s="28"/>
      <c r="B382" s="26" t="str">
        <f>IF(A382="","",IFERROR(VLOOKUP(A382,Criterios!$A:$G,7,FALSE),"—"))</f>
        <v/>
      </c>
      <c r="C382" s="25" t="str">
        <f>IF(D382="","",IFERROR(VLOOKUP(D382,Catalogo_Documentos!$A:$B,3,FALSE),"—"))</f>
        <v/>
      </c>
      <c r="D382" s="29"/>
      <c r="E382" s="25" t="str">
        <f>IF(D382="","",IFERROR(VLOOKUP(D382,Catalogo_Documentos!$A:$B,2,FALSE),"—"))</f>
        <v/>
      </c>
      <c r="F382" s="25"/>
      <c r="I382" s="64"/>
    </row>
    <row r="383" spans="1:9">
      <c r="A383" s="28"/>
      <c r="B383" s="26" t="str">
        <f>IF(A383="","",IFERROR(VLOOKUP(A383,Criterios!$A:$G,7,FALSE),"—"))</f>
        <v/>
      </c>
      <c r="C383" s="25" t="str">
        <f>IF(D383="","",IFERROR(VLOOKUP(D383,Catalogo_Documentos!$A:$B,3,FALSE),"—"))</f>
        <v/>
      </c>
      <c r="D383" s="29"/>
      <c r="E383" s="25" t="str">
        <f>IF(D383="","",IFERROR(VLOOKUP(D383,Catalogo_Documentos!$A:$B,2,FALSE),"—"))</f>
        <v/>
      </c>
      <c r="F383" s="25"/>
      <c r="I383" s="64"/>
    </row>
    <row r="384" spans="1:9">
      <c r="A384" s="28"/>
      <c r="B384" s="26" t="str">
        <f>IF(A384="","",IFERROR(VLOOKUP(A384,Criterios!$A:$G,7,FALSE),"—"))</f>
        <v/>
      </c>
      <c r="C384" s="25" t="str">
        <f>IF(D384="","",IFERROR(VLOOKUP(D384,Catalogo_Documentos!$A:$B,3,FALSE),"—"))</f>
        <v/>
      </c>
      <c r="D384" s="29"/>
      <c r="E384" s="25" t="str">
        <f>IF(D384="","",IFERROR(VLOOKUP(D384,Catalogo_Documentos!$A:$B,2,FALSE),"—"))</f>
        <v/>
      </c>
      <c r="F384" s="25"/>
      <c r="I384" s="64"/>
    </row>
    <row r="385" spans="1:9">
      <c r="A385" s="28"/>
      <c r="B385" s="26" t="str">
        <f>IF(A385="","",IFERROR(VLOOKUP(A385,Criterios!$A:$G,7,FALSE),"—"))</f>
        <v/>
      </c>
      <c r="C385" s="25" t="str">
        <f>IF(D385="","",IFERROR(VLOOKUP(D385,Catalogo_Documentos!$A:$B,3,FALSE),"—"))</f>
        <v/>
      </c>
      <c r="D385" s="29"/>
      <c r="E385" s="25" t="str">
        <f>IF(D385="","",IFERROR(VLOOKUP(D385,Catalogo_Documentos!$A:$B,2,FALSE),"—"))</f>
        <v/>
      </c>
      <c r="F385" s="25"/>
      <c r="I385" s="64"/>
    </row>
    <row r="386" spans="1:9">
      <c r="A386" s="28"/>
      <c r="B386" s="26" t="str">
        <f>IF(A386="","",IFERROR(VLOOKUP(A386,Criterios!$A:$G,7,FALSE),"—"))</f>
        <v/>
      </c>
      <c r="C386" s="25" t="str">
        <f>IF(D386="","",IFERROR(VLOOKUP(D386,Catalogo_Documentos!$A:$B,3,FALSE),"—"))</f>
        <v/>
      </c>
      <c r="D386" s="29"/>
      <c r="E386" s="25" t="str">
        <f>IF(D386="","",IFERROR(VLOOKUP(D386,Catalogo_Documentos!$A:$B,2,FALSE),"—"))</f>
        <v/>
      </c>
      <c r="F386" s="25"/>
      <c r="I386" s="64"/>
    </row>
    <row r="387" spans="1:9">
      <c r="A387" s="28"/>
      <c r="B387" s="26" t="str">
        <f>IF(A387="","",IFERROR(VLOOKUP(A387,Criterios!$A:$G,7,FALSE),"—"))</f>
        <v/>
      </c>
      <c r="C387" s="25" t="str">
        <f>IF(D387="","",IFERROR(VLOOKUP(D387,Catalogo_Documentos!$A:$B,3,FALSE),"—"))</f>
        <v/>
      </c>
      <c r="D387" s="29"/>
      <c r="E387" s="25" t="str">
        <f>IF(D387="","",IFERROR(VLOOKUP(D387,Catalogo_Documentos!$A:$B,2,FALSE),"—"))</f>
        <v/>
      </c>
      <c r="F387" s="25"/>
      <c r="I387" s="64"/>
    </row>
    <row r="388" spans="1:9">
      <c r="A388" s="28"/>
      <c r="B388" s="26" t="str">
        <f>IF(A388="","",IFERROR(VLOOKUP(A388,Criterios!$A:$G,7,FALSE),"—"))</f>
        <v/>
      </c>
      <c r="C388" s="25" t="str">
        <f>IF(D388="","",IFERROR(VLOOKUP(D388,Catalogo_Documentos!$A:$B,3,FALSE),"—"))</f>
        <v/>
      </c>
      <c r="D388" s="29"/>
      <c r="E388" s="25" t="str">
        <f>IF(D388="","",IFERROR(VLOOKUP(D388,Catalogo_Documentos!$A:$B,2,FALSE),"—"))</f>
        <v/>
      </c>
      <c r="F388" s="25"/>
      <c r="I388" s="64"/>
    </row>
    <row r="389" spans="1:9">
      <c r="A389" s="28"/>
      <c r="B389" s="26" t="str">
        <f>IF(A389="","",IFERROR(VLOOKUP(A389,Criterios!$A:$G,7,FALSE),"—"))</f>
        <v/>
      </c>
      <c r="C389" s="25" t="str">
        <f>IF(D389="","",IFERROR(VLOOKUP(D389,Catalogo_Documentos!$A:$B,3,FALSE),"—"))</f>
        <v/>
      </c>
      <c r="D389" s="29"/>
      <c r="E389" s="25" t="str">
        <f>IF(D389="","",IFERROR(VLOOKUP(D389,Catalogo_Documentos!$A:$B,2,FALSE),"—"))</f>
        <v/>
      </c>
      <c r="F389" s="25"/>
      <c r="I389" s="64"/>
    </row>
    <row r="390" spans="1:9">
      <c r="A390" s="28"/>
      <c r="B390" s="26" t="str">
        <f>IF(A390="","",IFERROR(VLOOKUP(A390,Criterios!$A:$G,7,FALSE),"—"))</f>
        <v/>
      </c>
      <c r="C390" s="25" t="str">
        <f>IF(D390="","",IFERROR(VLOOKUP(D390,Catalogo_Documentos!$A:$B,3,FALSE),"—"))</f>
        <v/>
      </c>
      <c r="D390" s="29"/>
      <c r="E390" s="25" t="str">
        <f>IF(D390="","",IFERROR(VLOOKUP(D390,Catalogo_Documentos!$A:$B,2,FALSE),"—"))</f>
        <v/>
      </c>
      <c r="F390" s="25"/>
      <c r="I390" s="64"/>
    </row>
    <row r="391" spans="1:9">
      <c r="A391" s="28"/>
      <c r="B391" s="26" t="str">
        <f>IF(A391="","",IFERROR(VLOOKUP(A391,Criterios!$A:$G,7,FALSE),"—"))</f>
        <v/>
      </c>
      <c r="C391" s="25" t="str">
        <f>IF(D391="","",IFERROR(VLOOKUP(D391,Catalogo_Documentos!$A:$B,3,FALSE),"—"))</f>
        <v/>
      </c>
      <c r="D391" s="29"/>
      <c r="E391" s="25" t="str">
        <f>IF(D391="","",IFERROR(VLOOKUP(D391,Catalogo_Documentos!$A:$B,2,FALSE),"—"))</f>
        <v/>
      </c>
      <c r="F391" s="25"/>
      <c r="I391" s="64"/>
    </row>
    <row r="392" spans="1:9">
      <c r="A392" s="28"/>
      <c r="B392" s="26" t="str">
        <f>IF(A392="","",IFERROR(VLOOKUP(A392,Criterios!$A:$G,7,FALSE),"—"))</f>
        <v/>
      </c>
      <c r="C392" s="25" t="str">
        <f>IF(D392="","",IFERROR(VLOOKUP(D392,Catalogo_Documentos!$A:$B,3,FALSE),"—"))</f>
        <v/>
      </c>
      <c r="D392" s="29"/>
      <c r="E392" s="25" t="str">
        <f>IF(D392="","",IFERROR(VLOOKUP(D392,Catalogo_Documentos!$A:$B,2,FALSE),"—"))</f>
        <v/>
      </c>
      <c r="F392" s="25"/>
      <c r="I392" s="64"/>
    </row>
    <row r="393" spans="1:9">
      <c r="A393" s="28"/>
      <c r="B393" s="26" t="str">
        <f>IF(A393="","",IFERROR(VLOOKUP(A393,Criterios!$A:$G,7,FALSE),"—"))</f>
        <v/>
      </c>
      <c r="C393" s="25" t="str">
        <f>IF(D393="","",IFERROR(VLOOKUP(D393,Catalogo_Documentos!$A:$B,3,FALSE),"—"))</f>
        <v/>
      </c>
      <c r="D393" s="29"/>
      <c r="E393" s="25" t="str">
        <f>IF(D393="","",IFERROR(VLOOKUP(D393,Catalogo_Documentos!$A:$B,2,FALSE),"—"))</f>
        <v/>
      </c>
      <c r="F393" s="25"/>
      <c r="I393" s="64"/>
    </row>
    <row r="394" spans="1:9">
      <c r="A394" s="28"/>
      <c r="B394" s="26" t="str">
        <f>IF(A394="","",IFERROR(VLOOKUP(A394,Criterios!$A:$G,7,FALSE),"—"))</f>
        <v/>
      </c>
      <c r="C394" s="25" t="str">
        <f>IF(D394="","",IFERROR(VLOOKUP(D394,Catalogo_Documentos!$A:$B,3,FALSE),"—"))</f>
        <v/>
      </c>
      <c r="D394" s="29"/>
      <c r="E394" s="25" t="str">
        <f>IF(D394="","",IFERROR(VLOOKUP(D394,Catalogo_Documentos!$A:$B,2,FALSE),"—"))</f>
        <v/>
      </c>
      <c r="F394" s="25"/>
      <c r="I394" s="64"/>
    </row>
    <row r="395" spans="1:9">
      <c r="A395" s="28"/>
      <c r="B395" s="26" t="str">
        <f>IF(A395="","",IFERROR(VLOOKUP(A395,Criterios!$A:$G,7,FALSE),"—"))</f>
        <v/>
      </c>
      <c r="C395" s="25" t="str">
        <f>IF(D395="","",IFERROR(VLOOKUP(D395,Catalogo_Documentos!$A:$B,3,FALSE),"—"))</f>
        <v/>
      </c>
      <c r="D395" s="29"/>
      <c r="E395" s="25" t="str">
        <f>IF(D395="","",IFERROR(VLOOKUP(D395,Catalogo_Documentos!$A:$B,2,FALSE),"—"))</f>
        <v/>
      </c>
      <c r="F395" s="25"/>
      <c r="I395" s="64"/>
    </row>
    <row r="396" spans="1:9">
      <c r="A396" s="28"/>
      <c r="B396" s="26" t="str">
        <f>IF(A396="","",IFERROR(VLOOKUP(A396,Criterios!$A:$G,7,FALSE),"—"))</f>
        <v/>
      </c>
      <c r="C396" s="25" t="str">
        <f>IF(D396="","",IFERROR(VLOOKUP(D396,Catalogo_Documentos!$A:$B,3,FALSE),"—"))</f>
        <v/>
      </c>
      <c r="D396" s="29"/>
      <c r="E396" s="25" t="str">
        <f>IF(D396="","",IFERROR(VLOOKUP(D396,Catalogo_Documentos!$A:$B,2,FALSE),"—"))</f>
        <v/>
      </c>
      <c r="F396" s="25"/>
      <c r="I396" s="64"/>
    </row>
    <row r="397" spans="1:9">
      <c r="A397" s="28"/>
      <c r="B397" s="26" t="str">
        <f>IF(A397="","",IFERROR(VLOOKUP(A397,Criterios!$A:$G,7,FALSE),"—"))</f>
        <v/>
      </c>
      <c r="C397" s="25" t="str">
        <f>IF(D397="","",IFERROR(VLOOKUP(D397,Catalogo_Documentos!$A:$B,3,FALSE),"—"))</f>
        <v/>
      </c>
      <c r="D397" s="29"/>
      <c r="E397" s="25" t="str">
        <f>IF(D397="","",IFERROR(VLOOKUP(D397,Catalogo_Documentos!$A:$B,2,FALSE),"—"))</f>
        <v/>
      </c>
      <c r="F397" s="25"/>
      <c r="I397" s="64"/>
    </row>
    <row r="398" spans="1:9">
      <c r="A398" s="28"/>
      <c r="B398" s="26" t="str">
        <f>IF(A398="","",IFERROR(VLOOKUP(A398,Criterios!$A:$G,7,FALSE),"—"))</f>
        <v/>
      </c>
      <c r="C398" s="25" t="str">
        <f>IF(D398="","",IFERROR(VLOOKUP(D398,Catalogo_Documentos!$A:$B,3,FALSE),"—"))</f>
        <v/>
      </c>
      <c r="D398" s="29"/>
      <c r="E398" s="25" t="str">
        <f>IF(D398="","",IFERROR(VLOOKUP(D398,Catalogo_Documentos!$A:$B,2,FALSE),"—"))</f>
        <v/>
      </c>
      <c r="F398" s="25"/>
      <c r="I398" s="64"/>
    </row>
    <row r="399" spans="1:9">
      <c r="A399" s="28"/>
      <c r="B399" s="26" t="str">
        <f>IF(A399="","",IFERROR(VLOOKUP(A399,Criterios!$A:$G,7,FALSE),"—"))</f>
        <v/>
      </c>
      <c r="C399" s="25" t="str">
        <f>IF(D399="","",IFERROR(VLOOKUP(D399,Catalogo_Documentos!$A:$B,3,FALSE),"—"))</f>
        <v/>
      </c>
      <c r="D399" s="29"/>
      <c r="E399" s="25" t="str">
        <f>IF(D399="","",IFERROR(VLOOKUP(D399,Catalogo_Documentos!$A:$B,2,FALSE),"—"))</f>
        <v/>
      </c>
      <c r="F399" s="25"/>
      <c r="I399" s="64"/>
    </row>
    <row r="400" spans="1:9">
      <c r="A400" s="28"/>
      <c r="B400" s="26" t="str">
        <f>IF(A400="","",IFERROR(VLOOKUP(A400,Criterios!$A:$G,7,FALSE),"—"))</f>
        <v/>
      </c>
      <c r="C400" s="25" t="str">
        <f>IF(D400="","",IFERROR(VLOOKUP(D400,Catalogo_Documentos!$A:$B,3,FALSE),"—"))</f>
        <v/>
      </c>
      <c r="D400" s="29"/>
      <c r="E400" s="25" t="str">
        <f>IF(D400="","",IFERROR(VLOOKUP(D400,Catalogo_Documentos!$A:$B,2,FALSE),"—"))</f>
        <v/>
      </c>
      <c r="F400" s="25"/>
      <c r="I400" s="64"/>
    </row>
    <row r="401" spans="1:9">
      <c r="A401" s="28"/>
      <c r="B401" s="26" t="str">
        <f>IF(A401="","",IFERROR(VLOOKUP(A401,Criterios!$A:$G,7,FALSE),"—"))</f>
        <v/>
      </c>
      <c r="C401" s="25" t="str">
        <f>IF(D401="","",IFERROR(VLOOKUP(D401,Catalogo_Documentos!$A:$B,3,FALSE),"—"))</f>
        <v/>
      </c>
      <c r="D401" s="29"/>
      <c r="E401" s="25" t="str">
        <f>IF(D401="","",IFERROR(VLOOKUP(D401,Catalogo_Documentos!$A:$B,2,FALSE),"—"))</f>
        <v/>
      </c>
      <c r="F401" s="25"/>
      <c r="I401" s="64"/>
    </row>
    <row r="402" spans="1:9">
      <c r="A402" s="28"/>
      <c r="B402" s="26" t="str">
        <f>IF(A402="","",IFERROR(VLOOKUP(A402,Criterios!$A:$G,7,FALSE),"—"))</f>
        <v/>
      </c>
      <c r="C402" s="25" t="str">
        <f>IF(D402="","",IFERROR(VLOOKUP(D402,Catalogo_Documentos!$A:$B,3,FALSE),"—"))</f>
        <v/>
      </c>
      <c r="D402" s="29"/>
      <c r="E402" s="25" t="str">
        <f>IF(D402="","",IFERROR(VLOOKUP(D402,Catalogo_Documentos!$A:$B,2,FALSE),"—"))</f>
        <v/>
      </c>
      <c r="F402" s="25"/>
      <c r="I402" s="64"/>
    </row>
    <row r="403" spans="1:9">
      <c r="A403" s="28"/>
      <c r="B403" s="26" t="str">
        <f>IF(A403="","",IFERROR(VLOOKUP(A403,Criterios!$A:$G,7,FALSE),"—"))</f>
        <v/>
      </c>
      <c r="C403" s="25" t="str">
        <f>IF(D403="","",IFERROR(VLOOKUP(D403,Catalogo_Documentos!$A:$B,3,FALSE),"—"))</f>
        <v/>
      </c>
      <c r="D403" s="29"/>
      <c r="E403" s="25" t="str">
        <f>IF(D403="","",IFERROR(VLOOKUP(D403,Catalogo_Documentos!$A:$B,2,FALSE),"—"))</f>
        <v/>
      </c>
      <c r="F403" s="25"/>
      <c r="I403" s="64"/>
    </row>
    <row r="404" spans="1:9">
      <c r="A404" s="28"/>
      <c r="B404" s="26" t="str">
        <f>IF(A404="","",IFERROR(VLOOKUP(A404,Criterios!$A:$G,7,FALSE),"—"))</f>
        <v/>
      </c>
      <c r="C404" s="25" t="str">
        <f>IF(D404="","",IFERROR(VLOOKUP(D404,Catalogo_Documentos!$A:$B,3,FALSE),"—"))</f>
        <v/>
      </c>
      <c r="D404" s="29"/>
      <c r="E404" s="25" t="str">
        <f>IF(D404="","",IFERROR(VLOOKUP(D404,Catalogo_Documentos!$A:$B,2,FALSE),"—"))</f>
        <v/>
      </c>
      <c r="F404" s="25"/>
      <c r="I404" s="64"/>
    </row>
    <row r="405" spans="1:9">
      <c r="A405" s="28"/>
      <c r="B405" s="26" t="str">
        <f>IF(A405="","",IFERROR(VLOOKUP(A405,Criterios!$A:$G,7,FALSE),"—"))</f>
        <v/>
      </c>
      <c r="C405" s="25" t="str">
        <f>IF(D405="","",IFERROR(VLOOKUP(D405,Catalogo_Documentos!$A:$B,3,FALSE),"—"))</f>
        <v/>
      </c>
      <c r="D405" s="29"/>
      <c r="E405" s="25" t="str">
        <f>IF(D405="","",IFERROR(VLOOKUP(D405,Catalogo_Documentos!$A:$B,2,FALSE),"—"))</f>
        <v/>
      </c>
      <c r="F405" s="25"/>
      <c r="I405" s="64"/>
    </row>
    <row r="406" spans="1:9">
      <c r="A406" s="28"/>
      <c r="B406" s="26" t="str">
        <f>IF(A406="","",IFERROR(VLOOKUP(A406,Criterios!$A:$G,7,FALSE),"—"))</f>
        <v/>
      </c>
      <c r="C406" s="25" t="str">
        <f>IF(D406="","",IFERROR(VLOOKUP(D406,Catalogo_Documentos!$A:$B,3,FALSE),"—"))</f>
        <v/>
      </c>
      <c r="D406" s="29"/>
      <c r="E406" s="25" t="str">
        <f>IF(D406="","",IFERROR(VLOOKUP(D406,Catalogo_Documentos!$A:$B,2,FALSE),"—"))</f>
        <v/>
      </c>
      <c r="F406" s="25"/>
      <c r="I406" s="64"/>
    </row>
    <row r="407" spans="1:9">
      <c r="A407" s="28"/>
      <c r="B407" s="26" t="str">
        <f>IF(A407="","",IFERROR(VLOOKUP(A407,Criterios!$A:$G,7,FALSE),"—"))</f>
        <v/>
      </c>
      <c r="C407" s="25" t="str">
        <f>IF(D407="","",IFERROR(VLOOKUP(D407,Catalogo_Documentos!$A:$B,3,FALSE),"—"))</f>
        <v/>
      </c>
      <c r="D407" s="29"/>
      <c r="E407" s="25" t="str">
        <f>IF(D407="","",IFERROR(VLOOKUP(D407,Catalogo_Documentos!$A:$B,2,FALSE),"—"))</f>
        <v/>
      </c>
      <c r="F407" s="25"/>
      <c r="I407" s="64"/>
    </row>
    <row r="408" spans="1:9">
      <c r="A408" s="28"/>
      <c r="B408" s="26" t="str">
        <f>IF(A408="","",IFERROR(VLOOKUP(A408,Criterios!$A:$G,7,FALSE),"—"))</f>
        <v/>
      </c>
      <c r="C408" s="25" t="str">
        <f>IF(D408="","",IFERROR(VLOOKUP(D408,Catalogo_Documentos!$A:$B,3,FALSE),"—"))</f>
        <v/>
      </c>
      <c r="D408" s="29"/>
      <c r="E408" s="25" t="str">
        <f>IF(D408="","",IFERROR(VLOOKUP(D408,Catalogo_Documentos!$A:$B,2,FALSE),"—"))</f>
        <v/>
      </c>
      <c r="F408" s="25"/>
      <c r="I408" s="64"/>
    </row>
    <row r="409" spans="1:9">
      <c r="A409" s="28"/>
      <c r="B409" s="26" t="str">
        <f>IF(A409="","",IFERROR(VLOOKUP(A409,Criterios!$A:$G,7,FALSE),"—"))</f>
        <v/>
      </c>
      <c r="C409" s="25" t="str">
        <f>IF(D409="","",IFERROR(VLOOKUP(D409,Catalogo_Documentos!$A:$B,3,FALSE),"—"))</f>
        <v/>
      </c>
      <c r="D409" s="29"/>
      <c r="E409" s="25" t="str">
        <f>IF(D409="","",IFERROR(VLOOKUP(D409,Catalogo_Documentos!$A:$B,2,FALSE),"—"))</f>
        <v/>
      </c>
      <c r="F409" s="25"/>
      <c r="I409" s="64"/>
    </row>
    <row r="410" spans="1:9">
      <c r="A410" s="28"/>
      <c r="B410" s="26" t="str">
        <f>IF(A410="","",IFERROR(VLOOKUP(A410,Criterios!$A:$G,7,FALSE),"—"))</f>
        <v/>
      </c>
      <c r="C410" s="25" t="str">
        <f>IF(D410="","",IFERROR(VLOOKUP(D410,Catalogo_Documentos!$A:$B,3,FALSE),"—"))</f>
        <v/>
      </c>
      <c r="D410" s="29"/>
      <c r="E410" s="25" t="str">
        <f>IF(D410="","",IFERROR(VLOOKUP(D410,Catalogo_Documentos!$A:$B,2,FALSE),"—"))</f>
        <v/>
      </c>
      <c r="F410" s="25"/>
      <c r="I410" s="64"/>
    </row>
    <row r="411" spans="1:9">
      <c r="A411" s="28"/>
      <c r="B411" s="26" t="str">
        <f>IF(A411="","",IFERROR(VLOOKUP(A411,Criterios!$A:$G,7,FALSE),"—"))</f>
        <v/>
      </c>
      <c r="C411" s="25" t="str">
        <f>IF(D411="","",IFERROR(VLOOKUP(D411,Catalogo_Documentos!$A:$B,3,FALSE),"—"))</f>
        <v/>
      </c>
      <c r="D411" s="29"/>
      <c r="E411" s="25" t="str">
        <f>IF(D411="","",IFERROR(VLOOKUP(D411,Catalogo_Documentos!$A:$B,2,FALSE),"—"))</f>
        <v/>
      </c>
      <c r="F411" s="25"/>
      <c r="I411" s="64"/>
    </row>
    <row r="412" spans="1:9">
      <c r="A412" s="28"/>
      <c r="B412" s="26" t="str">
        <f>IF(A412="","",IFERROR(VLOOKUP(A412,Criterios!$A:$G,7,FALSE),"—"))</f>
        <v/>
      </c>
      <c r="C412" s="25" t="str">
        <f>IF(D412="","",IFERROR(VLOOKUP(D412,Catalogo_Documentos!$A:$B,3,FALSE),"—"))</f>
        <v/>
      </c>
      <c r="D412" s="29"/>
      <c r="E412" s="25" t="str">
        <f>IF(D412="","",IFERROR(VLOOKUP(D412,Catalogo_Documentos!$A:$B,2,FALSE),"—"))</f>
        <v/>
      </c>
      <c r="F412" s="25"/>
      <c r="I412" s="64"/>
    </row>
    <row r="413" spans="1:9">
      <c r="A413" s="28"/>
      <c r="B413" s="26" t="str">
        <f>IF(A413="","",IFERROR(VLOOKUP(A413,Criterios!$A:$G,7,FALSE),"—"))</f>
        <v/>
      </c>
      <c r="C413" s="25" t="str">
        <f>IF(D413="","",IFERROR(VLOOKUP(D413,Catalogo_Documentos!$A:$B,3,FALSE),"—"))</f>
        <v/>
      </c>
      <c r="D413" s="29"/>
      <c r="E413" s="25" t="str">
        <f>IF(D413="","",IFERROR(VLOOKUP(D413,Catalogo_Documentos!$A:$B,2,FALSE),"—"))</f>
        <v/>
      </c>
      <c r="F413" s="25"/>
      <c r="I413" s="64"/>
    </row>
    <row r="414" spans="1:9">
      <c r="A414" s="28"/>
      <c r="B414" s="26" t="str">
        <f>IF(A414="","",IFERROR(VLOOKUP(A414,Criterios!$A:$G,7,FALSE),"—"))</f>
        <v/>
      </c>
      <c r="C414" s="25" t="str">
        <f>IF(D414="","",IFERROR(VLOOKUP(D414,Catalogo_Documentos!$A:$B,3,FALSE),"—"))</f>
        <v/>
      </c>
      <c r="D414" s="29"/>
      <c r="E414" s="25" t="str">
        <f>IF(D414="","",IFERROR(VLOOKUP(D414,Catalogo_Documentos!$A:$B,2,FALSE),"—"))</f>
        <v/>
      </c>
      <c r="F414" s="25"/>
      <c r="I414" s="64"/>
    </row>
    <row r="415" spans="1:9">
      <c r="A415" s="28"/>
      <c r="B415" s="26" t="str">
        <f>IF(A415="","",IFERROR(VLOOKUP(A415,Criterios!$A:$G,7,FALSE),"—"))</f>
        <v/>
      </c>
      <c r="C415" s="25" t="str">
        <f>IF(D415="","",IFERROR(VLOOKUP(D415,Catalogo_Documentos!$A:$B,3,FALSE),"—"))</f>
        <v/>
      </c>
      <c r="D415" s="29"/>
      <c r="E415" s="25" t="str">
        <f>IF(D415="","",IFERROR(VLOOKUP(D415,Catalogo_Documentos!$A:$B,2,FALSE),"—"))</f>
        <v/>
      </c>
      <c r="F415" s="25"/>
      <c r="I415" s="64"/>
    </row>
    <row r="416" spans="1:9">
      <c r="A416" s="28"/>
      <c r="B416" s="26" t="str">
        <f>IF(A416="","",IFERROR(VLOOKUP(A416,Criterios!$A:$G,7,FALSE),"—"))</f>
        <v/>
      </c>
      <c r="C416" s="25" t="str">
        <f>IF(D416="","",IFERROR(VLOOKUP(D416,Catalogo_Documentos!$A:$B,3,FALSE),"—"))</f>
        <v/>
      </c>
      <c r="D416" s="29"/>
      <c r="E416" s="25" t="str">
        <f>IF(D416="","",IFERROR(VLOOKUP(D416,Catalogo_Documentos!$A:$B,2,FALSE),"—"))</f>
        <v/>
      </c>
      <c r="F416" s="25"/>
      <c r="I416" s="64"/>
    </row>
    <row r="417" spans="1:9">
      <c r="A417" s="28"/>
      <c r="B417" s="26" t="str">
        <f>IF(A417="","",IFERROR(VLOOKUP(A417,Criterios!$A:$G,7,FALSE),"—"))</f>
        <v/>
      </c>
      <c r="C417" s="25" t="str">
        <f>IF(D417="","",IFERROR(VLOOKUP(D417,Catalogo_Documentos!$A:$B,3,FALSE),"—"))</f>
        <v/>
      </c>
      <c r="D417" s="29"/>
      <c r="E417" s="25" t="str">
        <f>IF(D417="","",IFERROR(VLOOKUP(D417,Catalogo_Documentos!$A:$B,2,FALSE),"—"))</f>
        <v/>
      </c>
      <c r="F417" s="25"/>
      <c r="I417" s="64"/>
    </row>
    <row r="418" spans="1:9">
      <c r="A418" s="28"/>
      <c r="B418" s="26" t="str">
        <f>IF(A418="","",IFERROR(VLOOKUP(A418,Criterios!$A:$G,7,FALSE),"—"))</f>
        <v/>
      </c>
      <c r="C418" s="25" t="str">
        <f>IF(D418="","",IFERROR(VLOOKUP(D418,Catalogo_Documentos!$A:$B,3,FALSE),"—"))</f>
        <v/>
      </c>
      <c r="D418" s="29"/>
      <c r="E418" s="25" t="str">
        <f>IF(D418="","",IFERROR(VLOOKUP(D418,Catalogo_Documentos!$A:$B,2,FALSE),"—"))</f>
        <v/>
      </c>
      <c r="F418" s="25"/>
      <c r="I418" s="64"/>
    </row>
    <row r="419" spans="1:9">
      <c r="A419" s="28"/>
      <c r="B419" s="26" t="str">
        <f>IF(A419="","",IFERROR(VLOOKUP(A419,Criterios!$A:$G,7,FALSE),"—"))</f>
        <v/>
      </c>
      <c r="C419" s="25" t="str">
        <f>IF(D419="","",IFERROR(VLOOKUP(D419,Catalogo_Documentos!$A:$B,3,FALSE),"—"))</f>
        <v/>
      </c>
      <c r="D419" s="29"/>
      <c r="E419" s="25" t="str">
        <f>IF(D419="","",IFERROR(VLOOKUP(D419,Catalogo_Documentos!$A:$B,2,FALSE),"—"))</f>
        <v/>
      </c>
      <c r="F419" s="25"/>
      <c r="I419" s="64"/>
    </row>
    <row r="420" spans="1:9">
      <c r="A420" s="28"/>
      <c r="B420" s="26" t="str">
        <f>IF(A420="","",IFERROR(VLOOKUP(A420,Criterios!$A:$G,7,FALSE),"—"))</f>
        <v/>
      </c>
      <c r="C420" s="25" t="str">
        <f>IF(D420="","",IFERROR(VLOOKUP(D420,Catalogo_Documentos!$A:$B,3,FALSE),"—"))</f>
        <v/>
      </c>
      <c r="D420" s="29"/>
      <c r="E420" s="25" t="str">
        <f>IF(D420="","",IFERROR(VLOOKUP(D420,Catalogo_Documentos!$A:$B,2,FALSE),"—"))</f>
        <v/>
      </c>
      <c r="F420" s="25"/>
      <c r="I420" s="64"/>
    </row>
    <row r="421" spans="1:9">
      <c r="A421" s="28"/>
      <c r="B421" s="26" t="str">
        <f>IF(A421="","",IFERROR(VLOOKUP(A421,Criterios!$A:$G,7,FALSE),"—"))</f>
        <v/>
      </c>
      <c r="C421" s="25" t="str">
        <f>IF(D421="","",IFERROR(VLOOKUP(D421,Catalogo_Documentos!$A:$B,3,FALSE),"—"))</f>
        <v/>
      </c>
      <c r="D421" s="29"/>
      <c r="E421" s="25" t="str">
        <f>IF(D421="","",IFERROR(VLOOKUP(D421,Catalogo_Documentos!$A:$B,2,FALSE),"—"))</f>
        <v/>
      </c>
      <c r="F421" s="25"/>
      <c r="I421" s="64"/>
    </row>
    <row r="422" spans="1:9">
      <c r="A422" s="28"/>
      <c r="B422" s="26" t="str">
        <f>IF(A422="","",IFERROR(VLOOKUP(A422,Criterios!$A:$G,7,FALSE),"—"))</f>
        <v/>
      </c>
      <c r="C422" s="25" t="str">
        <f>IF(D422="","",IFERROR(VLOOKUP(D422,Catalogo_Documentos!$A:$B,3,FALSE),"—"))</f>
        <v/>
      </c>
      <c r="D422" s="29"/>
      <c r="E422" s="25" t="str">
        <f>IF(D422="","",IFERROR(VLOOKUP(D422,Catalogo_Documentos!$A:$B,2,FALSE),"—"))</f>
        <v/>
      </c>
      <c r="F422" s="25"/>
      <c r="I422" s="64"/>
    </row>
    <row r="423" spans="1:9">
      <c r="A423" s="28"/>
      <c r="B423" s="26" t="str">
        <f>IF(A423="","",IFERROR(VLOOKUP(A423,Criterios!$A:$G,7,FALSE),"—"))</f>
        <v/>
      </c>
      <c r="C423" s="25" t="str">
        <f>IF(D423="","",IFERROR(VLOOKUP(D423,Catalogo_Documentos!$A:$B,3,FALSE),"—"))</f>
        <v/>
      </c>
      <c r="D423" s="29"/>
      <c r="E423" s="25" t="str">
        <f>IF(D423="","",IFERROR(VLOOKUP(D423,Catalogo_Documentos!$A:$B,2,FALSE),"—"))</f>
        <v/>
      </c>
      <c r="F423" s="25"/>
      <c r="I423" s="64"/>
    </row>
    <row r="424" spans="1:9">
      <c r="A424" s="28"/>
      <c r="B424" s="26" t="str">
        <f>IF(A424="","",IFERROR(VLOOKUP(A424,Criterios!$A:$G,7,FALSE),"—"))</f>
        <v/>
      </c>
      <c r="C424" s="25" t="str">
        <f>IF(D424="","",IFERROR(VLOOKUP(D424,Catalogo_Documentos!$A:$B,3,FALSE),"—"))</f>
        <v/>
      </c>
      <c r="D424" s="29"/>
      <c r="E424" s="25" t="str">
        <f>IF(D424="","",IFERROR(VLOOKUP(D424,Catalogo_Documentos!$A:$B,2,FALSE),"—"))</f>
        <v/>
      </c>
      <c r="F424" s="25"/>
      <c r="I424" s="64"/>
    </row>
    <row r="425" spans="1:9">
      <c r="A425" s="28"/>
      <c r="B425" s="26" t="str">
        <f>IF(A425="","",IFERROR(VLOOKUP(A425,Criterios!$A:$G,7,FALSE),"—"))</f>
        <v/>
      </c>
      <c r="C425" s="25" t="str">
        <f>IF(D425="","",IFERROR(VLOOKUP(D425,Catalogo_Documentos!$A:$B,3,FALSE),"—"))</f>
        <v/>
      </c>
      <c r="D425" s="29"/>
      <c r="E425" s="25" t="str">
        <f>IF(D425="","",IFERROR(VLOOKUP(D425,Catalogo_Documentos!$A:$B,2,FALSE),"—"))</f>
        <v/>
      </c>
      <c r="F425" s="25"/>
      <c r="I425" s="64"/>
    </row>
    <row r="426" spans="1:9">
      <c r="A426" s="28"/>
      <c r="B426" s="26" t="str">
        <f>IF(A426="","",IFERROR(VLOOKUP(A426,Criterios!$A:$G,7,FALSE),"—"))</f>
        <v/>
      </c>
      <c r="C426" s="25" t="str">
        <f>IF(D426="","",IFERROR(VLOOKUP(D426,Catalogo_Documentos!$A:$B,3,FALSE),"—"))</f>
        <v/>
      </c>
      <c r="D426" s="29"/>
      <c r="E426" s="25" t="str">
        <f>IF(D426="","",IFERROR(VLOOKUP(D426,Catalogo_Documentos!$A:$B,2,FALSE),"—"))</f>
        <v/>
      </c>
      <c r="F426" s="25"/>
      <c r="I426" s="64"/>
    </row>
    <row r="427" spans="1:9">
      <c r="A427" s="28"/>
      <c r="B427" s="26" t="str">
        <f>IF(A427="","",IFERROR(VLOOKUP(A427,Criterios!$A:$G,7,FALSE),"—"))</f>
        <v/>
      </c>
      <c r="C427" s="25" t="str">
        <f>IF(D427="","",IFERROR(VLOOKUP(D427,Catalogo_Documentos!$A:$B,3,FALSE),"—"))</f>
        <v/>
      </c>
      <c r="D427" s="29"/>
      <c r="E427" s="25" t="str">
        <f>IF(D427="","",IFERROR(VLOOKUP(D427,Catalogo_Documentos!$A:$B,2,FALSE),"—"))</f>
        <v/>
      </c>
      <c r="F427" s="25"/>
      <c r="I427" s="64"/>
    </row>
    <row r="428" spans="1:9">
      <c r="A428" s="28"/>
      <c r="B428" s="26" t="str">
        <f>IF(A428="","",IFERROR(VLOOKUP(A428,Criterios!$A:$G,7,FALSE),"—"))</f>
        <v/>
      </c>
      <c r="C428" s="25" t="str">
        <f>IF(D428="","",IFERROR(VLOOKUP(D428,Catalogo_Documentos!$A:$B,3,FALSE),"—"))</f>
        <v/>
      </c>
      <c r="D428" s="29"/>
      <c r="E428" s="25" t="str">
        <f>IF(D428="","",IFERROR(VLOOKUP(D428,Catalogo_Documentos!$A:$B,2,FALSE),"—"))</f>
        <v/>
      </c>
      <c r="F428" s="25"/>
      <c r="I428" s="64"/>
    </row>
    <row r="429" spans="1:9">
      <c r="A429" s="28"/>
      <c r="B429" s="26" t="str">
        <f>IF(A429="","",IFERROR(VLOOKUP(A429,Criterios!$A:$G,7,FALSE),"—"))</f>
        <v/>
      </c>
      <c r="C429" s="25" t="str">
        <f>IF(D429="","",IFERROR(VLOOKUP(D429,Catalogo_Documentos!$A:$B,3,FALSE),"—"))</f>
        <v/>
      </c>
      <c r="D429" s="29"/>
      <c r="E429" s="25" t="str">
        <f>IF(D429="","",IFERROR(VLOOKUP(D429,Catalogo_Documentos!$A:$B,2,FALSE),"—"))</f>
        <v/>
      </c>
      <c r="F429" s="25"/>
      <c r="I429" s="64"/>
    </row>
    <row r="430" spans="1:9">
      <c r="A430" s="28"/>
      <c r="B430" s="26" t="str">
        <f>IF(A430="","",IFERROR(VLOOKUP(A430,Criterios!$A:$G,7,FALSE),"—"))</f>
        <v/>
      </c>
      <c r="C430" s="25" t="str">
        <f>IF(D430="","",IFERROR(VLOOKUP(D430,Catalogo_Documentos!$A:$B,3,FALSE),"—"))</f>
        <v/>
      </c>
      <c r="D430" s="29"/>
      <c r="E430" s="25" t="str">
        <f>IF(D430="","",IFERROR(VLOOKUP(D430,Catalogo_Documentos!$A:$B,2,FALSE),"—"))</f>
        <v/>
      </c>
      <c r="F430" s="25"/>
      <c r="I430" s="64"/>
    </row>
    <row r="431" spans="1:9">
      <c r="A431" s="28"/>
      <c r="B431" s="26" t="str">
        <f>IF(A431="","",IFERROR(VLOOKUP(A431,Criterios!$A:$G,7,FALSE),"—"))</f>
        <v/>
      </c>
      <c r="C431" s="25" t="str">
        <f>IF(D431="","",IFERROR(VLOOKUP(D431,Catalogo_Documentos!$A:$B,3,FALSE),"—"))</f>
        <v/>
      </c>
      <c r="D431" s="29"/>
      <c r="E431" s="25" t="str">
        <f>IF(D431="","",IFERROR(VLOOKUP(D431,Catalogo_Documentos!$A:$B,2,FALSE),"—"))</f>
        <v/>
      </c>
      <c r="F431" s="25"/>
      <c r="I431" s="64"/>
    </row>
    <row r="432" spans="1:9">
      <c r="A432" s="28"/>
      <c r="B432" s="26" t="str">
        <f>IF(A432="","",IFERROR(VLOOKUP(A432,Criterios!$A:$G,7,FALSE),"—"))</f>
        <v/>
      </c>
      <c r="C432" s="25" t="str">
        <f>IF(D432="","",IFERROR(VLOOKUP(D432,Catalogo_Documentos!$A:$B,3,FALSE),"—"))</f>
        <v/>
      </c>
      <c r="D432" s="29"/>
      <c r="E432" s="25" t="str">
        <f>IF(D432="","",IFERROR(VLOOKUP(D432,Catalogo_Documentos!$A:$B,2,FALSE),"—"))</f>
        <v/>
      </c>
      <c r="F432" s="25"/>
      <c r="I432" s="64"/>
    </row>
    <row r="433" spans="1:9">
      <c r="A433" s="28"/>
      <c r="B433" s="26" t="str">
        <f>IF(A433="","",IFERROR(VLOOKUP(A433,Criterios!$A:$G,7,FALSE),"—"))</f>
        <v/>
      </c>
      <c r="C433" s="25" t="str">
        <f>IF(D433="","",IFERROR(VLOOKUP(D433,Catalogo_Documentos!$A:$B,3,FALSE),"—"))</f>
        <v/>
      </c>
      <c r="D433" s="29"/>
      <c r="E433" s="25" t="str">
        <f>IF(D433="","",IFERROR(VLOOKUP(D433,Catalogo_Documentos!$A:$B,2,FALSE),"—"))</f>
        <v/>
      </c>
      <c r="F433" s="25"/>
      <c r="I433" s="64"/>
    </row>
    <row r="434" spans="1:9">
      <c r="A434" s="28"/>
      <c r="B434" s="26" t="str">
        <f>IF(A434="","",IFERROR(VLOOKUP(A434,Criterios!$A:$G,7,FALSE),"—"))</f>
        <v/>
      </c>
      <c r="C434" s="25" t="str">
        <f>IF(D434="","",IFERROR(VLOOKUP(D434,Catalogo_Documentos!$A:$B,3,FALSE),"—"))</f>
        <v/>
      </c>
      <c r="D434" s="29"/>
      <c r="E434" s="25" t="str">
        <f>IF(D434="","",IFERROR(VLOOKUP(D434,Catalogo_Documentos!$A:$B,2,FALSE),"—"))</f>
        <v/>
      </c>
      <c r="F434" s="25"/>
      <c r="I434" s="64"/>
    </row>
    <row r="435" spans="1:9">
      <c r="A435" s="28"/>
      <c r="B435" s="26" t="str">
        <f>IF(A435="","",IFERROR(VLOOKUP(A435,Criterios!$A:$G,7,FALSE),"—"))</f>
        <v/>
      </c>
      <c r="C435" s="25" t="str">
        <f>IF(D435="","",IFERROR(VLOOKUP(D435,Catalogo_Documentos!$A:$B,3,FALSE),"—"))</f>
        <v/>
      </c>
      <c r="D435" s="29"/>
      <c r="E435" s="25" t="str">
        <f>IF(D435="","",IFERROR(VLOOKUP(D435,Catalogo_Documentos!$A:$B,2,FALSE),"—"))</f>
        <v/>
      </c>
      <c r="F435" s="25"/>
      <c r="I435" s="64"/>
    </row>
    <row r="436" spans="1:9">
      <c r="A436" s="28"/>
      <c r="B436" s="26" t="str">
        <f>IF(A436="","",IFERROR(VLOOKUP(A436,Criterios!$A:$G,7,FALSE),"—"))</f>
        <v/>
      </c>
      <c r="C436" s="25" t="str">
        <f>IF(D436="","",IFERROR(VLOOKUP(D436,Catalogo_Documentos!$A:$B,3,FALSE),"—"))</f>
        <v/>
      </c>
      <c r="D436" s="29"/>
      <c r="E436" s="25" t="str">
        <f>IF(D436="","",IFERROR(VLOOKUP(D436,Catalogo_Documentos!$A:$B,2,FALSE),"—"))</f>
        <v/>
      </c>
      <c r="F436" s="25"/>
      <c r="I436" s="64"/>
    </row>
    <row r="437" spans="1:9">
      <c r="A437" s="28"/>
      <c r="B437" s="26" t="str">
        <f>IF(A437="","",IFERROR(VLOOKUP(A437,Criterios!$A:$G,7,FALSE),"—"))</f>
        <v/>
      </c>
      <c r="C437" s="25" t="str">
        <f>IF(D437="","",IFERROR(VLOOKUP(D437,Catalogo_Documentos!$A:$B,3,FALSE),"—"))</f>
        <v/>
      </c>
      <c r="D437" s="29"/>
      <c r="E437" s="25" t="str">
        <f>IF(D437="","",IFERROR(VLOOKUP(D437,Catalogo_Documentos!$A:$B,2,FALSE),"—"))</f>
        <v/>
      </c>
      <c r="F437" s="25"/>
      <c r="I437" s="64"/>
    </row>
    <row r="438" spans="1:9">
      <c r="A438" s="28"/>
      <c r="B438" s="26" t="str">
        <f>IF(A438="","",IFERROR(VLOOKUP(A438,Criterios!$A:$G,7,FALSE),"—"))</f>
        <v/>
      </c>
      <c r="C438" s="25" t="str">
        <f>IF(D438="","",IFERROR(VLOOKUP(D438,Catalogo_Documentos!$A:$B,3,FALSE),"—"))</f>
        <v/>
      </c>
      <c r="D438" s="29"/>
      <c r="E438" s="25" t="str">
        <f>IF(D438="","",IFERROR(VLOOKUP(D438,Catalogo_Documentos!$A:$B,2,FALSE),"—"))</f>
        <v/>
      </c>
      <c r="F438" s="25"/>
      <c r="I438" s="64"/>
    </row>
    <row r="439" spans="1:9">
      <c r="A439" s="28"/>
      <c r="B439" s="26" t="str">
        <f>IF(A439="","",IFERROR(VLOOKUP(A439,Criterios!$A:$G,7,FALSE),"—"))</f>
        <v/>
      </c>
      <c r="C439" s="25" t="str">
        <f>IF(D439="","",IFERROR(VLOOKUP(D439,Catalogo_Documentos!$A:$B,3,FALSE),"—"))</f>
        <v/>
      </c>
      <c r="D439" s="29"/>
      <c r="E439" s="25" t="str">
        <f>IF(D439="","",IFERROR(VLOOKUP(D439,Catalogo_Documentos!$A:$B,2,FALSE),"—"))</f>
        <v/>
      </c>
      <c r="F439" s="25"/>
      <c r="I439" s="64"/>
    </row>
    <row r="440" spans="1:9">
      <c r="A440" s="28"/>
      <c r="B440" s="26" t="str">
        <f>IF(A440="","",IFERROR(VLOOKUP(A440,Criterios!$A:$G,7,FALSE),"—"))</f>
        <v/>
      </c>
      <c r="C440" s="25" t="str">
        <f>IF(D440="","",IFERROR(VLOOKUP(D440,Catalogo_Documentos!$A:$B,3,FALSE),"—"))</f>
        <v/>
      </c>
      <c r="D440" s="29"/>
      <c r="E440" s="25" t="str">
        <f>IF(D440="","",IFERROR(VLOOKUP(D440,Catalogo_Documentos!$A:$B,2,FALSE),"—"))</f>
        <v/>
      </c>
      <c r="F440" s="25"/>
      <c r="I440" s="64"/>
    </row>
    <row r="441" spans="1:9">
      <c r="A441" s="28"/>
      <c r="B441" s="26" t="str">
        <f>IF(A441="","",IFERROR(VLOOKUP(A441,Criterios!$A:$G,7,FALSE),"—"))</f>
        <v/>
      </c>
      <c r="C441" s="25" t="str">
        <f>IF(D441="","",IFERROR(VLOOKUP(D441,Catalogo_Documentos!$A:$B,3,FALSE),"—"))</f>
        <v/>
      </c>
      <c r="D441" s="29"/>
      <c r="E441" s="25" t="str">
        <f>IF(D441="","",IFERROR(VLOOKUP(D441,Catalogo_Documentos!$A:$B,2,FALSE),"—"))</f>
        <v/>
      </c>
      <c r="F441" s="25"/>
      <c r="I441" s="64"/>
    </row>
    <row r="442" spans="1:9">
      <c r="A442" s="28"/>
      <c r="B442" s="26" t="str">
        <f>IF(A442="","",IFERROR(VLOOKUP(A442,Criterios!$A:$G,7,FALSE),"—"))</f>
        <v/>
      </c>
      <c r="C442" s="25" t="str">
        <f>IF(D442="","",IFERROR(VLOOKUP(D442,Catalogo_Documentos!$A:$B,3,FALSE),"—"))</f>
        <v/>
      </c>
      <c r="D442" s="29"/>
      <c r="E442" s="25" t="str">
        <f>IF(D442="","",IFERROR(VLOOKUP(D442,Catalogo_Documentos!$A:$B,2,FALSE),"—"))</f>
        <v/>
      </c>
      <c r="F442" s="25"/>
      <c r="I442" s="64"/>
    </row>
    <row r="443" spans="1:9">
      <c r="A443" s="28"/>
      <c r="B443" s="26" t="str">
        <f>IF(A443="","",IFERROR(VLOOKUP(A443,Criterios!$A:$G,7,FALSE),"—"))</f>
        <v/>
      </c>
      <c r="C443" s="25" t="str">
        <f>IF(D443="","",IFERROR(VLOOKUP(D443,Catalogo_Documentos!$A:$B,3,FALSE),"—"))</f>
        <v/>
      </c>
      <c r="D443" s="29"/>
      <c r="E443" s="25" t="str">
        <f>IF(D443="","",IFERROR(VLOOKUP(D443,Catalogo_Documentos!$A:$B,2,FALSE),"—"))</f>
        <v/>
      </c>
      <c r="F443" s="25"/>
      <c r="I443" s="64"/>
    </row>
    <row r="444" spans="1:9">
      <c r="A444" s="28"/>
      <c r="B444" s="26" t="str">
        <f>IF(A444="","",IFERROR(VLOOKUP(A444,Criterios!$A:$G,7,FALSE),"—"))</f>
        <v/>
      </c>
      <c r="C444" s="25" t="str">
        <f>IF(D444="","",IFERROR(VLOOKUP(D444,Catalogo_Documentos!$A:$B,3,FALSE),"—"))</f>
        <v/>
      </c>
      <c r="D444" s="29"/>
      <c r="E444" s="25" t="str">
        <f>IF(D444="","",IFERROR(VLOOKUP(D444,Catalogo_Documentos!$A:$B,2,FALSE),"—"))</f>
        <v/>
      </c>
      <c r="F444" s="25"/>
      <c r="I444" s="64"/>
    </row>
    <row r="445" spans="1:9">
      <c r="A445" s="28"/>
      <c r="B445" s="26" t="str">
        <f>IF(A445="","",IFERROR(VLOOKUP(A445,Criterios!$A:$G,7,FALSE),"—"))</f>
        <v/>
      </c>
      <c r="C445" s="25" t="str">
        <f>IF(D445="","",IFERROR(VLOOKUP(D445,Catalogo_Documentos!$A:$B,3,FALSE),"—"))</f>
        <v/>
      </c>
      <c r="D445" s="29"/>
      <c r="E445" s="25" t="str">
        <f>IF(D445="","",IFERROR(VLOOKUP(D445,Catalogo_Documentos!$A:$B,2,FALSE),"—"))</f>
        <v/>
      </c>
      <c r="F445" s="25"/>
      <c r="I445" s="64"/>
    </row>
    <row r="446" spans="1:9">
      <c r="A446" s="28"/>
      <c r="B446" s="26" t="str">
        <f>IF(A446="","",IFERROR(VLOOKUP(A446,Criterios!$A:$G,7,FALSE),"—"))</f>
        <v/>
      </c>
      <c r="C446" s="25" t="str">
        <f>IF(D446="","",IFERROR(VLOOKUP(D446,Catalogo_Documentos!$A:$B,3,FALSE),"—"))</f>
        <v/>
      </c>
      <c r="D446" s="29"/>
      <c r="E446" s="25" t="str">
        <f>IF(D446="","",IFERROR(VLOOKUP(D446,Catalogo_Documentos!$A:$B,2,FALSE),"—"))</f>
        <v/>
      </c>
      <c r="F446" s="25"/>
      <c r="I446" s="64"/>
    </row>
    <row r="447" spans="1:9">
      <c r="A447" s="28"/>
      <c r="B447" s="26" t="str">
        <f>IF(A447="","",IFERROR(VLOOKUP(A447,Criterios!$A:$G,7,FALSE),"—"))</f>
        <v/>
      </c>
      <c r="C447" s="25" t="str">
        <f>IF(D447="","",IFERROR(VLOOKUP(D447,Catalogo_Documentos!$A:$B,3,FALSE),"—"))</f>
        <v/>
      </c>
      <c r="D447" s="29"/>
      <c r="E447" s="25" t="str">
        <f>IF(D447="","",IFERROR(VLOOKUP(D447,Catalogo_Documentos!$A:$B,2,FALSE),"—"))</f>
        <v/>
      </c>
      <c r="F447" s="25"/>
      <c r="I447" s="64"/>
    </row>
    <row r="448" spans="1:9">
      <c r="A448" s="28"/>
      <c r="B448" s="26" t="str">
        <f>IF(A448="","",IFERROR(VLOOKUP(A448,Criterios!$A:$G,7,FALSE),"—"))</f>
        <v/>
      </c>
      <c r="C448" s="25" t="str">
        <f>IF(D448="","",IFERROR(VLOOKUP(D448,Catalogo_Documentos!$A:$B,3,FALSE),"—"))</f>
        <v/>
      </c>
      <c r="D448" s="29"/>
      <c r="E448" s="25" t="str">
        <f>IF(D448="","",IFERROR(VLOOKUP(D448,Catalogo_Documentos!$A:$B,2,FALSE),"—"))</f>
        <v/>
      </c>
      <c r="F448" s="25"/>
      <c r="I448" s="64"/>
    </row>
    <row r="449" spans="1:9">
      <c r="A449" s="28"/>
      <c r="B449" s="26" t="str">
        <f>IF(A449="","",IFERROR(VLOOKUP(A449,Criterios!$A:$G,7,FALSE),"—"))</f>
        <v/>
      </c>
      <c r="C449" s="25" t="str">
        <f>IF(D449="","",IFERROR(VLOOKUP(D449,Catalogo_Documentos!$A:$B,3,FALSE),"—"))</f>
        <v/>
      </c>
      <c r="D449" s="29"/>
      <c r="E449" s="25" t="str">
        <f>IF(D449="","",IFERROR(VLOOKUP(D449,Catalogo_Documentos!$A:$B,2,FALSE),"—"))</f>
        <v/>
      </c>
      <c r="F449" s="25"/>
      <c r="I449" s="64"/>
    </row>
    <row r="450" spans="1:9">
      <c r="A450" s="28"/>
      <c r="B450" s="26" t="str">
        <f>IF(A450="","",IFERROR(VLOOKUP(A450,Criterios!$A:$G,7,FALSE),"—"))</f>
        <v/>
      </c>
      <c r="C450" s="25" t="str">
        <f>IF(D450="","",IFERROR(VLOOKUP(D450,Catalogo_Documentos!$A:$B,3,FALSE),"—"))</f>
        <v/>
      </c>
      <c r="D450" s="29"/>
      <c r="E450" s="25" t="str">
        <f>IF(D450="","",IFERROR(VLOOKUP(D450,Catalogo_Documentos!$A:$B,2,FALSE),"—"))</f>
        <v/>
      </c>
      <c r="F450" s="25"/>
      <c r="I450" s="64"/>
    </row>
    <row r="451" spans="1:9">
      <c r="A451" s="28"/>
      <c r="B451" s="26" t="str">
        <f>IF(A451="","",IFERROR(VLOOKUP(A451,Criterios!$A:$G,7,FALSE),"—"))</f>
        <v/>
      </c>
      <c r="C451" s="25" t="str">
        <f>IF(D451="","",IFERROR(VLOOKUP(D451,Catalogo_Documentos!$A:$B,3,FALSE),"—"))</f>
        <v/>
      </c>
      <c r="D451" s="29"/>
      <c r="E451" s="25" t="str">
        <f>IF(D451="","",IFERROR(VLOOKUP(D451,Catalogo_Documentos!$A:$B,2,FALSE),"—"))</f>
        <v/>
      </c>
      <c r="F451" s="25"/>
      <c r="I451" s="64"/>
    </row>
    <row r="452" spans="1:9">
      <c r="A452" s="28"/>
      <c r="B452" s="26" t="str">
        <f>IF(A452="","",IFERROR(VLOOKUP(A452,Criterios!$A:$G,7,FALSE),"—"))</f>
        <v/>
      </c>
      <c r="C452" s="25" t="str">
        <f>IF(D452="","",IFERROR(VLOOKUP(D452,Catalogo_Documentos!$A:$B,3,FALSE),"—"))</f>
        <v/>
      </c>
      <c r="D452" s="29"/>
      <c r="E452" s="25" t="str">
        <f>IF(D452="","",IFERROR(VLOOKUP(D452,Catalogo_Documentos!$A:$B,2,FALSE),"—"))</f>
        <v/>
      </c>
      <c r="F452" s="25"/>
      <c r="I452" s="64"/>
    </row>
    <row r="453" spans="1:9">
      <c r="A453" s="28"/>
      <c r="B453" s="26" t="str">
        <f>IF(A453="","",IFERROR(VLOOKUP(A453,Criterios!$A:$G,7,FALSE),"—"))</f>
        <v/>
      </c>
      <c r="C453" s="25" t="str">
        <f>IF(D453="","",IFERROR(VLOOKUP(D453,Catalogo_Documentos!$A:$B,3,FALSE),"—"))</f>
        <v/>
      </c>
      <c r="D453" s="29"/>
      <c r="E453" s="25" t="str">
        <f>IF(D453="","",IFERROR(VLOOKUP(D453,Catalogo_Documentos!$A:$B,2,FALSE),"—"))</f>
        <v/>
      </c>
      <c r="F453" s="25"/>
      <c r="I453" s="64"/>
    </row>
    <row r="454" spans="1:9">
      <c r="A454" s="28"/>
      <c r="B454" s="26" t="str">
        <f>IF(A454="","",IFERROR(VLOOKUP(A454,Criterios!$A:$G,7,FALSE),"—"))</f>
        <v/>
      </c>
      <c r="C454" s="25" t="str">
        <f>IF(D454="","",IFERROR(VLOOKUP(D454,Catalogo_Documentos!$A:$B,3,FALSE),"—"))</f>
        <v/>
      </c>
      <c r="D454" s="29"/>
      <c r="E454" s="25" t="str">
        <f>IF(D454="","",IFERROR(VLOOKUP(D454,Catalogo_Documentos!$A:$B,2,FALSE),"—"))</f>
        <v/>
      </c>
      <c r="F454" s="25"/>
      <c r="I454" s="64"/>
    </row>
    <row r="455" spans="1:9">
      <c r="A455" s="28"/>
      <c r="B455" s="26" t="str">
        <f>IF(A455="","",IFERROR(VLOOKUP(A455,Criterios!$A:$G,7,FALSE),"—"))</f>
        <v/>
      </c>
      <c r="C455" s="25" t="str">
        <f>IF(D455="","",IFERROR(VLOOKUP(D455,Catalogo_Documentos!$A:$B,3,FALSE),"—"))</f>
        <v/>
      </c>
      <c r="D455" s="29"/>
      <c r="E455" s="25" t="str">
        <f>IF(D455="","",IFERROR(VLOOKUP(D455,Catalogo_Documentos!$A:$B,2,FALSE),"—"))</f>
        <v/>
      </c>
      <c r="F455" s="25"/>
      <c r="I455" s="64"/>
    </row>
    <row r="456" spans="1:9">
      <c r="A456" s="28"/>
      <c r="B456" s="26" t="str">
        <f>IF(A456="","",IFERROR(VLOOKUP(A456,Criterios!$A:$G,7,FALSE),"—"))</f>
        <v/>
      </c>
      <c r="C456" s="25" t="str">
        <f>IF(D456="","",IFERROR(VLOOKUP(D456,Catalogo_Documentos!$A:$B,3,FALSE),"—"))</f>
        <v/>
      </c>
      <c r="D456" s="29"/>
      <c r="E456" s="25" t="str">
        <f>IF(D456="","",IFERROR(VLOOKUP(D456,Catalogo_Documentos!$A:$B,2,FALSE),"—"))</f>
        <v/>
      </c>
      <c r="F456" s="25"/>
      <c r="I456" s="64"/>
    </row>
    <row r="457" spans="1:9">
      <c r="A457" s="28"/>
      <c r="B457" s="26" t="str">
        <f>IF(A457="","",IFERROR(VLOOKUP(A457,Criterios!$A:$G,7,FALSE),"—"))</f>
        <v/>
      </c>
      <c r="C457" s="25" t="str">
        <f>IF(D457="","",IFERROR(VLOOKUP(D457,Catalogo_Documentos!$A:$B,3,FALSE),"—"))</f>
        <v/>
      </c>
      <c r="D457" s="29"/>
      <c r="E457" s="25" t="str">
        <f>IF(D457="","",IFERROR(VLOOKUP(D457,Catalogo_Documentos!$A:$B,2,FALSE),"—"))</f>
        <v/>
      </c>
      <c r="F457" s="25"/>
      <c r="I457" s="64"/>
    </row>
    <row r="458" spans="1:9">
      <c r="A458" s="28"/>
      <c r="B458" s="26" t="str">
        <f>IF(A458="","",IFERROR(VLOOKUP(A458,Criterios!$A:$G,7,FALSE),"—"))</f>
        <v/>
      </c>
      <c r="C458" s="25" t="str">
        <f>IF(D458="","",IFERROR(VLOOKUP(D458,Catalogo_Documentos!$A:$B,3,FALSE),"—"))</f>
        <v/>
      </c>
      <c r="D458" s="29"/>
      <c r="E458" s="25" t="str">
        <f>IF(D458="","",IFERROR(VLOOKUP(D458,Catalogo_Documentos!$A:$B,2,FALSE),"—"))</f>
        <v/>
      </c>
      <c r="F458" s="25"/>
      <c r="I458" s="64"/>
    </row>
    <row r="459" spans="1:9">
      <c r="A459" s="28"/>
      <c r="B459" s="26" t="str">
        <f>IF(A459="","",IFERROR(VLOOKUP(A459,Criterios!$A:$G,7,FALSE),"—"))</f>
        <v/>
      </c>
      <c r="C459" s="25" t="str">
        <f>IF(D459="","",IFERROR(VLOOKUP(D459,Catalogo_Documentos!$A:$B,3,FALSE),"—"))</f>
        <v/>
      </c>
      <c r="D459" s="29"/>
      <c r="E459" s="25" t="str">
        <f>IF(D459="","",IFERROR(VLOOKUP(D459,Catalogo_Documentos!$A:$B,2,FALSE),"—"))</f>
        <v/>
      </c>
      <c r="F459" s="25"/>
      <c r="I459" s="64"/>
    </row>
    <row r="460" spans="1:9">
      <c r="A460" s="28"/>
      <c r="B460" s="26" t="str">
        <f>IF(A460="","",IFERROR(VLOOKUP(A460,Criterios!$A:$G,7,FALSE),"—"))</f>
        <v/>
      </c>
      <c r="C460" s="25" t="str">
        <f>IF(D460="","",IFERROR(VLOOKUP(D460,Catalogo_Documentos!$A:$B,3,FALSE),"—"))</f>
        <v/>
      </c>
      <c r="D460" s="29"/>
      <c r="E460" s="25" t="str">
        <f>IF(D460="","",IFERROR(VLOOKUP(D460,Catalogo_Documentos!$A:$B,2,FALSE),"—"))</f>
        <v/>
      </c>
      <c r="F460" s="25"/>
      <c r="I460" s="64"/>
    </row>
    <row r="461" spans="1:9">
      <c r="A461" s="28"/>
      <c r="B461" s="26" t="str">
        <f>IF(A461="","",IFERROR(VLOOKUP(A461,Criterios!$A:$G,7,FALSE),"—"))</f>
        <v/>
      </c>
      <c r="C461" s="25" t="str">
        <f>IF(D461="","",IFERROR(VLOOKUP(D461,Catalogo_Documentos!$A:$B,3,FALSE),"—"))</f>
        <v/>
      </c>
      <c r="D461" s="29"/>
      <c r="E461" s="25" t="str">
        <f>IF(D461="","",IFERROR(VLOOKUP(D461,Catalogo_Documentos!$A:$B,2,FALSE),"—"))</f>
        <v/>
      </c>
      <c r="F461" s="25"/>
      <c r="I461" s="64"/>
    </row>
    <row r="462" spans="1:9">
      <c r="A462" s="28"/>
      <c r="B462" s="26" t="str">
        <f>IF(A462="","",IFERROR(VLOOKUP(A462,Criterios!$A:$G,7,FALSE),"—"))</f>
        <v/>
      </c>
      <c r="C462" s="25" t="str">
        <f>IF(D462="","",IFERROR(VLOOKUP(D462,Catalogo_Documentos!$A:$B,3,FALSE),"—"))</f>
        <v/>
      </c>
      <c r="D462" s="29"/>
      <c r="E462" s="25" t="str">
        <f>IF(D462="","",IFERROR(VLOOKUP(D462,Catalogo_Documentos!$A:$B,2,FALSE),"—"))</f>
        <v/>
      </c>
      <c r="F462" s="25"/>
      <c r="I462" s="64"/>
    </row>
    <row r="463" spans="1:9">
      <c r="A463" s="28"/>
      <c r="B463" s="26" t="str">
        <f>IF(A463="","",IFERROR(VLOOKUP(A463,Criterios!$A:$G,7,FALSE),"—"))</f>
        <v/>
      </c>
      <c r="C463" s="25" t="str">
        <f>IF(D463="","",IFERROR(VLOOKUP(D463,Catalogo_Documentos!$A:$B,3,FALSE),"—"))</f>
        <v/>
      </c>
      <c r="D463" s="29"/>
      <c r="E463" s="25" t="str">
        <f>IF(D463="","",IFERROR(VLOOKUP(D463,Catalogo_Documentos!$A:$B,2,FALSE),"—"))</f>
        <v/>
      </c>
      <c r="F463" s="25"/>
      <c r="I463" s="64"/>
    </row>
    <row r="464" spans="1:9">
      <c r="A464" s="28"/>
      <c r="B464" s="26" t="str">
        <f>IF(A464="","",IFERROR(VLOOKUP(A464,Criterios!$A:$G,7,FALSE),"—"))</f>
        <v/>
      </c>
      <c r="C464" s="25" t="str">
        <f>IF(D464="","",IFERROR(VLOOKUP(D464,Catalogo_Documentos!$A:$B,3,FALSE),"—"))</f>
        <v/>
      </c>
      <c r="D464" s="29"/>
      <c r="E464" s="25" t="str">
        <f>IF(D464="","",IFERROR(VLOOKUP(D464,Catalogo_Documentos!$A:$B,2,FALSE),"—"))</f>
        <v/>
      </c>
      <c r="F464" s="25"/>
      <c r="I464" s="64"/>
    </row>
    <row r="465" spans="1:9">
      <c r="A465" s="28"/>
      <c r="B465" s="26" t="str">
        <f>IF(A465="","",IFERROR(VLOOKUP(A465,Criterios!$A:$G,7,FALSE),"—"))</f>
        <v/>
      </c>
      <c r="C465" s="25" t="str">
        <f>IF(D465="","",IFERROR(VLOOKUP(D465,Catalogo_Documentos!$A:$B,3,FALSE),"—"))</f>
        <v/>
      </c>
      <c r="D465" s="29"/>
      <c r="E465" s="25" t="str">
        <f>IF(D465="","",IFERROR(VLOOKUP(D465,Catalogo_Documentos!$A:$B,2,FALSE),"—"))</f>
        <v/>
      </c>
      <c r="F465" s="25"/>
      <c r="I465" s="64"/>
    </row>
    <row r="466" spans="1:9">
      <c r="A466" s="28"/>
      <c r="B466" s="26" t="str">
        <f>IF(A466="","",IFERROR(VLOOKUP(A466,Criterios!$A:$G,7,FALSE),"—"))</f>
        <v/>
      </c>
      <c r="C466" s="25" t="str">
        <f>IF(D466="","",IFERROR(VLOOKUP(D466,Catalogo_Documentos!$A:$B,3,FALSE),"—"))</f>
        <v/>
      </c>
      <c r="D466" s="29"/>
      <c r="E466" s="25" t="str">
        <f>IF(D466="","",IFERROR(VLOOKUP(D466,Catalogo_Documentos!$A:$B,2,FALSE),"—"))</f>
        <v/>
      </c>
      <c r="F466" s="25"/>
      <c r="I466" s="64"/>
    </row>
    <row r="467" spans="1:9">
      <c r="A467" s="28"/>
      <c r="B467" s="26" t="str">
        <f>IF(A467="","",IFERROR(VLOOKUP(A467,Criterios!$A:$G,7,FALSE),"—"))</f>
        <v/>
      </c>
      <c r="C467" s="25" t="str">
        <f>IF(D467="","",IFERROR(VLOOKUP(D467,Catalogo_Documentos!$A:$B,3,FALSE),"—"))</f>
        <v/>
      </c>
      <c r="D467" s="29"/>
      <c r="E467" s="25" t="str">
        <f>IF(D467="","",IFERROR(VLOOKUP(D467,Catalogo_Documentos!$A:$B,2,FALSE),"—"))</f>
        <v/>
      </c>
      <c r="F467" s="25"/>
      <c r="I467" s="64"/>
    </row>
    <row r="468" spans="1:9">
      <c r="A468" s="28"/>
      <c r="B468" s="26" t="str">
        <f>IF(A468="","",IFERROR(VLOOKUP(A468,Criterios!$A:$G,7,FALSE),"—"))</f>
        <v/>
      </c>
      <c r="C468" s="25" t="str">
        <f>IF(D468="","",IFERROR(VLOOKUP(D468,Catalogo_Documentos!$A:$B,3,FALSE),"—"))</f>
        <v/>
      </c>
      <c r="D468" s="29"/>
      <c r="E468" s="25" t="str">
        <f>IF(D468="","",IFERROR(VLOOKUP(D468,Catalogo_Documentos!$A:$B,2,FALSE),"—"))</f>
        <v/>
      </c>
      <c r="F468" s="25"/>
      <c r="I468" s="64"/>
    </row>
    <row r="469" spans="1:9">
      <c r="A469" s="28"/>
      <c r="B469" s="26" t="str">
        <f>IF(A469="","",IFERROR(VLOOKUP(A469,Criterios!$A:$G,7,FALSE),"—"))</f>
        <v/>
      </c>
      <c r="C469" s="25" t="str">
        <f>IF(D469="","",IFERROR(VLOOKUP(D469,Catalogo_Documentos!$A:$B,3,FALSE),"—"))</f>
        <v/>
      </c>
      <c r="D469" s="29"/>
      <c r="E469" s="25" t="str">
        <f>IF(D469="","",IFERROR(VLOOKUP(D469,Catalogo_Documentos!$A:$B,2,FALSE),"—"))</f>
        <v/>
      </c>
      <c r="F469" s="25"/>
      <c r="I469" s="64"/>
    </row>
    <row r="470" spans="1:9">
      <c r="A470" s="28"/>
      <c r="B470" s="26" t="str">
        <f>IF(A470="","",IFERROR(VLOOKUP(A470,Criterios!$A:$G,7,FALSE),"—"))</f>
        <v/>
      </c>
      <c r="C470" s="25" t="str">
        <f>IF(D470="","",IFERROR(VLOOKUP(D470,Catalogo_Documentos!$A:$B,3,FALSE),"—"))</f>
        <v/>
      </c>
      <c r="D470" s="29"/>
      <c r="E470" s="25" t="str">
        <f>IF(D470="","",IFERROR(VLOOKUP(D470,Catalogo_Documentos!$A:$B,2,FALSE),"—"))</f>
        <v/>
      </c>
      <c r="F470" s="25"/>
      <c r="I470" s="64"/>
    </row>
    <row r="471" spans="1:9">
      <c r="A471" s="28"/>
      <c r="B471" s="26" t="str">
        <f>IF(A471="","",IFERROR(VLOOKUP(A471,Criterios!$A:$G,7,FALSE),"—"))</f>
        <v/>
      </c>
      <c r="C471" s="25" t="str">
        <f>IF(D471="","",IFERROR(VLOOKUP(D471,Catalogo_Documentos!$A:$B,3,FALSE),"—"))</f>
        <v/>
      </c>
      <c r="D471" s="29"/>
      <c r="E471" s="25" t="str">
        <f>IF(D471="","",IFERROR(VLOOKUP(D471,Catalogo_Documentos!$A:$B,2,FALSE),"—"))</f>
        <v/>
      </c>
      <c r="F471" s="25"/>
      <c r="I471" s="64"/>
    </row>
    <row r="472" spans="1:9">
      <c r="A472" s="28"/>
      <c r="B472" s="26" t="str">
        <f>IF(A472="","",IFERROR(VLOOKUP(A472,Criterios!$A:$G,7,FALSE),"—"))</f>
        <v/>
      </c>
      <c r="C472" s="25" t="str">
        <f>IF(D472="","",IFERROR(VLOOKUP(D472,Catalogo_Documentos!$A:$B,3,FALSE),"—"))</f>
        <v/>
      </c>
      <c r="D472" s="29"/>
      <c r="E472" s="25" t="str">
        <f>IF(D472="","",IFERROR(VLOOKUP(D472,Catalogo_Documentos!$A:$B,2,FALSE),"—"))</f>
        <v/>
      </c>
      <c r="F472" s="25"/>
      <c r="I472" s="64"/>
    </row>
    <row r="473" spans="1:9">
      <c r="A473" s="28"/>
      <c r="B473" s="26" t="str">
        <f>IF(A473="","",IFERROR(VLOOKUP(A473,Criterios!$A:$G,7,FALSE),"—"))</f>
        <v/>
      </c>
      <c r="C473" s="25" t="str">
        <f>IF(D473="","",IFERROR(VLOOKUP(D473,Catalogo_Documentos!$A:$B,3,FALSE),"—"))</f>
        <v/>
      </c>
      <c r="D473" s="29"/>
      <c r="E473" s="25" t="str">
        <f>IF(D473="","",IFERROR(VLOOKUP(D473,Catalogo_Documentos!$A:$B,2,FALSE),"—"))</f>
        <v/>
      </c>
      <c r="F473" s="25"/>
      <c r="I473" s="64"/>
    </row>
    <row r="474" spans="1:9">
      <c r="A474" s="28"/>
      <c r="B474" s="26" t="str">
        <f>IF(A474="","",IFERROR(VLOOKUP(A474,Criterios!$A:$G,7,FALSE),"—"))</f>
        <v/>
      </c>
      <c r="C474" s="25" t="str">
        <f>IF(D474="","",IFERROR(VLOOKUP(D474,Catalogo_Documentos!$A:$B,3,FALSE),"—"))</f>
        <v/>
      </c>
      <c r="D474" s="29"/>
      <c r="E474" s="25" t="str">
        <f>IF(D474="","",IFERROR(VLOOKUP(D474,Catalogo_Documentos!$A:$B,2,FALSE),"—"))</f>
        <v/>
      </c>
      <c r="F474" s="25"/>
      <c r="I474" s="64"/>
    </row>
    <row r="475" spans="1:9">
      <c r="A475" s="28"/>
      <c r="B475" s="26" t="str">
        <f>IF(A475="","",IFERROR(VLOOKUP(A475,Criterios!$A:$G,7,FALSE),"—"))</f>
        <v/>
      </c>
      <c r="C475" s="25" t="str">
        <f>IF(D475="","",IFERROR(VLOOKUP(D475,Catalogo_Documentos!$A:$B,3,FALSE),"—"))</f>
        <v/>
      </c>
      <c r="D475" s="29"/>
      <c r="E475" s="25" t="str">
        <f>IF(D475="","",IFERROR(VLOOKUP(D475,Catalogo_Documentos!$A:$B,2,FALSE),"—"))</f>
        <v/>
      </c>
      <c r="F475" s="25"/>
      <c r="I475" s="64"/>
    </row>
    <row r="476" spans="1:9">
      <c r="A476" s="28"/>
      <c r="B476" s="26" t="str">
        <f>IF(A476="","",IFERROR(VLOOKUP(A476,Criterios!$A:$G,7,FALSE),"—"))</f>
        <v/>
      </c>
      <c r="C476" s="25" t="str">
        <f>IF(D476="","",IFERROR(VLOOKUP(D476,Catalogo_Documentos!$A:$B,3,FALSE),"—"))</f>
        <v/>
      </c>
      <c r="D476" s="29"/>
      <c r="E476" s="25" t="str">
        <f>IF(D476="","",IFERROR(VLOOKUP(D476,Catalogo_Documentos!$A:$B,2,FALSE),"—"))</f>
        <v/>
      </c>
      <c r="F476" s="25"/>
      <c r="I476" s="64"/>
    </row>
    <row r="477" spans="1:9">
      <c r="A477" s="28"/>
      <c r="B477" s="26" t="str">
        <f>IF(A477="","",IFERROR(VLOOKUP(A477,Criterios!$A:$G,7,FALSE),"—"))</f>
        <v/>
      </c>
      <c r="C477" s="25" t="str">
        <f>IF(D477="","",IFERROR(VLOOKUP(D477,Catalogo_Documentos!$A:$B,3,FALSE),"—"))</f>
        <v/>
      </c>
      <c r="D477" s="29"/>
      <c r="E477" s="25" t="str">
        <f>IF(D477="","",IFERROR(VLOOKUP(D477,Catalogo_Documentos!$A:$B,2,FALSE),"—"))</f>
        <v/>
      </c>
      <c r="F477" s="25"/>
      <c r="I477" s="64"/>
    </row>
    <row r="478" spans="1:9">
      <c r="A478" s="28"/>
      <c r="B478" s="26" t="str">
        <f>IF(A478="","",IFERROR(VLOOKUP(A478,Criterios!$A:$G,7,FALSE),"—"))</f>
        <v/>
      </c>
      <c r="C478" s="25" t="str">
        <f>IF(D478="","",IFERROR(VLOOKUP(D478,Catalogo_Documentos!$A:$B,3,FALSE),"—"))</f>
        <v/>
      </c>
      <c r="D478" s="29"/>
      <c r="E478" s="25" t="str">
        <f>IF(D478="","",IFERROR(VLOOKUP(D478,Catalogo_Documentos!$A:$B,2,FALSE),"—"))</f>
        <v/>
      </c>
      <c r="F478" s="25"/>
      <c r="I478" s="64"/>
    </row>
    <row r="479" spans="1:9">
      <c r="A479" s="28"/>
      <c r="B479" s="26" t="str">
        <f>IF(A479="","",IFERROR(VLOOKUP(A479,Criterios!$A:$G,7,FALSE),"—"))</f>
        <v/>
      </c>
      <c r="C479" s="25" t="str">
        <f>IF(D479="","",IFERROR(VLOOKUP(D479,Catalogo_Documentos!$A:$B,3,FALSE),"—"))</f>
        <v/>
      </c>
      <c r="D479" s="29"/>
      <c r="E479" s="25" t="str">
        <f>IF(D479="","",IFERROR(VLOOKUP(D479,Catalogo_Documentos!$A:$B,2,FALSE),"—"))</f>
        <v/>
      </c>
      <c r="F479" s="25"/>
      <c r="I479" s="64"/>
    </row>
    <row r="480" spans="1:9">
      <c r="A480" s="28"/>
      <c r="B480" s="26" t="str">
        <f>IF(A480="","",IFERROR(VLOOKUP(A480,Criterios!$A:$G,7,FALSE),"—"))</f>
        <v/>
      </c>
      <c r="C480" s="25" t="str">
        <f>IF(D480="","",IFERROR(VLOOKUP(D480,Catalogo_Documentos!$A:$B,3,FALSE),"—"))</f>
        <v/>
      </c>
      <c r="D480" s="29"/>
      <c r="E480" s="25" t="str">
        <f>IF(D480="","",IFERROR(VLOOKUP(D480,Catalogo_Documentos!$A:$B,2,FALSE),"—"))</f>
        <v/>
      </c>
      <c r="F480" s="25"/>
      <c r="I480" s="64"/>
    </row>
    <row r="481" spans="1:9">
      <c r="A481" s="28"/>
      <c r="B481" s="26" t="str">
        <f>IF(A481="","",IFERROR(VLOOKUP(A481,Criterios!$A:$G,7,FALSE),"—"))</f>
        <v/>
      </c>
      <c r="C481" s="25" t="str">
        <f>IF(D481="","",IFERROR(VLOOKUP(D481,Catalogo_Documentos!$A:$B,3,FALSE),"—"))</f>
        <v/>
      </c>
      <c r="D481" s="29"/>
      <c r="E481" s="25" t="str">
        <f>IF(D481="","",IFERROR(VLOOKUP(D481,Catalogo_Documentos!$A:$B,2,FALSE),"—"))</f>
        <v/>
      </c>
      <c r="F481" s="25"/>
      <c r="I481" s="64"/>
    </row>
    <row r="482" spans="1:9">
      <c r="A482" s="28"/>
      <c r="B482" s="26" t="str">
        <f>IF(A482="","",IFERROR(VLOOKUP(A482,Criterios!$A:$G,7,FALSE),"—"))</f>
        <v/>
      </c>
      <c r="C482" s="25" t="str">
        <f>IF(D482="","",IFERROR(VLOOKUP(D482,Catalogo_Documentos!$A:$B,3,FALSE),"—"))</f>
        <v/>
      </c>
      <c r="D482" s="29"/>
      <c r="E482" s="25" t="str">
        <f>IF(D482="","",IFERROR(VLOOKUP(D482,Catalogo_Documentos!$A:$B,2,FALSE),"—"))</f>
        <v/>
      </c>
      <c r="F482" s="25"/>
      <c r="I482" s="64"/>
    </row>
    <row r="483" spans="1:9">
      <c r="A483" s="28"/>
      <c r="B483" s="26" t="str">
        <f>IF(A483="","",IFERROR(VLOOKUP(A483,Criterios!$A:$G,7,FALSE),"—"))</f>
        <v/>
      </c>
      <c r="C483" s="25" t="str">
        <f>IF(D483="","",IFERROR(VLOOKUP(D483,Catalogo_Documentos!$A:$B,3,FALSE),"—"))</f>
        <v/>
      </c>
      <c r="D483" s="29"/>
      <c r="E483" s="25" t="str">
        <f>IF(D483="","",IFERROR(VLOOKUP(D483,Catalogo_Documentos!$A:$B,2,FALSE),"—"))</f>
        <v/>
      </c>
      <c r="F483" s="25"/>
      <c r="I483" s="64"/>
    </row>
    <row r="484" spans="1:9">
      <c r="A484" s="28"/>
      <c r="B484" s="26" t="str">
        <f>IF(A484="","",IFERROR(VLOOKUP(A484,Criterios!$A:$G,7,FALSE),"—"))</f>
        <v/>
      </c>
      <c r="C484" s="25" t="str">
        <f>IF(D484="","",IFERROR(VLOOKUP(D484,Catalogo_Documentos!$A:$B,3,FALSE),"—"))</f>
        <v/>
      </c>
      <c r="D484" s="29"/>
      <c r="E484" s="25" t="str">
        <f>IF(D484="","",IFERROR(VLOOKUP(D484,Catalogo_Documentos!$A:$B,2,FALSE),"—"))</f>
        <v/>
      </c>
      <c r="F484" s="25"/>
      <c r="I484" s="64"/>
    </row>
    <row r="485" spans="1:9">
      <c r="A485" s="28"/>
      <c r="B485" s="26" t="str">
        <f>IF(A485="","",IFERROR(VLOOKUP(A485,Criterios!$A:$G,7,FALSE),"—"))</f>
        <v/>
      </c>
      <c r="C485" s="25" t="str">
        <f>IF(D485="","",IFERROR(VLOOKUP(D485,Catalogo_Documentos!$A:$B,3,FALSE),"—"))</f>
        <v/>
      </c>
      <c r="D485" s="29"/>
      <c r="E485" s="25" t="str">
        <f>IF(D485="","",IFERROR(VLOOKUP(D485,Catalogo_Documentos!$A:$B,2,FALSE),"—"))</f>
        <v/>
      </c>
      <c r="F485" s="25"/>
      <c r="I485" s="64"/>
    </row>
    <row r="486" spans="1:9">
      <c r="A486" s="28"/>
      <c r="B486" s="26" t="str">
        <f>IF(A486="","",IFERROR(VLOOKUP(A486,Criterios!$A:$G,7,FALSE),"—"))</f>
        <v/>
      </c>
      <c r="C486" s="25" t="str">
        <f>IF(D486="","",IFERROR(VLOOKUP(D486,Catalogo_Documentos!$A:$B,3,FALSE),"—"))</f>
        <v/>
      </c>
      <c r="D486" s="29"/>
      <c r="E486" s="25" t="str">
        <f>IF(D486="","",IFERROR(VLOOKUP(D486,Catalogo_Documentos!$A:$B,2,FALSE),"—"))</f>
        <v/>
      </c>
      <c r="F486" s="25"/>
      <c r="I486" s="64"/>
    </row>
    <row r="487" spans="1:9">
      <c r="A487" s="28"/>
      <c r="B487" s="26" t="str">
        <f>IF(A487="","",IFERROR(VLOOKUP(A487,Criterios!$A:$G,7,FALSE),"—"))</f>
        <v/>
      </c>
      <c r="C487" s="25" t="str">
        <f>IF(D487="","",IFERROR(VLOOKUP(D487,Catalogo_Documentos!$A:$B,3,FALSE),"—"))</f>
        <v/>
      </c>
      <c r="D487" s="29"/>
      <c r="E487" s="25" t="str">
        <f>IF(D487="","",IFERROR(VLOOKUP(D487,Catalogo_Documentos!$A:$B,2,FALSE),"—"))</f>
        <v/>
      </c>
      <c r="F487" s="25"/>
      <c r="I487" s="64"/>
    </row>
    <row r="488" spans="1:9">
      <c r="A488" s="28"/>
      <c r="B488" s="26" t="str">
        <f>IF(A488="","",IFERROR(VLOOKUP(A488,Criterios!$A:$G,7,FALSE),"—"))</f>
        <v/>
      </c>
      <c r="C488" s="25" t="str">
        <f>IF(D488="","",IFERROR(VLOOKUP(D488,Catalogo_Documentos!$A:$B,3,FALSE),"—"))</f>
        <v/>
      </c>
      <c r="D488" s="29"/>
      <c r="E488" s="25" t="str">
        <f>IF(D488="","",IFERROR(VLOOKUP(D488,Catalogo_Documentos!$A:$B,2,FALSE),"—"))</f>
        <v/>
      </c>
      <c r="F488" s="25"/>
      <c r="I488" s="64"/>
    </row>
    <row r="489" spans="1:9">
      <c r="A489" s="28"/>
      <c r="B489" s="26" t="str">
        <f>IF(A489="","",IFERROR(VLOOKUP(A489,Criterios!$A:$G,7,FALSE),"—"))</f>
        <v/>
      </c>
      <c r="C489" s="25" t="str">
        <f>IF(D489="","",IFERROR(VLOOKUP(D489,Catalogo_Documentos!$A:$B,3,FALSE),"—"))</f>
        <v/>
      </c>
      <c r="D489" s="29"/>
      <c r="E489" s="25" t="str">
        <f>IF(D489="","",IFERROR(VLOOKUP(D489,Catalogo_Documentos!$A:$B,2,FALSE),"—"))</f>
        <v/>
      </c>
      <c r="F489" s="25"/>
      <c r="I489" s="64"/>
    </row>
    <row r="490" spans="1:9">
      <c r="A490" s="28"/>
      <c r="B490" s="26" t="str">
        <f>IF(A490="","",IFERROR(VLOOKUP(A490,Criterios!$A:$G,7,FALSE),"—"))</f>
        <v/>
      </c>
      <c r="C490" s="25" t="str">
        <f>IF(D490="","",IFERROR(VLOOKUP(D490,Catalogo_Documentos!$A:$B,3,FALSE),"—"))</f>
        <v/>
      </c>
      <c r="D490" s="29"/>
      <c r="E490" s="25" t="str">
        <f>IF(D490="","",IFERROR(VLOOKUP(D490,Catalogo_Documentos!$A:$B,2,FALSE),"—"))</f>
        <v/>
      </c>
      <c r="F490" s="25"/>
      <c r="I490" s="64"/>
    </row>
    <row r="491" spans="1:9">
      <c r="A491" s="28"/>
      <c r="B491" s="26" t="str">
        <f>IF(A491="","",IFERROR(VLOOKUP(A491,Criterios!$A:$G,7,FALSE),"—"))</f>
        <v/>
      </c>
      <c r="C491" s="25" t="str">
        <f>IF(D491="","",IFERROR(VLOOKUP(D491,Catalogo_Documentos!$A:$B,3,FALSE),"—"))</f>
        <v/>
      </c>
      <c r="D491" s="29"/>
      <c r="E491" s="25" t="str">
        <f>IF(D491="","",IFERROR(VLOOKUP(D491,Catalogo_Documentos!$A:$B,2,FALSE),"—"))</f>
        <v/>
      </c>
      <c r="F491" s="25"/>
      <c r="I491" s="64"/>
    </row>
    <row r="492" spans="1:9">
      <c r="A492" s="28"/>
      <c r="B492" s="26" t="str">
        <f>IF(A492="","",IFERROR(VLOOKUP(A492,Criterios!$A:$G,7,FALSE),"—"))</f>
        <v/>
      </c>
      <c r="C492" s="25" t="str">
        <f>IF(D492="","",IFERROR(VLOOKUP(D492,Catalogo_Documentos!$A:$B,3,FALSE),"—"))</f>
        <v/>
      </c>
      <c r="D492" s="29"/>
      <c r="E492" s="25" t="str">
        <f>IF(D492="","",IFERROR(VLOOKUP(D492,Catalogo_Documentos!$A:$B,2,FALSE),"—"))</f>
        <v/>
      </c>
      <c r="F492" s="25"/>
      <c r="I492" s="64"/>
    </row>
    <row r="493" spans="1:9">
      <c r="A493" s="28"/>
      <c r="B493" s="26" t="str">
        <f>IF(A493="","",IFERROR(VLOOKUP(A493,Criterios!$A:$G,7,FALSE),"—"))</f>
        <v/>
      </c>
      <c r="C493" s="25" t="str">
        <f>IF(D493="","",IFERROR(VLOOKUP(D493,Catalogo_Documentos!$A:$B,3,FALSE),"—"))</f>
        <v/>
      </c>
      <c r="D493" s="29"/>
      <c r="E493" s="25" t="str">
        <f>IF(D493="","",IFERROR(VLOOKUP(D493,Catalogo_Documentos!$A:$B,2,FALSE),"—"))</f>
        <v/>
      </c>
      <c r="F493" s="25"/>
      <c r="I493" s="64"/>
    </row>
    <row r="494" spans="1:9">
      <c r="A494" s="28"/>
      <c r="B494" s="26" t="str">
        <f>IF(A494="","",IFERROR(VLOOKUP(A494,Criterios!$A:$G,7,FALSE),"—"))</f>
        <v/>
      </c>
      <c r="C494" s="25" t="str">
        <f>IF(D494="","",IFERROR(VLOOKUP(D494,Catalogo_Documentos!$A:$B,3,FALSE),"—"))</f>
        <v/>
      </c>
      <c r="D494" s="29"/>
      <c r="E494" s="25" t="str">
        <f>IF(D494="","",IFERROR(VLOOKUP(D494,Catalogo_Documentos!$A:$B,2,FALSE),"—"))</f>
        <v/>
      </c>
      <c r="F494" s="25"/>
      <c r="I494" s="64"/>
    </row>
    <row r="495" spans="1:9">
      <c r="A495" s="28"/>
      <c r="B495" s="26" t="str">
        <f>IF(A495="","",IFERROR(VLOOKUP(A495,Criterios!$A:$G,7,FALSE),"—"))</f>
        <v/>
      </c>
      <c r="C495" s="25" t="str">
        <f>IF(D495="","",IFERROR(VLOOKUP(D495,Catalogo_Documentos!$A:$B,3,FALSE),"—"))</f>
        <v/>
      </c>
      <c r="D495" s="29"/>
      <c r="E495" s="25" t="str">
        <f>IF(D495="","",IFERROR(VLOOKUP(D495,Catalogo_Documentos!$A:$B,2,FALSE),"—"))</f>
        <v/>
      </c>
      <c r="F495" s="25"/>
      <c r="I495" s="64"/>
    </row>
    <row r="496" spans="1:9">
      <c r="A496" s="28"/>
      <c r="B496" s="26" t="str">
        <f>IF(A496="","",IFERROR(VLOOKUP(A496,Criterios!$A:$G,7,FALSE),"—"))</f>
        <v/>
      </c>
      <c r="C496" s="25" t="str">
        <f>IF(D496="","",IFERROR(VLOOKUP(D496,Catalogo_Documentos!$A:$B,3,FALSE),"—"))</f>
        <v/>
      </c>
      <c r="D496" s="29"/>
      <c r="E496" s="25" t="str">
        <f>IF(D496="","",IFERROR(VLOOKUP(D496,Catalogo_Documentos!$A:$B,2,FALSE),"—"))</f>
        <v/>
      </c>
      <c r="F496" s="25"/>
      <c r="I496" s="64"/>
    </row>
    <row r="497" spans="1:9">
      <c r="A497" s="28"/>
      <c r="B497" s="26" t="str">
        <f>IF(A497="","",IFERROR(VLOOKUP(A497,Criterios!$A:$G,7,FALSE),"—"))</f>
        <v/>
      </c>
      <c r="C497" s="25" t="str">
        <f>IF(D497="","",IFERROR(VLOOKUP(D497,Catalogo_Documentos!$A:$B,3,FALSE),"—"))</f>
        <v/>
      </c>
      <c r="D497" s="29"/>
      <c r="E497" s="25" t="str">
        <f>IF(D497="","",IFERROR(VLOOKUP(D497,Catalogo_Documentos!$A:$B,2,FALSE),"—"))</f>
        <v/>
      </c>
      <c r="F497" s="25"/>
      <c r="I497" s="64"/>
    </row>
    <row r="498" spans="1:9">
      <c r="A498" s="28"/>
      <c r="B498" s="26" t="str">
        <f>IF(A498="","",IFERROR(VLOOKUP(A498,Criterios!$A:$G,7,FALSE),"—"))</f>
        <v/>
      </c>
      <c r="C498" s="25" t="str">
        <f>IF(D498="","",IFERROR(VLOOKUP(D498,Catalogo_Documentos!$A:$B,3,FALSE),"—"))</f>
        <v/>
      </c>
      <c r="D498" s="29"/>
      <c r="E498" s="25" t="str">
        <f>IF(D498="","",IFERROR(VLOOKUP(D498,Catalogo_Documentos!$A:$B,2,FALSE),"—"))</f>
        <v/>
      </c>
      <c r="F498" s="25"/>
      <c r="I498" s="64"/>
    </row>
    <row r="499" spans="1:9">
      <c r="A499" s="28"/>
      <c r="B499" s="26" t="str">
        <f>IF(A499="","",IFERROR(VLOOKUP(A499,Criterios!$A:$G,7,FALSE),"—"))</f>
        <v/>
      </c>
      <c r="C499" s="25" t="str">
        <f>IF(D499="","",IFERROR(VLOOKUP(D499,Catalogo_Documentos!$A:$B,3,FALSE),"—"))</f>
        <v/>
      </c>
      <c r="D499" s="29"/>
      <c r="E499" s="25" t="str">
        <f>IF(D499="","",IFERROR(VLOOKUP(D499,Catalogo_Documentos!$A:$B,2,FALSE),"—"))</f>
        <v/>
      </c>
      <c r="F499" s="25"/>
      <c r="I499" s="64"/>
    </row>
    <row r="500" spans="1:9">
      <c r="A500" s="28"/>
      <c r="B500" s="26" t="str">
        <f>IF(A500="","",IFERROR(VLOOKUP(A500,Criterios!$A:$G,7,FALSE),"—"))</f>
        <v/>
      </c>
      <c r="C500" s="25" t="str">
        <f>IF(D500="","",IFERROR(VLOOKUP(D500,Catalogo_Documentos!$A:$B,3,FALSE),"—"))</f>
        <v/>
      </c>
      <c r="D500" s="29"/>
      <c r="E500" s="25" t="str">
        <f>IF(D500="","",IFERROR(VLOOKUP(D500,Catalogo_Documentos!$A:$B,2,FALSE),"—"))</f>
        <v/>
      </c>
      <c r="F500" s="25"/>
      <c r="I500" s="64"/>
    </row>
    <row r="501" spans="1:9">
      <c r="A501" s="28"/>
      <c r="B501" s="26" t="str">
        <f>IF(A501="","",IFERROR(VLOOKUP(A501,Criterios!$A:$G,7,FALSE),"—"))</f>
        <v/>
      </c>
      <c r="C501" s="25" t="str">
        <f>IF(D501="","",IFERROR(VLOOKUP(D501,Catalogo_Documentos!$A:$B,3,FALSE),"—"))</f>
        <v/>
      </c>
      <c r="D501" s="29"/>
      <c r="E501" s="25" t="str">
        <f>IF(D501="","",IFERROR(VLOOKUP(D501,Catalogo_Documentos!$A:$B,2,FALSE),"—"))</f>
        <v/>
      </c>
      <c r="F501" s="25"/>
      <c r="I501" s="64"/>
    </row>
    <row r="502" spans="1:9">
      <c r="A502" s="28"/>
      <c r="B502" s="26" t="str">
        <f>IF(A502="","",IFERROR(VLOOKUP(A502,Criterios!$A:$G,7,FALSE),"—"))</f>
        <v/>
      </c>
      <c r="C502" s="25" t="str">
        <f>IF(D502="","",IFERROR(VLOOKUP(D502,Catalogo_Documentos!$A:$B,3,FALSE),"—"))</f>
        <v/>
      </c>
      <c r="D502" s="29"/>
      <c r="E502" s="25" t="str">
        <f>IF(D502="","",IFERROR(VLOOKUP(D502,Catalogo_Documentos!$A:$B,2,FALSE),"—"))</f>
        <v/>
      </c>
      <c r="F502" s="25"/>
      <c r="I502" s="64"/>
    </row>
    <row r="503" spans="1:9">
      <c r="A503" s="28"/>
      <c r="B503" s="26" t="str">
        <f>IF(A503="","",IFERROR(VLOOKUP(A503,Criterios!$A:$G,7,FALSE),"—"))</f>
        <v/>
      </c>
      <c r="C503" s="25" t="str">
        <f>IF(D503="","",IFERROR(VLOOKUP(D503,Catalogo_Documentos!$A:$B,3,FALSE),"—"))</f>
        <v/>
      </c>
      <c r="D503" s="29"/>
      <c r="E503" s="25" t="str">
        <f>IF(D503="","",IFERROR(VLOOKUP(D503,Catalogo_Documentos!$A:$B,2,FALSE),"—"))</f>
        <v/>
      </c>
      <c r="F503" s="25"/>
      <c r="I503" s="64"/>
    </row>
    <row r="504" spans="1:9">
      <c r="A504" s="28"/>
      <c r="B504" s="26" t="str">
        <f>IF(A504="","",IFERROR(VLOOKUP(A504,Criterios!$A:$G,7,FALSE),"—"))</f>
        <v/>
      </c>
      <c r="C504" s="25" t="str">
        <f>IF(D504="","",IFERROR(VLOOKUP(D504,Catalogo_Documentos!$A:$B,3,FALSE),"—"))</f>
        <v/>
      </c>
      <c r="D504" s="29"/>
      <c r="E504" s="25" t="str">
        <f>IF(D504="","",IFERROR(VLOOKUP(D504,Catalogo_Documentos!$A:$B,2,FALSE),"—"))</f>
        <v/>
      </c>
      <c r="F504" s="25"/>
      <c r="I504" s="64"/>
    </row>
    <row r="505" spans="1:9">
      <c r="A505" s="28"/>
      <c r="B505" s="26" t="str">
        <f>IF(A505="","",IFERROR(VLOOKUP(A505,Criterios!$A:$G,7,FALSE),"—"))</f>
        <v/>
      </c>
      <c r="C505" s="25" t="str">
        <f>IF(D505="","",IFERROR(VLOOKUP(D505,Catalogo_Documentos!$A:$B,3,FALSE),"—"))</f>
        <v/>
      </c>
      <c r="D505" s="29"/>
      <c r="E505" s="25" t="str">
        <f>IF(D505="","",IFERROR(VLOOKUP(D505,Catalogo_Documentos!$A:$B,2,FALSE),"—"))</f>
        <v/>
      </c>
      <c r="F505" s="25"/>
      <c r="I505" s="64"/>
    </row>
    <row r="506" spans="1:9">
      <c r="A506" s="28"/>
      <c r="B506" s="26" t="str">
        <f>IF(A506="","",IFERROR(VLOOKUP(A506,Criterios!$A:$G,7,FALSE),"—"))</f>
        <v/>
      </c>
      <c r="C506" s="25" t="str">
        <f>IF(D506="","",IFERROR(VLOOKUP(D506,Catalogo_Documentos!$A:$B,3,FALSE),"—"))</f>
        <v/>
      </c>
      <c r="D506" s="29"/>
      <c r="E506" s="25" t="str">
        <f>IF(D506="","",IFERROR(VLOOKUP(D506,Catalogo_Documentos!$A:$B,2,FALSE),"—"))</f>
        <v/>
      </c>
      <c r="F506" s="25"/>
      <c r="I506" s="64"/>
    </row>
    <row r="507" spans="1:9">
      <c r="A507" s="28"/>
      <c r="B507" s="26" t="str">
        <f>IF(A507="","",IFERROR(VLOOKUP(A507,Criterios!$A:$G,7,FALSE),"—"))</f>
        <v/>
      </c>
      <c r="C507" s="25" t="str">
        <f>IF(D507="","",IFERROR(VLOOKUP(D507,Catalogo_Documentos!$A:$B,3,FALSE),"—"))</f>
        <v/>
      </c>
      <c r="D507" s="29"/>
      <c r="E507" s="25" t="str">
        <f>IF(D507="","",IFERROR(VLOOKUP(D507,Catalogo_Documentos!$A:$B,2,FALSE),"—"))</f>
        <v/>
      </c>
      <c r="F507" s="25"/>
      <c r="I507" s="64"/>
    </row>
    <row r="508" spans="1:9">
      <c r="A508" s="28"/>
      <c r="B508" s="26" t="str">
        <f>IF(A508="","",IFERROR(VLOOKUP(A508,Criterios!$A:$G,7,FALSE),"—"))</f>
        <v/>
      </c>
      <c r="C508" s="25" t="str">
        <f>IF(D508="","",IFERROR(VLOOKUP(D508,Catalogo_Documentos!$A:$B,3,FALSE),"—"))</f>
        <v/>
      </c>
      <c r="D508" s="29"/>
      <c r="E508" s="25" t="str">
        <f>IF(D508="","",IFERROR(VLOOKUP(D508,Catalogo_Documentos!$A:$B,2,FALSE),"—"))</f>
        <v/>
      </c>
      <c r="F508" s="25"/>
      <c r="I508" s="64"/>
    </row>
    <row r="509" spans="1:9">
      <c r="A509" s="28"/>
      <c r="B509" s="26" t="str">
        <f>IF(A509="","",IFERROR(VLOOKUP(A509,Criterios!$A:$G,7,FALSE),"—"))</f>
        <v/>
      </c>
      <c r="C509" s="25" t="str">
        <f>IF(D509="","",IFERROR(VLOOKUP(D509,Catalogo_Documentos!$A:$B,3,FALSE),"—"))</f>
        <v/>
      </c>
      <c r="D509" s="29"/>
      <c r="E509" s="25" t="str">
        <f>IF(D509="","",IFERROR(VLOOKUP(D509,Catalogo_Documentos!$A:$B,2,FALSE),"—"))</f>
        <v/>
      </c>
      <c r="F509" s="25"/>
      <c r="I509" s="64"/>
    </row>
    <row r="510" spans="1:9">
      <c r="A510" s="28"/>
      <c r="B510" s="26" t="str">
        <f>IF(A510="","",IFERROR(VLOOKUP(A510,Criterios!$A:$G,7,FALSE),"—"))</f>
        <v/>
      </c>
      <c r="C510" s="25" t="str">
        <f>IF(D510="","",IFERROR(VLOOKUP(D510,Catalogo_Documentos!$A:$B,3,FALSE),"—"))</f>
        <v/>
      </c>
      <c r="D510" s="29"/>
      <c r="E510" s="25" t="str">
        <f>IF(D510="","",IFERROR(VLOOKUP(D510,Catalogo_Documentos!$A:$B,2,FALSE),"—"))</f>
        <v/>
      </c>
      <c r="F510" s="25"/>
      <c r="I510" s="64"/>
    </row>
    <row r="511" spans="1:9">
      <c r="A511" s="28"/>
      <c r="B511" s="26" t="str">
        <f>IF(A511="","",IFERROR(VLOOKUP(A511,Criterios!$A:$G,7,FALSE),"—"))</f>
        <v/>
      </c>
      <c r="C511" s="25" t="str">
        <f>IF(D511="","",IFERROR(VLOOKUP(D511,Catalogo_Documentos!$A:$B,3,FALSE),"—"))</f>
        <v/>
      </c>
      <c r="D511" s="29"/>
      <c r="E511" s="25" t="str">
        <f>IF(D511="","",IFERROR(VLOOKUP(D511,Catalogo_Documentos!$A:$B,2,FALSE),"—"))</f>
        <v/>
      </c>
      <c r="F511" s="25"/>
      <c r="I511" s="64"/>
    </row>
    <row r="512" spans="1:9">
      <c r="A512" s="28"/>
      <c r="B512" s="26" t="str">
        <f>IF(A512="","",IFERROR(VLOOKUP(A512,Criterios!$A:$G,7,FALSE),"—"))</f>
        <v/>
      </c>
      <c r="C512" s="25" t="str">
        <f>IF(D512="","",IFERROR(VLOOKUP(D512,Catalogo_Documentos!$A:$B,3,FALSE),"—"))</f>
        <v/>
      </c>
      <c r="D512" s="29"/>
      <c r="E512" s="25" t="str">
        <f>IF(D512="","",IFERROR(VLOOKUP(D512,Catalogo_Documentos!$A:$B,2,FALSE),"—"))</f>
        <v/>
      </c>
      <c r="F512" s="25"/>
      <c r="I512" s="64"/>
    </row>
    <row r="513" spans="1:9">
      <c r="A513" s="28"/>
      <c r="B513" s="26" t="str">
        <f>IF(A513="","",IFERROR(VLOOKUP(A513,Criterios!$A:$G,7,FALSE),"—"))</f>
        <v/>
      </c>
      <c r="C513" s="25" t="str">
        <f>IF(D513="","",IFERROR(VLOOKUP(D513,Catalogo_Documentos!$A:$B,3,FALSE),"—"))</f>
        <v/>
      </c>
      <c r="D513" s="29"/>
      <c r="E513" s="25" t="str">
        <f>IF(D513="","",IFERROR(VLOOKUP(D513,Catalogo_Documentos!$A:$B,2,FALSE),"—"))</f>
        <v/>
      </c>
      <c r="F513" s="25"/>
      <c r="I513" s="64"/>
    </row>
    <row r="514" spans="1:9">
      <c r="A514" s="28"/>
      <c r="B514" s="26" t="str">
        <f>IF(A514="","",IFERROR(VLOOKUP(A514,Criterios!$A:$G,7,FALSE),"—"))</f>
        <v/>
      </c>
      <c r="C514" s="25" t="str">
        <f>IF(D514="","",IFERROR(VLOOKUP(D514,Catalogo_Documentos!$A:$B,3,FALSE),"—"))</f>
        <v/>
      </c>
      <c r="D514" s="29"/>
      <c r="E514" s="25" t="str">
        <f>IF(D514="","",IFERROR(VLOOKUP(D514,Catalogo_Documentos!$A:$B,2,FALSE),"—"))</f>
        <v/>
      </c>
      <c r="F514" s="25"/>
      <c r="I514" s="64"/>
    </row>
    <row r="515" spans="1:9">
      <c r="A515" s="28"/>
      <c r="B515" s="26" t="str">
        <f>IF(A515="","",IFERROR(VLOOKUP(A515,Criterios!$A:$G,7,FALSE),"—"))</f>
        <v/>
      </c>
      <c r="C515" s="25" t="str">
        <f>IF(D515="","",IFERROR(VLOOKUP(D515,Catalogo_Documentos!$A:$B,3,FALSE),"—"))</f>
        <v/>
      </c>
      <c r="D515" s="29"/>
      <c r="E515" s="25" t="str">
        <f>IF(D515="","",IFERROR(VLOOKUP(D515,Catalogo_Documentos!$A:$B,2,FALSE),"—"))</f>
        <v/>
      </c>
      <c r="F515" s="25"/>
      <c r="I515" s="64"/>
    </row>
    <row r="516" spans="1:9">
      <c r="A516" s="28"/>
      <c r="B516" s="26" t="str">
        <f>IF(A516="","",IFERROR(VLOOKUP(A516,Criterios!$A:$G,7,FALSE),"—"))</f>
        <v/>
      </c>
      <c r="C516" s="25" t="str">
        <f>IF(D516="","",IFERROR(VLOOKUP(D516,Catalogo_Documentos!$A:$B,3,FALSE),"—"))</f>
        <v/>
      </c>
      <c r="D516" s="29"/>
      <c r="E516" s="25" t="str">
        <f>IF(D516="","",IFERROR(VLOOKUP(D516,Catalogo_Documentos!$A:$B,2,FALSE),"—"))</f>
        <v/>
      </c>
      <c r="F516" s="25"/>
      <c r="I516" s="64"/>
    </row>
    <row r="517" spans="1:9">
      <c r="A517" s="28"/>
      <c r="B517" s="26" t="str">
        <f>IF(A517="","",IFERROR(VLOOKUP(A517,Criterios!$A:$G,7,FALSE),"—"))</f>
        <v/>
      </c>
      <c r="C517" s="25" t="str">
        <f>IF(D517="","",IFERROR(VLOOKUP(D517,Catalogo_Documentos!$A:$B,3,FALSE),"—"))</f>
        <v/>
      </c>
      <c r="D517" s="29"/>
      <c r="E517" s="25" t="str">
        <f>IF(D517="","",IFERROR(VLOOKUP(D517,Catalogo_Documentos!$A:$B,2,FALSE),"—"))</f>
        <v/>
      </c>
      <c r="F517" s="25"/>
      <c r="I517" s="64"/>
    </row>
    <row r="518" spans="1:9">
      <c r="A518" s="28"/>
      <c r="B518" s="26" t="str">
        <f>IF(A518="","",IFERROR(VLOOKUP(A518,Criterios!$A:$G,7,FALSE),"—"))</f>
        <v/>
      </c>
      <c r="C518" s="25" t="str">
        <f>IF(D518="","",IFERROR(VLOOKUP(D518,Catalogo_Documentos!$A:$B,3,FALSE),"—"))</f>
        <v/>
      </c>
      <c r="D518" s="29"/>
      <c r="E518" s="25" t="str">
        <f>IF(D518="","",IFERROR(VLOOKUP(D518,Catalogo_Documentos!$A:$B,2,FALSE),"—"))</f>
        <v/>
      </c>
      <c r="F518" s="25"/>
      <c r="I518" s="64"/>
    </row>
    <row r="519" spans="1:9">
      <c r="A519" s="28"/>
      <c r="B519" s="26" t="str">
        <f>IF(A519="","",IFERROR(VLOOKUP(A519,Criterios!$A:$G,7,FALSE),"—"))</f>
        <v/>
      </c>
      <c r="C519" s="25" t="str">
        <f>IF(D519="","",IFERROR(VLOOKUP(D519,Catalogo_Documentos!$A:$B,3,FALSE),"—"))</f>
        <v/>
      </c>
      <c r="D519" s="29"/>
      <c r="E519" s="25" t="str">
        <f>IF(D519="","",IFERROR(VLOOKUP(D519,Catalogo_Documentos!$A:$B,2,FALSE),"—"))</f>
        <v/>
      </c>
      <c r="F519" s="25"/>
      <c r="I519" s="64"/>
    </row>
    <row r="520" spans="1:9">
      <c r="A520" s="28"/>
      <c r="B520" s="26" t="str">
        <f>IF(A520="","",IFERROR(VLOOKUP(A520,Criterios!$A:$G,7,FALSE),"—"))</f>
        <v/>
      </c>
      <c r="C520" s="25" t="str">
        <f>IF(D520="","",IFERROR(VLOOKUP(D520,Catalogo_Documentos!$A:$B,3,FALSE),"—"))</f>
        <v/>
      </c>
      <c r="D520" s="29"/>
      <c r="E520" s="25" t="str">
        <f>IF(D520="","",IFERROR(VLOOKUP(D520,Catalogo_Documentos!$A:$B,2,FALSE),"—"))</f>
        <v/>
      </c>
      <c r="F520" s="25"/>
      <c r="I520" s="64"/>
    </row>
    <row r="521" spans="1:9">
      <c r="A521" s="28"/>
      <c r="B521" s="26" t="str">
        <f>IF(A521="","",IFERROR(VLOOKUP(A521,Criterios!$A:$G,7,FALSE),"—"))</f>
        <v/>
      </c>
      <c r="C521" s="25" t="str">
        <f>IF(D521="","",IFERROR(VLOOKUP(D521,Catalogo_Documentos!$A:$B,3,FALSE),"—"))</f>
        <v/>
      </c>
      <c r="D521" s="29"/>
      <c r="E521" s="25" t="str">
        <f>IF(D521="","",IFERROR(VLOOKUP(D521,Catalogo_Documentos!$A:$B,2,FALSE),"—"))</f>
        <v/>
      </c>
      <c r="F521" s="25"/>
      <c r="I521" s="64"/>
    </row>
    <row r="522" spans="1:9">
      <c r="A522" s="28"/>
      <c r="B522" s="26" t="str">
        <f>IF(A522="","",IFERROR(VLOOKUP(A522,Criterios!$A:$G,7,FALSE),"—"))</f>
        <v/>
      </c>
      <c r="C522" s="25" t="str">
        <f>IF(D522="","",IFERROR(VLOOKUP(D522,Catalogo_Documentos!$A:$B,3,FALSE),"—"))</f>
        <v/>
      </c>
      <c r="D522" s="29"/>
      <c r="E522" s="25" t="str">
        <f>IF(D522="","",IFERROR(VLOOKUP(D522,Catalogo_Documentos!$A:$B,2,FALSE),"—"))</f>
        <v/>
      </c>
      <c r="F522" s="25"/>
      <c r="I522" s="64"/>
    </row>
    <row r="523" spans="1:9">
      <c r="A523" s="28"/>
      <c r="B523" s="26" t="str">
        <f>IF(A523="","",IFERROR(VLOOKUP(A523,Criterios!$A:$G,7,FALSE),"—"))</f>
        <v/>
      </c>
      <c r="C523" s="25" t="str">
        <f>IF(D523="","",IFERROR(VLOOKUP(D523,Catalogo_Documentos!$A:$B,3,FALSE),"—"))</f>
        <v/>
      </c>
      <c r="D523" s="29"/>
      <c r="E523" s="25" t="str">
        <f>IF(D523="","",IFERROR(VLOOKUP(D523,Catalogo_Documentos!$A:$B,2,FALSE),"—"))</f>
        <v/>
      </c>
      <c r="F523" s="25"/>
      <c r="I523" s="64"/>
    </row>
    <row r="524" spans="1:9">
      <c r="A524" s="28"/>
      <c r="B524" s="26" t="str">
        <f>IF(A524="","",IFERROR(VLOOKUP(A524,Criterios!$A:$G,7,FALSE),"—"))</f>
        <v/>
      </c>
      <c r="C524" s="25" t="str">
        <f>IF(D524="","",IFERROR(VLOOKUP(D524,Catalogo_Documentos!$A:$B,3,FALSE),"—"))</f>
        <v/>
      </c>
      <c r="D524" s="29"/>
      <c r="E524" s="25" t="str">
        <f>IF(D524="","",IFERROR(VLOOKUP(D524,Catalogo_Documentos!$A:$B,2,FALSE),"—"))</f>
        <v/>
      </c>
      <c r="F524" s="25"/>
      <c r="I524" s="64"/>
    </row>
    <row r="525" spans="1:9">
      <c r="A525" s="28"/>
      <c r="B525" s="26" t="str">
        <f>IF(A525="","",IFERROR(VLOOKUP(A525,Criterios!$A:$G,7,FALSE),"—"))</f>
        <v/>
      </c>
      <c r="C525" s="25" t="str">
        <f>IF(D525="","",IFERROR(VLOOKUP(D525,Catalogo_Documentos!$A:$B,3,FALSE),"—"))</f>
        <v/>
      </c>
      <c r="D525" s="29"/>
      <c r="E525" s="25" t="str">
        <f>IF(D525="","",IFERROR(VLOOKUP(D525,Catalogo_Documentos!$A:$B,2,FALSE),"—"))</f>
        <v/>
      </c>
      <c r="F525" s="25"/>
      <c r="I525" s="64"/>
    </row>
    <row r="526" spans="1:9">
      <c r="A526" s="28"/>
      <c r="B526" s="26" t="str">
        <f>IF(A526="","",IFERROR(VLOOKUP(A526,Criterios!$A:$G,7,FALSE),"—"))</f>
        <v/>
      </c>
      <c r="C526" s="25" t="str">
        <f>IF(D526="","",IFERROR(VLOOKUP(D526,Catalogo_Documentos!$A:$B,3,FALSE),"—"))</f>
        <v/>
      </c>
      <c r="D526" s="29"/>
      <c r="E526" s="25" t="str">
        <f>IF(D526="","",IFERROR(VLOOKUP(D526,Catalogo_Documentos!$A:$B,2,FALSE),"—"))</f>
        <v/>
      </c>
      <c r="F526" s="25"/>
      <c r="I526" s="64"/>
    </row>
    <row r="527" spans="1:9">
      <c r="A527" s="28"/>
      <c r="B527" s="26" t="str">
        <f>IF(A527="","",IFERROR(VLOOKUP(A527,Criterios!$A:$G,7,FALSE),"—"))</f>
        <v/>
      </c>
      <c r="C527" s="25" t="str">
        <f>IF(D527="","",IFERROR(VLOOKUP(D527,Catalogo_Documentos!$A:$B,3,FALSE),"—"))</f>
        <v/>
      </c>
      <c r="D527" s="29"/>
      <c r="E527" s="25" t="str">
        <f>IF(D527="","",IFERROR(VLOOKUP(D527,Catalogo_Documentos!$A:$B,2,FALSE),"—"))</f>
        <v/>
      </c>
      <c r="F527" s="25"/>
      <c r="I527" s="64"/>
    </row>
    <row r="528" spans="1:9">
      <c r="A528" s="28"/>
      <c r="B528" s="26" t="str">
        <f>IF(A528="","",IFERROR(VLOOKUP(A528,Criterios!$A:$G,7,FALSE),"—"))</f>
        <v/>
      </c>
      <c r="C528" s="25" t="str">
        <f>IF(D528="","",IFERROR(VLOOKUP(D528,Catalogo_Documentos!$A:$B,3,FALSE),"—"))</f>
        <v/>
      </c>
      <c r="D528" s="29"/>
      <c r="E528" s="25" t="str">
        <f>IF(D528="","",IFERROR(VLOOKUP(D528,Catalogo_Documentos!$A:$B,2,FALSE),"—"))</f>
        <v/>
      </c>
      <c r="F528" s="25"/>
      <c r="I528" s="64"/>
    </row>
    <row r="529" spans="1:9">
      <c r="A529" s="28"/>
      <c r="B529" s="26" t="str">
        <f>IF(A529="","",IFERROR(VLOOKUP(A529,Criterios!$A:$G,7,FALSE),"—"))</f>
        <v/>
      </c>
      <c r="C529" s="25" t="str">
        <f>IF(D529="","",IFERROR(VLOOKUP(D529,Catalogo_Documentos!$A:$B,3,FALSE),"—"))</f>
        <v/>
      </c>
      <c r="D529" s="29"/>
      <c r="E529" s="25" t="str">
        <f>IF(D529="","",IFERROR(VLOOKUP(D529,Catalogo_Documentos!$A:$B,2,FALSE),"—"))</f>
        <v/>
      </c>
      <c r="F529" s="25"/>
      <c r="I529" s="64"/>
    </row>
    <row r="530" spans="1:9">
      <c r="A530" s="28"/>
      <c r="B530" s="26" t="str">
        <f>IF(A530="","",IFERROR(VLOOKUP(A530,Criterios!$A:$G,7,FALSE),"—"))</f>
        <v/>
      </c>
      <c r="C530" s="25" t="str">
        <f>IF(D530="","",IFERROR(VLOOKUP(D530,Catalogo_Documentos!$A:$B,3,FALSE),"—"))</f>
        <v/>
      </c>
      <c r="D530" s="29"/>
      <c r="E530" s="25" t="str">
        <f>IF(D530="","",IFERROR(VLOOKUP(D530,Catalogo_Documentos!$A:$B,2,FALSE),"—"))</f>
        <v/>
      </c>
      <c r="F530" s="25"/>
      <c r="I530" s="64"/>
    </row>
    <row r="531" spans="1:9">
      <c r="A531" s="28"/>
      <c r="B531" s="26" t="str">
        <f>IF(A531="","",IFERROR(VLOOKUP(A531,Criterios!$A:$G,7,FALSE),"—"))</f>
        <v/>
      </c>
      <c r="C531" s="25" t="str">
        <f>IF(D531="","",IFERROR(VLOOKUP(D531,Catalogo_Documentos!$A:$B,3,FALSE),"—"))</f>
        <v/>
      </c>
      <c r="D531" s="29"/>
      <c r="E531" s="25" t="str">
        <f>IF(D531="","",IFERROR(VLOOKUP(D531,Catalogo_Documentos!$A:$B,2,FALSE),"—"))</f>
        <v/>
      </c>
      <c r="F531" s="25"/>
      <c r="I531" s="64"/>
    </row>
    <row r="532" spans="1:9">
      <c r="A532" s="28"/>
      <c r="B532" s="26" t="str">
        <f>IF(A532="","",IFERROR(VLOOKUP(A532,Criterios!$A:$G,7,FALSE),"—"))</f>
        <v/>
      </c>
      <c r="C532" s="25" t="str">
        <f>IF(D532="","",IFERROR(VLOOKUP(D532,Catalogo_Documentos!$A:$B,3,FALSE),"—"))</f>
        <v/>
      </c>
      <c r="D532" s="29"/>
      <c r="E532" s="25" t="str">
        <f>IF(D532="","",IFERROR(VLOOKUP(D532,Catalogo_Documentos!$A:$B,2,FALSE),"—"))</f>
        <v/>
      </c>
      <c r="F532" s="25"/>
      <c r="I532" s="64"/>
    </row>
    <row r="533" spans="1:9">
      <c r="A533" s="28"/>
      <c r="B533" s="26" t="str">
        <f>IF(A533="","",IFERROR(VLOOKUP(A533,Criterios!$A:$G,7,FALSE),"—"))</f>
        <v/>
      </c>
      <c r="C533" s="25" t="str">
        <f>IF(D533="","",IFERROR(VLOOKUP(D533,Catalogo_Documentos!$A:$B,3,FALSE),"—"))</f>
        <v/>
      </c>
      <c r="D533" s="29"/>
      <c r="E533" s="25" t="str">
        <f>IF(D533="","",IFERROR(VLOOKUP(D533,Catalogo_Documentos!$A:$B,2,FALSE),"—"))</f>
        <v/>
      </c>
      <c r="F533" s="25"/>
      <c r="I533" s="64"/>
    </row>
    <row r="534" spans="1:9">
      <c r="A534" s="28"/>
      <c r="B534" s="26" t="str">
        <f>IF(A534="","",IFERROR(VLOOKUP(A534,Criterios!$A:$G,7,FALSE),"—"))</f>
        <v/>
      </c>
      <c r="C534" s="25" t="str">
        <f>IF(D534="","",IFERROR(VLOOKUP(D534,Catalogo_Documentos!$A:$B,3,FALSE),"—"))</f>
        <v/>
      </c>
      <c r="D534" s="29"/>
      <c r="E534" s="25" t="str">
        <f>IF(D534="","",IFERROR(VLOOKUP(D534,Catalogo_Documentos!$A:$B,2,FALSE),"—"))</f>
        <v/>
      </c>
      <c r="F534" s="25"/>
      <c r="I534" s="64"/>
    </row>
    <row r="535" spans="1:9">
      <c r="A535" s="28"/>
      <c r="B535" s="26" t="str">
        <f>IF(A535="","",IFERROR(VLOOKUP(A535,Criterios!$A:$G,7,FALSE),"—"))</f>
        <v/>
      </c>
      <c r="C535" s="25" t="str">
        <f>IF(D535="","",IFERROR(VLOOKUP(D535,Catalogo_Documentos!$A:$B,3,FALSE),"—"))</f>
        <v/>
      </c>
      <c r="D535" s="29"/>
      <c r="E535" s="25" t="str">
        <f>IF(D535="","",IFERROR(VLOOKUP(D535,Catalogo_Documentos!$A:$B,2,FALSE),"—"))</f>
        <v/>
      </c>
      <c r="F535" s="25"/>
      <c r="I535" s="64"/>
    </row>
    <row r="536" spans="1:9">
      <c r="A536" s="28"/>
      <c r="B536" s="26" t="str">
        <f>IF(A536="","",IFERROR(VLOOKUP(A536,Criterios!$A:$G,7,FALSE),"—"))</f>
        <v/>
      </c>
      <c r="C536" s="25" t="str">
        <f>IF(D536="","",IFERROR(VLOOKUP(D536,Catalogo_Documentos!$A:$B,3,FALSE),"—"))</f>
        <v/>
      </c>
      <c r="D536" s="29"/>
      <c r="E536" s="25" t="str">
        <f>IF(D536="","",IFERROR(VLOOKUP(D536,Catalogo_Documentos!$A:$B,2,FALSE),"—"))</f>
        <v/>
      </c>
      <c r="F536" s="25"/>
      <c r="I536" s="64"/>
    </row>
    <row r="537" spans="1:9">
      <c r="A537" s="28"/>
      <c r="B537" s="26" t="str">
        <f>IF(A537="","",IFERROR(VLOOKUP(A537,Criterios!$A:$G,7,FALSE),"—"))</f>
        <v/>
      </c>
      <c r="C537" s="25" t="str">
        <f>IF(D537="","",IFERROR(VLOOKUP(D537,Catalogo_Documentos!$A:$B,3,FALSE),"—"))</f>
        <v/>
      </c>
      <c r="D537" s="29"/>
      <c r="E537" s="25" t="str">
        <f>IF(D537="","",IFERROR(VLOOKUP(D537,Catalogo_Documentos!$A:$B,2,FALSE),"—"))</f>
        <v/>
      </c>
      <c r="F537" s="25"/>
      <c r="I537" s="64"/>
    </row>
    <row r="538" spans="1:9">
      <c r="A538" s="28"/>
      <c r="B538" s="26" t="str">
        <f>IF(A538="","",IFERROR(VLOOKUP(A538,Criterios!$A:$G,7,FALSE),"—"))</f>
        <v/>
      </c>
      <c r="C538" s="25" t="str">
        <f>IF(D538="","",IFERROR(VLOOKUP(D538,Catalogo_Documentos!$A:$B,3,FALSE),"—"))</f>
        <v/>
      </c>
      <c r="D538" s="29"/>
      <c r="E538" s="25" t="str">
        <f>IF(D538="","",IFERROR(VLOOKUP(D538,Catalogo_Documentos!$A:$B,2,FALSE),"—"))</f>
        <v/>
      </c>
      <c r="F538" s="25"/>
      <c r="I538" s="64"/>
    </row>
    <row r="539" spans="1:9">
      <c r="A539" s="28"/>
      <c r="B539" s="26" t="str">
        <f>IF(A539="","",IFERROR(VLOOKUP(A539,Criterios!$A:$G,7,FALSE),"—"))</f>
        <v/>
      </c>
      <c r="C539" s="25" t="str">
        <f>IF(D539="","",IFERROR(VLOOKUP(D539,Catalogo_Documentos!$A:$B,3,FALSE),"—"))</f>
        <v/>
      </c>
      <c r="D539" s="29"/>
      <c r="E539" s="25" t="str">
        <f>IF(D539="","",IFERROR(VLOOKUP(D539,Catalogo_Documentos!$A:$B,2,FALSE),"—"))</f>
        <v/>
      </c>
      <c r="F539" s="25"/>
      <c r="I539" s="64"/>
    </row>
    <row r="540" spans="1:9">
      <c r="A540" s="28"/>
      <c r="B540" s="26" t="str">
        <f>IF(A540="","",IFERROR(VLOOKUP(A540,Criterios!$A:$G,7,FALSE),"—"))</f>
        <v/>
      </c>
      <c r="C540" s="25" t="str">
        <f>IF(D540="","",IFERROR(VLOOKUP(D540,Catalogo_Documentos!$A:$B,3,FALSE),"—"))</f>
        <v/>
      </c>
      <c r="D540" s="29"/>
      <c r="E540" s="25" t="str">
        <f>IF(D540="","",IFERROR(VLOOKUP(D540,Catalogo_Documentos!$A:$B,2,FALSE),"—"))</f>
        <v/>
      </c>
      <c r="F540" s="25"/>
      <c r="I540" s="64"/>
    </row>
    <row r="541" spans="1:9">
      <c r="A541" s="28"/>
      <c r="B541" s="26" t="str">
        <f>IF(A541="","",IFERROR(VLOOKUP(A541,Criterios!$A:$G,7,FALSE),"—"))</f>
        <v/>
      </c>
      <c r="C541" s="25" t="str">
        <f>IF(D541="","",IFERROR(VLOOKUP(D541,Catalogo_Documentos!$A:$B,3,FALSE),"—"))</f>
        <v/>
      </c>
      <c r="D541" s="29"/>
      <c r="E541" s="25" t="str">
        <f>IF(D541="","",IFERROR(VLOOKUP(D541,Catalogo_Documentos!$A:$B,2,FALSE),"—"))</f>
        <v/>
      </c>
      <c r="F541" s="25"/>
      <c r="I541" s="64"/>
    </row>
    <row r="542" spans="1:9">
      <c r="A542" s="28"/>
      <c r="B542" s="26" t="str">
        <f>IF(A542="","",IFERROR(VLOOKUP(A542,Criterios!$A:$G,7,FALSE),"—"))</f>
        <v/>
      </c>
      <c r="C542" s="25" t="str">
        <f>IF(D542="","",IFERROR(VLOOKUP(D542,Catalogo_Documentos!$A:$B,3,FALSE),"—"))</f>
        <v/>
      </c>
      <c r="D542" s="29"/>
      <c r="E542" s="25" t="str">
        <f>IF(D542="","",IFERROR(VLOOKUP(D542,Catalogo_Documentos!$A:$B,2,FALSE),"—"))</f>
        <v/>
      </c>
      <c r="F542" s="25"/>
      <c r="I542" s="64"/>
    </row>
    <row r="543" spans="1:9">
      <c r="A543" s="28"/>
      <c r="B543" s="26" t="str">
        <f>IF(A543="","",IFERROR(VLOOKUP(A543,Criterios!$A:$G,7,FALSE),"—"))</f>
        <v/>
      </c>
      <c r="C543" s="25" t="str">
        <f>IF(D543="","",IFERROR(VLOOKUP(D543,Catalogo_Documentos!$A:$B,3,FALSE),"—"))</f>
        <v/>
      </c>
      <c r="D543" s="29"/>
      <c r="E543" s="25" t="str">
        <f>IF(D543="","",IFERROR(VLOOKUP(D543,Catalogo_Documentos!$A:$B,2,FALSE),"—"))</f>
        <v/>
      </c>
      <c r="F543" s="25"/>
      <c r="I543" s="64"/>
    </row>
    <row r="544" spans="1:9">
      <c r="A544" s="28"/>
      <c r="B544" s="26" t="str">
        <f>IF(A544="","",IFERROR(VLOOKUP(A544,Criterios!$A:$G,7,FALSE),"—"))</f>
        <v/>
      </c>
      <c r="C544" s="25" t="str">
        <f>IF(D544="","",IFERROR(VLOOKUP(D544,Catalogo_Documentos!$A:$B,3,FALSE),"—"))</f>
        <v/>
      </c>
      <c r="D544" s="29"/>
      <c r="E544" s="25" t="str">
        <f>IF(D544="","",IFERROR(VLOOKUP(D544,Catalogo_Documentos!$A:$B,2,FALSE),"—"))</f>
        <v/>
      </c>
      <c r="F544" s="25"/>
      <c r="I544" s="64"/>
    </row>
    <row r="545" spans="1:9">
      <c r="A545" s="28"/>
      <c r="B545" s="26" t="str">
        <f>IF(A545="","",IFERROR(VLOOKUP(A545,Criterios!$A:$G,7,FALSE),"—"))</f>
        <v/>
      </c>
      <c r="C545" s="25" t="str">
        <f>IF(D545="","",IFERROR(VLOOKUP(D545,Catalogo_Documentos!$A:$B,3,FALSE),"—"))</f>
        <v/>
      </c>
      <c r="D545" s="29"/>
      <c r="E545" s="25" t="str">
        <f>IF(D545="","",IFERROR(VLOOKUP(D545,Catalogo_Documentos!$A:$B,2,FALSE),"—"))</f>
        <v/>
      </c>
      <c r="F545" s="25"/>
      <c r="I545" s="64"/>
    </row>
    <row r="546" spans="1:9">
      <c r="A546" s="28"/>
      <c r="B546" s="26" t="str">
        <f>IF(A546="","",IFERROR(VLOOKUP(A546,Criterios!$A:$G,7,FALSE),"—"))</f>
        <v/>
      </c>
      <c r="C546" s="25" t="str">
        <f>IF(D546="","",IFERROR(VLOOKUP(D546,Catalogo_Documentos!$A:$B,3,FALSE),"—"))</f>
        <v/>
      </c>
      <c r="D546" s="29"/>
      <c r="E546" s="25" t="str">
        <f>IF(D546="","",IFERROR(VLOOKUP(D546,Catalogo_Documentos!$A:$B,2,FALSE),"—"))</f>
        <v/>
      </c>
      <c r="F546" s="25"/>
      <c r="I546" s="64"/>
    </row>
    <row r="547" spans="1:9">
      <c r="A547" s="28"/>
      <c r="B547" s="26" t="str">
        <f>IF(A547="","",IFERROR(VLOOKUP(A547,Criterios!$A:$G,7,FALSE),"—"))</f>
        <v/>
      </c>
      <c r="C547" s="25" t="str">
        <f>IF(D547="","",IFERROR(VLOOKUP(D547,Catalogo_Documentos!$A:$B,3,FALSE),"—"))</f>
        <v/>
      </c>
      <c r="D547" s="29"/>
      <c r="E547" s="25" t="str">
        <f>IF(D547="","",IFERROR(VLOOKUP(D547,Catalogo_Documentos!$A:$B,2,FALSE),"—"))</f>
        <v/>
      </c>
      <c r="F547" s="25"/>
      <c r="I547" s="64"/>
    </row>
    <row r="548" spans="1:9">
      <c r="A548" s="28"/>
      <c r="B548" s="26" t="str">
        <f>IF(A548="","",IFERROR(VLOOKUP(A548,Criterios!$A:$G,7,FALSE),"—"))</f>
        <v/>
      </c>
      <c r="C548" s="25" t="str">
        <f>IF(D548="","",IFERROR(VLOOKUP(D548,Catalogo_Documentos!$A:$B,3,FALSE),"—"))</f>
        <v/>
      </c>
      <c r="D548" s="29"/>
      <c r="E548" s="25" t="str">
        <f>IF(D548="","",IFERROR(VLOOKUP(D548,Catalogo_Documentos!$A:$B,2,FALSE),"—"))</f>
        <v/>
      </c>
      <c r="F548" s="25"/>
      <c r="I548" s="64"/>
    </row>
    <row r="549" spans="1:9">
      <c r="A549" s="28"/>
      <c r="B549" s="26" t="str">
        <f>IF(A549="","",IFERROR(VLOOKUP(A549,Criterios!$A:$G,7,FALSE),"—"))</f>
        <v/>
      </c>
      <c r="C549" s="25" t="str">
        <f>IF(D549="","",IFERROR(VLOOKUP(D549,Catalogo_Documentos!$A:$B,3,FALSE),"—"))</f>
        <v/>
      </c>
      <c r="D549" s="29"/>
      <c r="E549" s="25" t="str">
        <f>IF(D549="","",IFERROR(VLOOKUP(D549,Catalogo_Documentos!$A:$B,2,FALSE),"—"))</f>
        <v/>
      </c>
      <c r="F549" s="25"/>
      <c r="I549" s="64"/>
    </row>
    <row r="550" spans="1:9">
      <c r="A550" s="28"/>
      <c r="B550" s="26" t="str">
        <f>IF(A550="","",IFERROR(VLOOKUP(A550,Criterios!$A:$G,7,FALSE),"—"))</f>
        <v/>
      </c>
      <c r="C550" s="25" t="str">
        <f>IF(D550="","",IFERROR(VLOOKUP(D550,Catalogo_Documentos!$A:$B,3,FALSE),"—"))</f>
        <v/>
      </c>
      <c r="D550" s="29"/>
      <c r="E550" s="25" t="str">
        <f>IF(D550="","",IFERROR(VLOOKUP(D550,Catalogo_Documentos!$A:$B,2,FALSE),"—"))</f>
        <v/>
      </c>
      <c r="F550" s="25"/>
      <c r="I550" s="64"/>
    </row>
    <row r="551" spans="1:9">
      <c r="A551" s="28"/>
      <c r="B551" s="26" t="str">
        <f>IF(A551="","",IFERROR(VLOOKUP(A551,Criterios!$A:$G,7,FALSE),"—"))</f>
        <v/>
      </c>
      <c r="C551" s="25" t="str">
        <f>IF(D551="","",IFERROR(VLOOKUP(D551,Catalogo_Documentos!$A:$B,3,FALSE),"—"))</f>
        <v/>
      </c>
      <c r="D551" s="29"/>
      <c r="E551" s="25" t="str">
        <f>IF(D551="","",IFERROR(VLOOKUP(D551,Catalogo_Documentos!$A:$B,2,FALSE),"—"))</f>
        <v/>
      </c>
      <c r="F551" s="25"/>
      <c r="I551" s="64"/>
    </row>
    <row r="552" spans="1:9">
      <c r="A552" s="28"/>
      <c r="B552" s="26" t="str">
        <f>IF(A552="","",IFERROR(VLOOKUP(A552,Criterios!$A:$G,7,FALSE),"—"))</f>
        <v/>
      </c>
      <c r="C552" s="25" t="str">
        <f>IF(D552="","",IFERROR(VLOOKUP(D552,Catalogo_Documentos!$A:$B,3,FALSE),"—"))</f>
        <v/>
      </c>
      <c r="D552" s="29"/>
      <c r="E552" s="25" t="str">
        <f>IF(D552="","",IFERROR(VLOOKUP(D552,Catalogo_Documentos!$A:$B,2,FALSE),"—"))</f>
        <v/>
      </c>
      <c r="F552" s="25"/>
      <c r="I552" s="64"/>
    </row>
    <row r="553" spans="1:9">
      <c r="A553" s="28"/>
      <c r="B553" s="26" t="str">
        <f>IF(A553="","",IFERROR(VLOOKUP(A553,Criterios!$A:$G,7,FALSE),"—"))</f>
        <v/>
      </c>
      <c r="C553" s="25" t="str">
        <f>IF(D553="","",IFERROR(VLOOKUP(D553,Catalogo_Documentos!$A:$B,3,FALSE),"—"))</f>
        <v/>
      </c>
      <c r="D553" s="29"/>
      <c r="E553" s="25" t="str">
        <f>IF(D553="","",IFERROR(VLOOKUP(D553,Catalogo_Documentos!$A:$B,2,FALSE),"—"))</f>
        <v/>
      </c>
      <c r="F553" s="25"/>
      <c r="I553" s="64"/>
    </row>
    <row r="554" spans="1:9">
      <c r="A554" s="28"/>
      <c r="B554" s="26" t="str">
        <f>IF(A554="","",IFERROR(VLOOKUP(A554,Criterios!$A:$G,7,FALSE),"—"))</f>
        <v/>
      </c>
      <c r="C554" s="25" t="str">
        <f>IF(D554="","",IFERROR(VLOOKUP(D554,Catalogo_Documentos!$A:$B,3,FALSE),"—"))</f>
        <v/>
      </c>
      <c r="D554" s="29"/>
      <c r="E554" s="25" t="str">
        <f>IF(D554="","",IFERROR(VLOOKUP(D554,Catalogo_Documentos!$A:$B,2,FALSE),"—"))</f>
        <v/>
      </c>
      <c r="F554" s="25"/>
      <c r="I554" s="64"/>
    </row>
    <row r="555" spans="1:9">
      <c r="A555" s="28"/>
      <c r="B555" s="26" t="str">
        <f>IF(A555="","",IFERROR(VLOOKUP(A555,Criterios!$A:$G,7,FALSE),"—"))</f>
        <v/>
      </c>
      <c r="C555" s="25" t="str">
        <f>IF(D555="","",IFERROR(VLOOKUP(D555,Catalogo_Documentos!$A:$B,3,FALSE),"—"))</f>
        <v/>
      </c>
      <c r="D555" s="29"/>
      <c r="E555" s="25" t="str">
        <f>IF(D555="","",IFERROR(VLOOKUP(D555,Catalogo_Documentos!$A:$B,2,FALSE),"—"))</f>
        <v/>
      </c>
      <c r="F555" s="25"/>
      <c r="I555" s="64"/>
    </row>
    <row r="556" spans="1:9">
      <c r="A556" s="28"/>
      <c r="B556" s="26" t="str">
        <f>IF(A556="","",IFERROR(VLOOKUP(A556,Criterios!$A:$G,7,FALSE),"—"))</f>
        <v/>
      </c>
      <c r="C556" s="25" t="str">
        <f>IF(D556="","",IFERROR(VLOOKUP(D556,Catalogo_Documentos!$A:$B,3,FALSE),"—"))</f>
        <v/>
      </c>
      <c r="D556" s="29"/>
      <c r="E556" s="25" t="str">
        <f>IF(D556="","",IFERROR(VLOOKUP(D556,Catalogo_Documentos!$A:$B,2,FALSE),"—"))</f>
        <v/>
      </c>
      <c r="F556" s="25"/>
      <c r="I556" s="64"/>
    </row>
    <row r="557" spans="1:9">
      <c r="A557" s="28"/>
      <c r="B557" s="26" t="str">
        <f>IF(A557="","",IFERROR(VLOOKUP(A557,Criterios!$A:$G,7,FALSE),"—"))</f>
        <v/>
      </c>
      <c r="C557" s="25" t="str">
        <f>IF(D557="","",IFERROR(VLOOKUP(D557,Catalogo_Documentos!$A:$B,3,FALSE),"—"))</f>
        <v/>
      </c>
      <c r="D557" s="29"/>
      <c r="E557" s="25" t="str">
        <f>IF(D557="","",IFERROR(VLOOKUP(D557,Catalogo_Documentos!$A:$B,2,FALSE),"—"))</f>
        <v/>
      </c>
      <c r="F557" s="25"/>
      <c r="I557" s="64"/>
    </row>
    <row r="558" spans="1:9">
      <c r="A558" s="28"/>
      <c r="B558" s="26" t="str">
        <f>IF(A558="","",IFERROR(VLOOKUP(A558,Criterios!$A:$G,7,FALSE),"—"))</f>
        <v/>
      </c>
      <c r="C558" s="25" t="str">
        <f>IF(D558="","",IFERROR(VLOOKUP(D558,Catalogo_Documentos!$A:$B,3,FALSE),"—"))</f>
        <v/>
      </c>
      <c r="D558" s="29"/>
      <c r="E558" s="25" t="str">
        <f>IF(D558="","",IFERROR(VLOOKUP(D558,Catalogo_Documentos!$A:$B,2,FALSE),"—"))</f>
        <v/>
      </c>
      <c r="F558" s="25"/>
      <c r="I558" s="64"/>
    </row>
    <row r="559" spans="1:9">
      <c r="A559" s="28"/>
      <c r="B559" s="26" t="str">
        <f>IF(A559="","",IFERROR(VLOOKUP(A559,Criterios!$A:$G,7,FALSE),"—"))</f>
        <v/>
      </c>
      <c r="C559" s="25" t="str">
        <f>IF(D559="","",IFERROR(VLOOKUP(D559,Catalogo_Documentos!$A:$B,3,FALSE),"—"))</f>
        <v/>
      </c>
      <c r="D559" s="29"/>
      <c r="E559" s="25" t="str">
        <f>IF(D559="","",IFERROR(VLOOKUP(D559,Catalogo_Documentos!$A:$B,2,FALSE),"—"))</f>
        <v/>
      </c>
      <c r="F559" s="25"/>
      <c r="I559" s="64"/>
    </row>
    <row r="560" spans="1:9">
      <c r="A560" s="28"/>
      <c r="B560" s="26" t="str">
        <f>IF(A560="","",IFERROR(VLOOKUP(A560,Criterios!$A:$G,7,FALSE),"—"))</f>
        <v/>
      </c>
      <c r="C560" s="25" t="str">
        <f>IF(D560="","",IFERROR(VLOOKUP(D560,Catalogo_Documentos!$A:$B,3,FALSE),"—"))</f>
        <v/>
      </c>
      <c r="D560" s="29"/>
      <c r="E560" s="25" t="str">
        <f>IF(D560="","",IFERROR(VLOOKUP(D560,Catalogo_Documentos!$A:$B,2,FALSE),"—"))</f>
        <v/>
      </c>
      <c r="F560" s="25"/>
      <c r="I560" s="64"/>
    </row>
    <row r="561" spans="1:9">
      <c r="A561" s="28"/>
      <c r="B561" s="26" t="str">
        <f>IF(A561="","",IFERROR(VLOOKUP(A561,Criterios!$A:$G,7,FALSE),"—"))</f>
        <v/>
      </c>
      <c r="C561" s="25" t="str">
        <f>IF(D561="","",IFERROR(VLOOKUP(D561,Catalogo_Documentos!$A:$B,3,FALSE),"—"))</f>
        <v/>
      </c>
      <c r="D561" s="29"/>
      <c r="E561" s="25" t="str">
        <f>IF(D561="","",IFERROR(VLOOKUP(D561,Catalogo_Documentos!$A:$B,2,FALSE),"—"))</f>
        <v/>
      </c>
      <c r="F561" s="25"/>
      <c r="I561" s="64"/>
    </row>
    <row r="562" spans="1:9">
      <c r="A562" s="28"/>
      <c r="B562" s="26" t="str">
        <f>IF(A562="","",IFERROR(VLOOKUP(A562,Criterios!$A:$G,7,FALSE),"—"))</f>
        <v/>
      </c>
      <c r="C562" s="25" t="str">
        <f>IF(D562="","",IFERROR(VLOOKUP(D562,Catalogo_Documentos!$A:$B,3,FALSE),"—"))</f>
        <v/>
      </c>
      <c r="D562" s="29"/>
      <c r="E562" s="25" t="str">
        <f>IF(D562="","",IFERROR(VLOOKUP(D562,Catalogo_Documentos!$A:$B,2,FALSE),"—"))</f>
        <v/>
      </c>
      <c r="F562" s="25"/>
      <c r="I562" s="64"/>
    </row>
    <row r="563" spans="1:9">
      <c r="A563" s="28"/>
      <c r="B563" s="26" t="str">
        <f>IF(A563="","",IFERROR(VLOOKUP(A563,Criterios!$A:$G,7,FALSE),"—"))</f>
        <v/>
      </c>
      <c r="C563" s="25" t="str">
        <f>IF(D563="","",IFERROR(VLOOKUP(D563,Catalogo_Documentos!$A:$B,3,FALSE),"—"))</f>
        <v/>
      </c>
      <c r="D563" s="29"/>
      <c r="E563" s="25" t="str">
        <f>IF(D563="","",IFERROR(VLOOKUP(D563,Catalogo_Documentos!$A:$B,2,FALSE),"—"))</f>
        <v/>
      </c>
      <c r="F563" s="25"/>
      <c r="I563" s="64"/>
    </row>
    <row r="564" spans="1:9">
      <c r="A564" s="28"/>
      <c r="B564" s="26" t="str">
        <f>IF(A564="","",IFERROR(VLOOKUP(A564,Criterios!$A:$G,7,FALSE),"—"))</f>
        <v/>
      </c>
      <c r="C564" s="25" t="str">
        <f>IF(D564="","",IFERROR(VLOOKUP(D564,Catalogo_Documentos!$A:$B,3,FALSE),"—"))</f>
        <v/>
      </c>
      <c r="D564" s="29"/>
      <c r="E564" s="25" t="str">
        <f>IF(D564="","",IFERROR(VLOOKUP(D564,Catalogo_Documentos!$A:$B,2,FALSE),"—"))</f>
        <v/>
      </c>
      <c r="F564" s="25"/>
      <c r="I564" s="64"/>
    </row>
    <row r="565" spans="1:9">
      <c r="A565" s="28"/>
      <c r="B565" s="26" t="str">
        <f>IF(A565="","",IFERROR(VLOOKUP(A565,Criterios!$A:$G,7,FALSE),"—"))</f>
        <v/>
      </c>
      <c r="C565" s="25" t="str">
        <f>IF(D565="","",IFERROR(VLOOKUP(D565,Catalogo_Documentos!$A:$B,3,FALSE),"—"))</f>
        <v/>
      </c>
      <c r="D565" s="29"/>
      <c r="E565" s="25" t="str">
        <f>IF(D565="","",IFERROR(VLOOKUP(D565,Catalogo_Documentos!$A:$B,2,FALSE),"—"))</f>
        <v/>
      </c>
      <c r="F565" s="25"/>
      <c r="I565" s="64"/>
    </row>
    <row r="566" spans="1:9">
      <c r="A566" s="28"/>
      <c r="B566" s="26" t="str">
        <f>IF(A566="","",IFERROR(VLOOKUP(A566,Criterios!$A:$G,7,FALSE),"—"))</f>
        <v/>
      </c>
      <c r="C566" s="25" t="str">
        <f>IF(D566="","",IFERROR(VLOOKUP(D566,Catalogo_Documentos!$A:$B,3,FALSE),"—"))</f>
        <v/>
      </c>
      <c r="D566" s="29"/>
      <c r="E566" s="25" t="str">
        <f>IF(D566="","",IFERROR(VLOOKUP(D566,Catalogo_Documentos!$A:$B,2,FALSE),"—"))</f>
        <v/>
      </c>
      <c r="F566" s="25"/>
      <c r="I566" s="64"/>
    </row>
    <row r="567" spans="1:9">
      <c r="A567" s="28"/>
      <c r="B567" s="26" t="str">
        <f>IF(A567="","",IFERROR(VLOOKUP(A567,Criterios!$A:$G,7,FALSE),"—"))</f>
        <v/>
      </c>
      <c r="C567" s="25" t="str">
        <f>IF(D567="","",IFERROR(VLOOKUP(D567,Catalogo_Documentos!$A:$B,3,FALSE),"—"))</f>
        <v/>
      </c>
      <c r="D567" s="29"/>
      <c r="E567" s="25" t="str">
        <f>IF(D567="","",IFERROR(VLOOKUP(D567,Catalogo_Documentos!$A:$B,2,FALSE),"—"))</f>
        <v/>
      </c>
      <c r="F567" s="25"/>
      <c r="I567" s="64"/>
    </row>
    <row r="568" spans="1:9">
      <c r="A568" s="28"/>
      <c r="B568" s="26" t="str">
        <f>IF(A568="","",IFERROR(VLOOKUP(A568,Criterios!$A:$G,7,FALSE),"—"))</f>
        <v/>
      </c>
      <c r="C568" s="25" t="str">
        <f>IF(D568="","",IFERROR(VLOOKUP(D568,Catalogo_Documentos!$A:$B,3,FALSE),"—"))</f>
        <v/>
      </c>
      <c r="D568" s="29"/>
      <c r="E568" s="25" t="str">
        <f>IF(D568="","",IFERROR(VLOOKUP(D568,Catalogo_Documentos!$A:$B,2,FALSE),"—"))</f>
        <v/>
      </c>
      <c r="F568" s="25"/>
      <c r="I568" s="64"/>
    </row>
    <row r="569" spans="1:9">
      <c r="A569" s="28"/>
      <c r="B569" s="26" t="str">
        <f>IF(A569="","",IFERROR(VLOOKUP(A569,Criterios!$A:$G,7,FALSE),"—"))</f>
        <v/>
      </c>
      <c r="C569" s="25" t="str">
        <f>IF(D569="","",IFERROR(VLOOKUP(D569,Catalogo_Documentos!$A:$B,3,FALSE),"—"))</f>
        <v/>
      </c>
      <c r="D569" s="29"/>
      <c r="E569" s="25" t="str">
        <f>IF(D569="","",IFERROR(VLOOKUP(D569,Catalogo_Documentos!$A:$B,2,FALSE),"—"))</f>
        <v/>
      </c>
      <c r="F569" s="25"/>
      <c r="I569" s="64"/>
    </row>
    <row r="570" spans="1:9">
      <c r="A570" s="28"/>
      <c r="B570" s="26" t="str">
        <f>IF(A570="","",IFERROR(VLOOKUP(A570,Criterios!$A:$G,7,FALSE),"—"))</f>
        <v/>
      </c>
      <c r="C570" s="25" t="str">
        <f>IF(D570="","",IFERROR(VLOOKUP(D570,Catalogo_Documentos!$A:$B,3,FALSE),"—"))</f>
        <v/>
      </c>
      <c r="D570" s="29"/>
      <c r="E570" s="25" t="str">
        <f>IF(D570="","",IFERROR(VLOOKUP(D570,Catalogo_Documentos!$A:$B,2,FALSE),"—"))</f>
        <v/>
      </c>
      <c r="F570" s="25"/>
      <c r="I570" s="64"/>
    </row>
    <row r="571" spans="1:9">
      <c r="A571" s="28"/>
      <c r="B571" s="26" t="str">
        <f>IF(A571="","",IFERROR(VLOOKUP(A571,Criterios!$A:$G,7,FALSE),"—"))</f>
        <v/>
      </c>
      <c r="C571" s="25" t="str">
        <f>IF(D571="","",IFERROR(VLOOKUP(D571,Catalogo_Documentos!$A:$B,3,FALSE),"—"))</f>
        <v/>
      </c>
      <c r="D571" s="29"/>
      <c r="E571" s="25" t="str">
        <f>IF(D571="","",IFERROR(VLOOKUP(D571,Catalogo_Documentos!$A:$B,2,FALSE),"—"))</f>
        <v/>
      </c>
      <c r="F571" s="25"/>
      <c r="I571" s="64"/>
    </row>
    <row r="572" spans="1:9">
      <c r="A572" s="28"/>
      <c r="B572" s="26" t="str">
        <f>IF(A572="","",IFERROR(VLOOKUP(A572,Criterios!$A:$G,7,FALSE),"—"))</f>
        <v/>
      </c>
      <c r="C572" s="25" t="str">
        <f>IF(D572="","",IFERROR(VLOOKUP(D572,Catalogo_Documentos!$A:$B,3,FALSE),"—"))</f>
        <v/>
      </c>
      <c r="D572" s="29"/>
      <c r="E572" s="25" t="str">
        <f>IF(D572="","",IFERROR(VLOOKUP(D572,Catalogo_Documentos!$A:$B,2,FALSE),"—"))</f>
        <v/>
      </c>
      <c r="F572" s="25"/>
      <c r="I572" s="64"/>
    </row>
    <row r="573" spans="1:9">
      <c r="A573" s="28"/>
      <c r="B573" s="26" t="str">
        <f>IF(A573="","",IFERROR(VLOOKUP(A573,Criterios!$A:$G,7,FALSE),"—"))</f>
        <v/>
      </c>
      <c r="C573" s="25" t="str">
        <f>IF(D573="","",IFERROR(VLOOKUP(D573,Catalogo_Documentos!$A:$B,3,FALSE),"—"))</f>
        <v/>
      </c>
      <c r="D573" s="29"/>
      <c r="E573" s="25" t="str">
        <f>IF(D573="","",IFERROR(VLOOKUP(D573,Catalogo_Documentos!$A:$B,2,FALSE),"—"))</f>
        <v/>
      </c>
      <c r="F573" s="25"/>
      <c r="I573" s="64"/>
    </row>
    <row r="574" spans="1:9">
      <c r="A574" s="28"/>
      <c r="B574" s="26" t="str">
        <f>IF(A574="","",IFERROR(VLOOKUP(A574,Criterios!$A:$G,7,FALSE),"—"))</f>
        <v/>
      </c>
      <c r="C574" s="25" t="str">
        <f>IF(D574="","",IFERROR(VLOOKUP(D574,Catalogo_Documentos!$A:$B,3,FALSE),"—"))</f>
        <v/>
      </c>
      <c r="D574" s="29"/>
      <c r="E574" s="25" t="str">
        <f>IF(D574="","",IFERROR(VLOOKUP(D574,Catalogo_Documentos!$A:$B,2,FALSE),"—"))</f>
        <v/>
      </c>
      <c r="F574" s="25"/>
      <c r="I574" s="64"/>
    </row>
    <row r="575" spans="1:9">
      <c r="A575" s="28"/>
      <c r="B575" s="26" t="str">
        <f>IF(A575="","",IFERROR(VLOOKUP(A575,Criterios!$A:$G,7,FALSE),"—"))</f>
        <v/>
      </c>
      <c r="C575" s="25" t="str">
        <f>IF(D575="","",IFERROR(VLOOKUP(D575,Catalogo_Documentos!$A:$B,3,FALSE),"—"))</f>
        <v/>
      </c>
      <c r="D575" s="29"/>
      <c r="E575" s="25" t="str">
        <f>IF(D575="","",IFERROR(VLOOKUP(D575,Catalogo_Documentos!$A:$B,2,FALSE),"—"))</f>
        <v/>
      </c>
      <c r="F575" s="25"/>
      <c r="I575" s="64"/>
    </row>
    <row r="576" spans="1:9">
      <c r="A576" s="28"/>
      <c r="B576" s="26" t="str">
        <f>IF(A576="","",IFERROR(VLOOKUP(A576,Criterios!$A:$G,7,FALSE),"—"))</f>
        <v/>
      </c>
      <c r="C576" s="25" t="str">
        <f>IF(D576="","",IFERROR(VLOOKUP(D576,Catalogo_Documentos!$A:$B,3,FALSE),"—"))</f>
        <v/>
      </c>
      <c r="D576" s="29"/>
      <c r="E576" s="25" t="str">
        <f>IF(D576="","",IFERROR(VLOOKUP(D576,Catalogo_Documentos!$A:$B,2,FALSE),"—"))</f>
        <v/>
      </c>
      <c r="F576" s="25"/>
      <c r="I576" s="64"/>
    </row>
    <row r="577" spans="1:9">
      <c r="A577" s="28"/>
      <c r="B577" s="26" t="str">
        <f>IF(A577="","",IFERROR(VLOOKUP(A577,Criterios!$A:$G,7,FALSE),"—"))</f>
        <v/>
      </c>
      <c r="C577" s="25" t="str">
        <f>IF(D577="","",IFERROR(VLOOKUP(D577,Catalogo_Documentos!$A:$B,3,FALSE),"—"))</f>
        <v/>
      </c>
      <c r="D577" s="29"/>
      <c r="E577" s="25" t="str">
        <f>IF(D577="","",IFERROR(VLOOKUP(D577,Catalogo_Documentos!$A:$B,2,FALSE),"—"))</f>
        <v/>
      </c>
      <c r="F577" s="25"/>
      <c r="I577" s="64"/>
    </row>
    <row r="578" spans="1:9">
      <c r="A578" s="28"/>
      <c r="B578" s="26" t="str">
        <f>IF(A578="","",IFERROR(VLOOKUP(A578,Criterios!$A:$G,7,FALSE),"—"))</f>
        <v/>
      </c>
      <c r="C578" s="25" t="str">
        <f>IF(D578="","",IFERROR(VLOOKUP(D578,Catalogo_Documentos!$A:$B,3,FALSE),"—"))</f>
        <v/>
      </c>
      <c r="D578" s="29"/>
      <c r="E578" s="25" t="str">
        <f>IF(D578="","",IFERROR(VLOOKUP(D578,Catalogo_Documentos!$A:$B,2,FALSE),"—"))</f>
        <v/>
      </c>
      <c r="F578" s="25"/>
      <c r="I578" s="64"/>
    </row>
    <row r="579" spans="1:9">
      <c r="A579" s="28"/>
      <c r="B579" s="26" t="str">
        <f>IF(A579="","",IFERROR(VLOOKUP(A579,Criterios!$A:$G,7,FALSE),"—"))</f>
        <v/>
      </c>
      <c r="C579" s="25" t="str">
        <f>IF(D579="","",IFERROR(VLOOKUP(D579,Catalogo_Documentos!$A:$B,3,FALSE),"—"))</f>
        <v/>
      </c>
      <c r="D579" s="29"/>
      <c r="E579" s="25" t="str">
        <f>IF(D579="","",IFERROR(VLOOKUP(D579,Catalogo_Documentos!$A:$B,2,FALSE),"—"))</f>
        <v/>
      </c>
      <c r="F579" s="25"/>
      <c r="I579" s="64"/>
    </row>
    <row r="580" spans="1:9">
      <c r="A580" s="28"/>
      <c r="B580" s="26" t="str">
        <f>IF(A580="","",IFERROR(VLOOKUP(A580,Criterios!$A:$G,7,FALSE),"—"))</f>
        <v/>
      </c>
      <c r="C580" s="25" t="str">
        <f>IF(D580="","",IFERROR(VLOOKUP(D580,Catalogo_Documentos!$A:$B,3,FALSE),"—"))</f>
        <v/>
      </c>
      <c r="D580" s="29"/>
      <c r="E580" s="25" t="str">
        <f>IF(D580="","",IFERROR(VLOOKUP(D580,Catalogo_Documentos!$A:$B,2,FALSE),"—"))</f>
        <v/>
      </c>
      <c r="F580" s="25"/>
      <c r="I580" s="64"/>
    </row>
    <row r="581" spans="1:9">
      <c r="A581" s="28"/>
      <c r="B581" s="26" t="str">
        <f>IF(A581="","",IFERROR(VLOOKUP(A581,Criterios!$A:$G,7,FALSE),"—"))</f>
        <v/>
      </c>
      <c r="C581" s="25" t="str">
        <f>IF(D581="","",IFERROR(VLOOKUP(D581,Catalogo_Documentos!$A:$B,3,FALSE),"—"))</f>
        <v/>
      </c>
      <c r="D581" s="29"/>
      <c r="E581" s="25" t="str">
        <f>IF(D581="","",IFERROR(VLOOKUP(D581,Catalogo_Documentos!$A:$B,2,FALSE),"—"))</f>
        <v/>
      </c>
      <c r="F581" s="25"/>
      <c r="I581" s="64"/>
    </row>
    <row r="582" spans="1:9">
      <c r="A582" s="28"/>
      <c r="B582" s="26" t="str">
        <f>IF(A582="","",IFERROR(VLOOKUP(A582,Criterios!$A:$G,7,FALSE),"—"))</f>
        <v/>
      </c>
      <c r="C582" s="25" t="str">
        <f>IF(D582="","",IFERROR(VLOOKUP(D582,Catalogo_Documentos!$A:$B,3,FALSE),"—"))</f>
        <v/>
      </c>
      <c r="D582" s="29"/>
      <c r="E582" s="25" t="str">
        <f>IF(D582="","",IFERROR(VLOOKUP(D582,Catalogo_Documentos!$A:$B,2,FALSE),"—"))</f>
        <v/>
      </c>
      <c r="F582" s="25"/>
      <c r="I582" s="64"/>
    </row>
    <row r="583" spans="1:9">
      <c r="A583" s="28"/>
      <c r="B583" s="26" t="str">
        <f>IF(A583="","",IFERROR(VLOOKUP(A583,Criterios!$A:$G,7,FALSE),"—"))</f>
        <v/>
      </c>
      <c r="C583" s="25" t="str">
        <f>IF(D583="","",IFERROR(VLOOKUP(D583,Catalogo_Documentos!$A:$B,3,FALSE),"—"))</f>
        <v/>
      </c>
      <c r="D583" s="29"/>
      <c r="E583" s="25" t="str">
        <f>IF(D583="","",IFERROR(VLOOKUP(D583,Catalogo_Documentos!$A:$B,2,FALSE),"—"))</f>
        <v/>
      </c>
      <c r="F583" s="25"/>
      <c r="I583" s="64"/>
    </row>
    <row r="584" spans="1:9">
      <c r="A584" s="28"/>
      <c r="B584" s="26" t="str">
        <f>IF(A584="","",IFERROR(VLOOKUP(A584,Criterios!$A:$G,7,FALSE),"—"))</f>
        <v/>
      </c>
      <c r="C584" s="25" t="str">
        <f>IF(D584="","",IFERROR(VLOOKUP(D584,Catalogo_Documentos!$A:$B,3,FALSE),"—"))</f>
        <v/>
      </c>
      <c r="D584" s="29"/>
      <c r="E584" s="25" t="str">
        <f>IF(D584="","",IFERROR(VLOOKUP(D584,Catalogo_Documentos!$A:$B,2,FALSE),"—"))</f>
        <v/>
      </c>
      <c r="F584" s="25"/>
      <c r="I584" s="64"/>
    </row>
    <row r="585" spans="1:9">
      <c r="A585" s="28"/>
      <c r="B585" s="26" t="str">
        <f>IF(A585="","",IFERROR(VLOOKUP(A585,Criterios!$A:$G,7,FALSE),"—"))</f>
        <v/>
      </c>
      <c r="C585" s="25" t="str">
        <f>IF(D585="","",IFERROR(VLOOKUP(D585,Catalogo_Documentos!$A:$B,3,FALSE),"—"))</f>
        <v/>
      </c>
      <c r="D585" s="29"/>
      <c r="E585" s="25" t="str">
        <f>IF(D585="","",IFERROR(VLOOKUP(D585,Catalogo_Documentos!$A:$B,2,FALSE),"—"))</f>
        <v/>
      </c>
      <c r="F585" s="25"/>
      <c r="I585" s="64"/>
    </row>
    <row r="586" spans="1:9">
      <c r="A586" s="28"/>
      <c r="B586" s="26" t="str">
        <f>IF(A586="","",IFERROR(VLOOKUP(A586,Criterios!$A:$G,7,FALSE),"—"))</f>
        <v/>
      </c>
      <c r="C586" s="25" t="str">
        <f>IF(D586="","",IFERROR(VLOOKUP(D586,Catalogo_Documentos!$A:$B,3,FALSE),"—"))</f>
        <v/>
      </c>
      <c r="D586" s="29"/>
      <c r="E586" s="25" t="str">
        <f>IF(D586="","",IFERROR(VLOOKUP(D586,Catalogo_Documentos!$A:$B,2,FALSE),"—"))</f>
        <v/>
      </c>
      <c r="F586" s="25"/>
      <c r="I586" s="64"/>
    </row>
    <row r="587" spans="1:9">
      <c r="A587" s="28"/>
      <c r="B587" s="26" t="str">
        <f>IF(A587="","",IFERROR(VLOOKUP(A587,Criterios!$A:$G,7,FALSE),"—"))</f>
        <v/>
      </c>
      <c r="C587" s="25" t="str">
        <f>IF(D587="","",IFERROR(VLOOKUP(D587,Catalogo_Documentos!$A:$B,3,FALSE),"—"))</f>
        <v/>
      </c>
      <c r="D587" s="29"/>
      <c r="E587" s="25" t="str">
        <f>IF(D587="","",IFERROR(VLOOKUP(D587,Catalogo_Documentos!$A:$B,2,FALSE),"—"))</f>
        <v/>
      </c>
      <c r="F587" s="25"/>
      <c r="I587" s="64"/>
    </row>
    <row r="588" spans="1:9">
      <c r="A588" s="28"/>
      <c r="B588" s="26" t="str">
        <f>IF(A588="","",IFERROR(VLOOKUP(A588,Criterios!$A:$G,7,FALSE),"—"))</f>
        <v/>
      </c>
      <c r="C588" s="25" t="str">
        <f>IF(D588="","",IFERROR(VLOOKUP(D588,Catalogo_Documentos!$A:$B,3,FALSE),"—"))</f>
        <v/>
      </c>
      <c r="D588" s="29"/>
      <c r="E588" s="25" t="str">
        <f>IF(D588="","",IFERROR(VLOOKUP(D588,Catalogo_Documentos!$A:$B,2,FALSE),"—"))</f>
        <v/>
      </c>
      <c r="F588" s="25"/>
      <c r="I588" s="64"/>
    </row>
    <row r="589" spans="1:9">
      <c r="A589" s="28"/>
      <c r="B589" s="26" t="str">
        <f>IF(A589="","",IFERROR(VLOOKUP(A589,Criterios!$A:$G,7,FALSE),"—"))</f>
        <v/>
      </c>
      <c r="C589" s="25" t="str">
        <f>IF(D589="","",IFERROR(VLOOKUP(D589,Catalogo_Documentos!$A:$B,3,FALSE),"—"))</f>
        <v/>
      </c>
      <c r="D589" s="29"/>
      <c r="E589" s="25" t="str">
        <f>IF(D589="","",IFERROR(VLOOKUP(D589,Catalogo_Documentos!$A:$B,2,FALSE),"—"))</f>
        <v/>
      </c>
      <c r="F589" s="25"/>
      <c r="I589" s="64"/>
    </row>
    <row r="590" spans="1:9">
      <c r="A590" s="28"/>
      <c r="B590" s="26" t="str">
        <f>IF(A590="","",IFERROR(VLOOKUP(A590,Criterios!$A:$G,7,FALSE),"—"))</f>
        <v/>
      </c>
      <c r="C590" s="25" t="str">
        <f>IF(D590="","",IFERROR(VLOOKUP(D590,Catalogo_Documentos!$A:$B,3,FALSE),"—"))</f>
        <v/>
      </c>
      <c r="D590" s="29"/>
      <c r="E590" s="25" t="str">
        <f>IF(D590="","",IFERROR(VLOOKUP(D590,Catalogo_Documentos!$A:$B,2,FALSE),"—"))</f>
        <v/>
      </c>
      <c r="F590" s="25"/>
      <c r="I590" s="64"/>
    </row>
    <row r="591" spans="1:9">
      <c r="A591" s="28"/>
      <c r="B591" s="26" t="str">
        <f>IF(A591="","",IFERROR(VLOOKUP(A591,Criterios!$A:$G,7,FALSE),"—"))</f>
        <v/>
      </c>
      <c r="C591" s="25" t="str">
        <f>IF(D591="","",IFERROR(VLOOKUP(D591,Catalogo_Documentos!$A:$B,3,FALSE),"—"))</f>
        <v/>
      </c>
      <c r="D591" s="29"/>
      <c r="E591" s="25" t="str">
        <f>IF(D591="","",IFERROR(VLOOKUP(D591,Catalogo_Documentos!$A:$B,2,FALSE),"—"))</f>
        <v/>
      </c>
      <c r="F591" s="25"/>
      <c r="I591" s="64"/>
    </row>
    <row r="592" spans="1:9">
      <c r="A592" s="28"/>
      <c r="B592" s="26" t="str">
        <f>IF(A592="","",IFERROR(VLOOKUP(A592,Criterios!$A:$G,7,FALSE),"—"))</f>
        <v/>
      </c>
      <c r="C592" s="25" t="str">
        <f>IF(D592="","",IFERROR(VLOOKUP(D592,Catalogo_Documentos!$A:$B,3,FALSE),"—"))</f>
        <v/>
      </c>
      <c r="D592" s="29"/>
      <c r="E592" s="25" t="str">
        <f>IF(D592="","",IFERROR(VLOOKUP(D592,Catalogo_Documentos!$A:$B,2,FALSE),"—"))</f>
        <v/>
      </c>
      <c r="F592" s="25"/>
      <c r="I592" s="64"/>
    </row>
    <row r="593" spans="1:9">
      <c r="A593" s="28"/>
      <c r="B593" s="26" t="str">
        <f>IF(A593="","",IFERROR(VLOOKUP(A593,Criterios!$A:$G,7,FALSE),"—"))</f>
        <v/>
      </c>
      <c r="C593" s="25" t="str">
        <f>IF(D593="","",IFERROR(VLOOKUP(D593,Catalogo_Documentos!$A:$B,3,FALSE),"—"))</f>
        <v/>
      </c>
      <c r="D593" s="29"/>
      <c r="E593" s="25" t="str">
        <f>IF(D593="","",IFERROR(VLOOKUP(D593,Catalogo_Documentos!$A:$B,2,FALSE),"—"))</f>
        <v/>
      </c>
      <c r="F593" s="25"/>
      <c r="I593" s="64"/>
    </row>
    <row r="594" spans="1:9">
      <c r="A594" s="28"/>
      <c r="B594" s="26" t="str">
        <f>IF(A594="","",IFERROR(VLOOKUP(A594,Criterios!$A:$G,7,FALSE),"—"))</f>
        <v/>
      </c>
      <c r="C594" s="25" t="str">
        <f>IF(D594="","",IFERROR(VLOOKUP(D594,Catalogo_Documentos!$A:$B,3,FALSE),"—"))</f>
        <v/>
      </c>
      <c r="D594" s="29"/>
      <c r="E594" s="25" t="str">
        <f>IF(D594="","",IFERROR(VLOOKUP(D594,Catalogo_Documentos!$A:$B,2,FALSE),"—"))</f>
        <v/>
      </c>
      <c r="F594" s="25"/>
      <c r="I594" s="64"/>
    </row>
    <row r="595" spans="1:9">
      <c r="A595" s="28"/>
      <c r="B595" s="26" t="str">
        <f>IF(A595="","",IFERROR(VLOOKUP(A595,Criterios!$A:$G,7,FALSE),"—"))</f>
        <v/>
      </c>
      <c r="C595" s="25" t="str">
        <f>IF(D595="","",IFERROR(VLOOKUP(D595,Catalogo_Documentos!$A:$B,3,FALSE),"—"))</f>
        <v/>
      </c>
      <c r="D595" s="29"/>
      <c r="E595" s="25" t="str">
        <f>IF(D595="","",IFERROR(VLOOKUP(D595,Catalogo_Documentos!$A:$B,2,FALSE),"—"))</f>
        <v/>
      </c>
      <c r="F595" s="25"/>
      <c r="I595" s="64"/>
    </row>
    <row r="596" spans="1:9">
      <c r="A596" s="28"/>
      <c r="B596" s="26" t="str">
        <f>IF(A596="","",IFERROR(VLOOKUP(A596,Criterios!$A:$G,7,FALSE),"—"))</f>
        <v/>
      </c>
      <c r="C596" s="25" t="str">
        <f>IF(D596="","",IFERROR(VLOOKUP(D596,Catalogo_Documentos!$A:$B,3,FALSE),"—"))</f>
        <v/>
      </c>
      <c r="D596" s="29"/>
      <c r="E596" s="25" t="str">
        <f>IF(D596="","",IFERROR(VLOOKUP(D596,Catalogo_Documentos!$A:$B,2,FALSE),"—"))</f>
        <v/>
      </c>
      <c r="F596" s="25"/>
      <c r="I596" s="64"/>
    </row>
    <row r="597" spans="1:9">
      <c r="A597" s="28"/>
      <c r="B597" s="26" t="str">
        <f>IF(A597="","",IFERROR(VLOOKUP(A597,Criterios!$A:$G,7,FALSE),"—"))</f>
        <v/>
      </c>
      <c r="C597" s="25" t="str">
        <f>IF(D597="","",IFERROR(VLOOKUP(D597,Catalogo_Documentos!$A:$B,3,FALSE),"—"))</f>
        <v/>
      </c>
      <c r="D597" s="29"/>
      <c r="E597" s="25" t="str">
        <f>IF(D597="","",IFERROR(VLOOKUP(D597,Catalogo_Documentos!$A:$B,2,FALSE),"—"))</f>
        <v/>
      </c>
      <c r="F597" s="25"/>
      <c r="I597" s="64"/>
    </row>
    <row r="598" spans="1:9">
      <c r="A598" s="28"/>
      <c r="B598" s="26" t="str">
        <f>IF(A598="","",IFERROR(VLOOKUP(A598,Criterios!$A:$G,7,FALSE),"—"))</f>
        <v/>
      </c>
      <c r="C598" s="25" t="str">
        <f>IF(D598="","",IFERROR(VLOOKUP(D598,Catalogo_Documentos!$A:$B,3,FALSE),"—"))</f>
        <v/>
      </c>
      <c r="D598" s="29"/>
      <c r="E598" s="25" t="str">
        <f>IF(D598="","",IFERROR(VLOOKUP(D598,Catalogo_Documentos!$A:$B,2,FALSE),"—"))</f>
        <v/>
      </c>
      <c r="F598" s="25"/>
      <c r="I598" s="64"/>
    </row>
    <row r="599" spans="1:9">
      <c r="A599" s="28"/>
      <c r="B599" s="26" t="str">
        <f>IF(A599="","",IFERROR(VLOOKUP(A599,Criterios!$A:$G,7,FALSE),"—"))</f>
        <v/>
      </c>
      <c r="C599" s="25" t="str">
        <f>IF(D599="","",IFERROR(VLOOKUP(D599,Catalogo_Documentos!$A:$B,3,FALSE),"—"))</f>
        <v/>
      </c>
      <c r="D599" s="29"/>
      <c r="E599" s="25" t="str">
        <f>IF(D599="","",IFERROR(VLOOKUP(D599,Catalogo_Documentos!$A:$B,2,FALSE),"—"))</f>
        <v/>
      </c>
      <c r="F599" s="25"/>
      <c r="I599" s="64"/>
    </row>
    <row r="600" spans="1:9">
      <c r="A600" s="28"/>
      <c r="B600" s="26" t="str">
        <f>IF(A600="","",IFERROR(VLOOKUP(A600,Criterios!$A:$G,7,FALSE),"—"))</f>
        <v/>
      </c>
      <c r="C600" s="25" t="str">
        <f>IF(D600="","",IFERROR(VLOOKUP(D600,Catalogo_Documentos!$A:$B,3,FALSE),"—"))</f>
        <v/>
      </c>
      <c r="D600" s="29"/>
      <c r="E600" s="25" t="str">
        <f>IF(D600="","",IFERROR(VLOOKUP(D600,Catalogo_Documentos!$A:$B,2,FALSE),"—"))</f>
        <v/>
      </c>
      <c r="F600" s="25"/>
      <c r="I600" s="64"/>
    </row>
    <row r="601" spans="1:9">
      <c r="A601" s="28"/>
      <c r="B601" s="26" t="str">
        <f>IF(A601="","",IFERROR(VLOOKUP(A601,Criterios!$A:$G,7,FALSE),"—"))</f>
        <v/>
      </c>
      <c r="C601" s="25" t="str">
        <f>IF(D601="","",IFERROR(VLOOKUP(D601,Catalogo_Documentos!$A:$B,3,FALSE),"—"))</f>
        <v/>
      </c>
      <c r="D601" s="29"/>
      <c r="E601" s="25" t="str">
        <f>IF(D601="","",IFERROR(VLOOKUP(D601,Catalogo_Documentos!$A:$B,2,FALSE),"—"))</f>
        <v/>
      </c>
      <c r="F601" s="25"/>
      <c r="I601" s="64"/>
    </row>
    <row r="602" spans="1:9">
      <c r="A602" s="28"/>
      <c r="B602" s="26" t="str">
        <f>IF(A602="","",IFERROR(VLOOKUP(A602,Criterios!$A:$G,7,FALSE),"—"))</f>
        <v/>
      </c>
      <c r="C602" s="25" t="str">
        <f>IF(D602="","",IFERROR(VLOOKUP(D602,Catalogo_Documentos!$A:$B,3,FALSE),"—"))</f>
        <v/>
      </c>
      <c r="D602" s="29"/>
      <c r="E602" s="25" t="str">
        <f>IF(D602="","",IFERROR(VLOOKUP(D602,Catalogo_Documentos!$A:$B,2,FALSE),"—"))</f>
        <v/>
      </c>
      <c r="F602" s="25"/>
      <c r="I602" s="64"/>
    </row>
    <row r="603" spans="1:9">
      <c r="A603" s="28"/>
      <c r="B603" s="26" t="str">
        <f>IF(A603="","",IFERROR(VLOOKUP(A603,Criterios!$A:$G,7,FALSE),"—"))</f>
        <v/>
      </c>
      <c r="C603" s="25" t="str">
        <f>IF(D603="","",IFERROR(VLOOKUP(D603,Catalogo_Documentos!$A:$B,3,FALSE),"—"))</f>
        <v/>
      </c>
      <c r="D603" s="29"/>
      <c r="E603" s="25" t="str">
        <f>IF(D603="","",IFERROR(VLOOKUP(D603,Catalogo_Documentos!$A:$B,2,FALSE),"—"))</f>
        <v/>
      </c>
      <c r="F603" s="25"/>
      <c r="I603" s="64"/>
    </row>
    <row r="604" spans="1:9">
      <c r="A604" s="28"/>
      <c r="B604" s="26" t="str">
        <f>IF(A604="","",IFERROR(VLOOKUP(A604,Criterios!$A:$G,7,FALSE),"—"))</f>
        <v/>
      </c>
      <c r="C604" s="25" t="str">
        <f>IF(D604="","",IFERROR(VLOOKUP(D604,Catalogo_Documentos!$A:$B,3,FALSE),"—"))</f>
        <v/>
      </c>
      <c r="D604" s="29"/>
      <c r="E604" s="25" t="str">
        <f>IF(D604="","",IFERROR(VLOOKUP(D604,Catalogo_Documentos!$A:$B,2,FALSE),"—"))</f>
        <v/>
      </c>
      <c r="F604" s="25"/>
      <c r="I604" s="64"/>
    </row>
    <row r="605" spans="1:9">
      <c r="A605" s="28"/>
      <c r="B605" s="26" t="str">
        <f>IF(A605="","",IFERROR(VLOOKUP(A605,Criterios!$A:$G,7,FALSE),"—"))</f>
        <v/>
      </c>
      <c r="C605" s="25" t="str">
        <f>IF(D605="","",IFERROR(VLOOKUP(D605,Catalogo_Documentos!$A:$B,3,FALSE),"—"))</f>
        <v/>
      </c>
      <c r="D605" s="29"/>
      <c r="E605" s="25" t="str">
        <f>IF(D605="","",IFERROR(VLOOKUP(D605,Catalogo_Documentos!$A:$B,2,FALSE),"—"))</f>
        <v/>
      </c>
      <c r="F605" s="25"/>
      <c r="I605" s="64"/>
    </row>
    <row r="606" spans="1:9">
      <c r="A606" s="28"/>
      <c r="B606" s="26" t="str">
        <f>IF(A606="","",IFERROR(VLOOKUP(A606,Criterios!$A:$G,7,FALSE),"—"))</f>
        <v/>
      </c>
      <c r="C606" s="25" t="str">
        <f>IF(D606="","",IFERROR(VLOOKUP(D606,Catalogo_Documentos!$A:$B,3,FALSE),"—"))</f>
        <v/>
      </c>
      <c r="D606" s="29"/>
      <c r="E606" s="25" t="str">
        <f>IF(D606="","",IFERROR(VLOOKUP(D606,Catalogo_Documentos!$A:$B,2,FALSE),"—"))</f>
        <v/>
      </c>
      <c r="F606" s="25"/>
      <c r="I606" s="64"/>
    </row>
    <row r="607" spans="1:9">
      <c r="A607" s="28"/>
      <c r="B607" s="26" t="str">
        <f>IF(A607="","",IFERROR(VLOOKUP(A607,Criterios!$A:$G,7,FALSE),"—"))</f>
        <v/>
      </c>
      <c r="C607" s="25" t="str">
        <f>IF(D607="","",IFERROR(VLOOKUP(D607,Catalogo_Documentos!$A:$B,3,FALSE),"—"))</f>
        <v/>
      </c>
      <c r="D607" s="29"/>
      <c r="E607" s="25" t="str">
        <f>IF(D607="","",IFERROR(VLOOKUP(D607,Catalogo_Documentos!$A:$B,2,FALSE),"—"))</f>
        <v/>
      </c>
      <c r="F607" s="25"/>
      <c r="I607" s="64"/>
    </row>
    <row r="608" spans="1:9">
      <c r="A608" s="28"/>
      <c r="B608" s="26" t="str">
        <f>IF(A608="","",IFERROR(VLOOKUP(A608,Criterios!$A:$G,7,FALSE),"—"))</f>
        <v/>
      </c>
      <c r="C608" s="25" t="str">
        <f>IF(D608="","",IFERROR(VLOOKUP(D608,Catalogo_Documentos!$A:$B,3,FALSE),"—"))</f>
        <v/>
      </c>
      <c r="D608" s="29"/>
      <c r="E608" s="25" t="str">
        <f>IF(D608="","",IFERROR(VLOOKUP(D608,Catalogo_Documentos!$A:$B,2,FALSE),"—"))</f>
        <v/>
      </c>
      <c r="F608" s="25"/>
      <c r="I608" s="64"/>
    </row>
    <row r="609" spans="1:9">
      <c r="A609" s="28"/>
      <c r="B609" s="26" t="str">
        <f>IF(A609="","",IFERROR(VLOOKUP(A609,Criterios!$A:$G,7,FALSE),"—"))</f>
        <v/>
      </c>
      <c r="C609" s="25" t="str">
        <f>IF(D609="","",IFERROR(VLOOKUP(D609,Catalogo_Documentos!$A:$B,3,FALSE),"—"))</f>
        <v/>
      </c>
      <c r="D609" s="29"/>
      <c r="E609" s="25" t="str">
        <f>IF(D609="","",IFERROR(VLOOKUP(D609,Catalogo_Documentos!$A:$B,2,FALSE),"—"))</f>
        <v/>
      </c>
      <c r="F609" s="25"/>
      <c r="I609" s="64"/>
    </row>
    <row r="610" spans="1:9">
      <c r="A610" s="28"/>
      <c r="B610" s="26" t="str">
        <f>IF(A610="","",IFERROR(VLOOKUP(A610,Criterios!$A:$G,7,FALSE),"—"))</f>
        <v/>
      </c>
      <c r="C610" s="25" t="str">
        <f>IF(D610="","",IFERROR(VLOOKUP(D610,Catalogo_Documentos!$A:$B,3,FALSE),"—"))</f>
        <v/>
      </c>
      <c r="D610" s="29"/>
      <c r="E610" s="25" t="str">
        <f>IF(D610="","",IFERROR(VLOOKUP(D610,Catalogo_Documentos!$A:$B,2,FALSE),"—"))</f>
        <v/>
      </c>
      <c r="F610" s="25"/>
      <c r="I610" s="64"/>
    </row>
    <row r="611" spans="1:9">
      <c r="A611" s="28"/>
      <c r="B611" s="26" t="str">
        <f>IF(A611="","",IFERROR(VLOOKUP(A611,Criterios!$A:$G,7,FALSE),"—"))</f>
        <v/>
      </c>
      <c r="C611" s="25" t="str">
        <f>IF(D611="","",IFERROR(VLOOKUP(D611,Catalogo_Documentos!$A:$B,3,FALSE),"—"))</f>
        <v/>
      </c>
      <c r="D611" s="29"/>
      <c r="E611" s="25" t="str">
        <f>IF(D611="","",IFERROR(VLOOKUP(D611,Catalogo_Documentos!$A:$B,2,FALSE),"—"))</f>
        <v/>
      </c>
      <c r="F611" s="25"/>
      <c r="I611" s="64"/>
    </row>
    <row r="612" spans="1:9">
      <c r="A612" s="28"/>
      <c r="B612" s="26" t="str">
        <f>IF(A612="","",IFERROR(VLOOKUP(A612,Criterios!$A:$G,7,FALSE),"—"))</f>
        <v/>
      </c>
      <c r="C612" s="25" t="str">
        <f>IF(D612="","",IFERROR(VLOOKUP(D612,Catalogo_Documentos!$A:$B,3,FALSE),"—"))</f>
        <v/>
      </c>
      <c r="D612" s="29"/>
      <c r="E612" s="25" t="str">
        <f>IF(D612="","",IFERROR(VLOOKUP(D612,Catalogo_Documentos!$A:$B,2,FALSE),"—"))</f>
        <v/>
      </c>
      <c r="F612" s="25"/>
      <c r="I612" s="64"/>
    </row>
    <row r="613" spans="1:9">
      <c r="A613" s="28"/>
      <c r="B613" s="26" t="str">
        <f>IF(A613="","",IFERROR(VLOOKUP(A613,Criterios!$A:$G,7,FALSE),"—"))</f>
        <v/>
      </c>
      <c r="C613" s="25" t="str">
        <f>IF(D613="","",IFERROR(VLOOKUP(D613,Catalogo_Documentos!$A:$B,3,FALSE),"—"))</f>
        <v/>
      </c>
      <c r="D613" s="29"/>
      <c r="E613" s="25" t="str">
        <f>IF(D613="","",IFERROR(VLOOKUP(D613,Catalogo_Documentos!$A:$B,2,FALSE),"—"))</f>
        <v/>
      </c>
      <c r="F613" s="25"/>
      <c r="I613" s="64"/>
    </row>
    <row r="614" spans="1:9">
      <c r="A614" s="28"/>
      <c r="B614" s="26" t="str">
        <f>IF(A614="","",IFERROR(VLOOKUP(A614,Criterios!$A:$G,7,FALSE),"—"))</f>
        <v/>
      </c>
      <c r="C614" s="25" t="str">
        <f>IF(D614="","",IFERROR(VLOOKUP(D614,Catalogo_Documentos!$A:$B,3,FALSE),"—"))</f>
        <v/>
      </c>
      <c r="D614" s="29"/>
      <c r="E614" s="25" t="str">
        <f>IF(D614="","",IFERROR(VLOOKUP(D614,Catalogo_Documentos!$A:$B,2,FALSE),"—"))</f>
        <v/>
      </c>
      <c r="F614" s="25"/>
      <c r="I614" s="64"/>
    </row>
    <row r="615" spans="1:9">
      <c r="A615" s="28"/>
      <c r="B615" s="26" t="str">
        <f>IF(A615="","",IFERROR(VLOOKUP(A615,Criterios!$A:$G,7,FALSE),"—"))</f>
        <v/>
      </c>
      <c r="C615" s="25" t="str">
        <f>IF(D615="","",IFERROR(VLOOKUP(D615,Catalogo_Documentos!$A:$B,3,FALSE),"—"))</f>
        <v/>
      </c>
      <c r="D615" s="29"/>
      <c r="E615" s="25" t="str">
        <f>IF(D615="","",IFERROR(VLOOKUP(D615,Catalogo_Documentos!$A:$B,2,FALSE),"—"))</f>
        <v/>
      </c>
      <c r="F615" s="25"/>
      <c r="I615" s="64"/>
    </row>
    <row r="616" spans="1:9">
      <c r="A616" s="28"/>
      <c r="B616" s="26" t="str">
        <f>IF(A616="","",IFERROR(VLOOKUP(A616,Criterios!$A:$G,7,FALSE),"—"))</f>
        <v/>
      </c>
      <c r="C616" s="25" t="str">
        <f>IF(D616="","",IFERROR(VLOOKUP(D616,Catalogo_Documentos!$A:$B,3,FALSE),"—"))</f>
        <v/>
      </c>
      <c r="D616" s="29"/>
      <c r="E616" s="25" t="str">
        <f>IF(D616="","",IFERROR(VLOOKUP(D616,Catalogo_Documentos!$A:$B,2,FALSE),"—"))</f>
        <v/>
      </c>
      <c r="F616" s="25"/>
      <c r="I616" s="64"/>
    </row>
    <row r="617" spans="1:9">
      <c r="A617" s="28"/>
      <c r="B617" s="26" t="str">
        <f>IF(A617="","",IFERROR(VLOOKUP(A617,Criterios!$A:$G,7,FALSE),"—"))</f>
        <v/>
      </c>
      <c r="C617" s="25" t="str">
        <f>IF(D617="","",IFERROR(VLOOKUP(D617,Catalogo_Documentos!$A:$B,3,FALSE),"—"))</f>
        <v/>
      </c>
      <c r="D617" s="29"/>
      <c r="E617" s="25" t="str">
        <f>IF(D617="","",IFERROR(VLOOKUP(D617,Catalogo_Documentos!$A:$B,2,FALSE),"—"))</f>
        <v/>
      </c>
      <c r="F617" s="25"/>
      <c r="I617" s="64"/>
    </row>
    <row r="618" spans="1:9">
      <c r="A618" s="28"/>
      <c r="B618" s="26" t="str">
        <f>IF(A618="","",IFERROR(VLOOKUP(A618,Criterios!$A:$G,7,FALSE),"—"))</f>
        <v/>
      </c>
      <c r="C618" s="25" t="str">
        <f>IF(D618="","",IFERROR(VLOOKUP(D618,Catalogo_Documentos!$A:$B,3,FALSE),"—"))</f>
        <v/>
      </c>
      <c r="D618" s="29"/>
      <c r="E618" s="25" t="str">
        <f>IF(D618="","",IFERROR(VLOOKUP(D618,Catalogo_Documentos!$A:$B,2,FALSE),"—"))</f>
        <v/>
      </c>
      <c r="F618" s="25"/>
      <c r="I618" s="64"/>
    </row>
    <row r="619" spans="1:9">
      <c r="A619" s="28"/>
      <c r="B619" s="26" t="str">
        <f>IF(A619="","",IFERROR(VLOOKUP(A619,Criterios!$A:$G,7,FALSE),"—"))</f>
        <v/>
      </c>
      <c r="C619" s="25" t="str">
        <f>IF(D619="","",IFERROR(VLOOKUP(D619,Catalogo_Documentos!$A:$B,3,FALSE),"—"))</f>
        <v/>
      </c>
      <c r="D619" s="29"/>
      <c r="E619" s="25" t="str">
        <f>IF(D619="","",IFERROR(VLOOKUP(D619,Catalogo_Documentos!$A:$B,2,FALSE),"—"))</f>
        <v/>
      </c>
      <c r="F619" s="25"/>
      <c r="I619" s="64"/>
    </row>
    <row r="620" spans="1:9">
      <c r="A620" s="28"/>
      <c r="B620" s="26" t="str">
        <f>IF(A620="","",IFERROR(VLOOKUP(A620,Criterios!$A:$G,7,FALSE),"—"))</f>
        <v/>
      </c>
      <c r="C620" s="25" t="str">
        <f>IF(D620="","",IFERROR(VLOOKUP(D620,Catalogo_Documentos!$A:$B,3,FALSE),"—"))</f>
        <v/>
      </c>
      <c r="D620" s="29"/>
      <c r="E620" s="25" t="str">
        <f>IF(D620="","",IFERROR(VLOOKUP(D620,Catalogo_Documentos!$A:$B,2,FALSE),"—"))</f>
        <v/>
      </c>
      <c r="F620" s="25"/>
      <c r="I620" s="64"/>
    </row>
    <row r="621" spans="1:9">
      <c r="A621" s="28"/>
      <c r="B621" s="26" t="str">
        <f>IF(A621="","",IFERROR(VLOOKUP(A621,Criterios!$A:$G,7,FALSE),"—"))</f>
        <v/>
      </c>
      <c r="C621" s="25" t="str">
        <f>IF(D621="","",IFERROR(VLOOKUP(D621,Catalogo_Documentos!$A:$B,3,FALSE),"—"))</f>
        <v/>
      </c>
      <c r="D621" s="29"/>
      <c r="E621" s="25" t="str">
        <f>IF(D621="","",IFERROR(VLOOKUP(D621,Catalogo_Documentos!$A:$B,2,FALSE),"—"))</f>
        <v/>
      </c>
      <c r="F621" s="25"/>
      <c r="I621" s="64"/>
    </row>
    <row r="622" spans="1:9">
      <c r="A622" s="28"/>
      <c r="B622" s="26" t="str">
        <f>IF(A622="","",IFERROR(VLOOKUP(A622,Criterios!$A:$G,7,FALSE),"—"))</f>
        <v/>
      </c>
      <c r="C622" s="25" t="str">
        <f>IF(D622="","",IFERROR(VLOOKUP(D622,Catalogo_Documentos!$A:$B,3,FALSE),"—"))</f>
        <v/>
      </c>
      <c r="D622" s="29"/>
      <c r="E622" s="25" t="str">
        <f>IF(D622="","",IFERROR(VLOOKUP(D622,Catalogo_Documentos!$A:$B,2,FALSE),"—"))</f>
        <v/>
      </c>
      <c r="F622" s="25"/>
      <c r="I622" s="64"/>
    </row>
    <row r="623" spans="1:9">
      <c r="A623" s="28"/>
      <c r="B623" s="26" t="str">
        <f>IF(A623="","",IFERROR(VLOOKUP(A623,Criterios!$A:$G,7,FALSE),"—"))</f>
        <v/>
      </c>
      <c r="C623" s="25" t="str">
        <f>IF(D623="","",IFERROR(VLOOKUP(D623,Catalogo_Documentos!$A:$B,3,FALSE),"—"))</f>
        <v/>
      </c>
      <c r="D623" s="29"/>
      <c r="E623" s="25" t="str">
        <f>IF(D623="","",IFERROR(VLOOKUP(D623,Catalogo_Documentos!$A:$B,2,FALSE),"—"))</f>
        <v/>
      </c>
      <c r="F623" s="25"/>
      <c r="I623" s="64"/>
    </row>
    <row r="624" spans="1:9">
      <c r="A624" s="28"/>
      <c r="B624" s="26" t="str">
        <f>IF(A624="","",IFERROR(VLOOKUP(A624,Criterios!$A:$G,7,FALSE),"—"))</f>
        <v/>
      </c>
      <c r="C624" s="25" t="str">
        <f>IF(D624="","",IFERROR(VLOOKUP(D624,Catalogo_Documentos!$A:$B,3,FALSE),"—"))</f>
        <v/>
      </c>
      <c r="D624" s="29"/>
      <c r="E624" s="25" t="str">
        <f>IF(D624="","",IFERROR(VLOOKUP(D624,Catalogo_Documentos!$A:$B,2,FALSE),"—"))</f>
        <v/>
      </c>
      <c r="F624" s="25"/>
      <c r="I624" s="64"/>
    </row>
    <row r="625" spans="1:9">
      <c r="A625" s="28"/>
      <c r="B625" s="26" t="str">
        <f>IF(A625="","",IFERROR(VLOOKUP(A625,Criterios!$A:$G,7,FALSE),"—"))</f>
        <v/>
      </c>
      <c r="C625" s="25" t="str">
        <f>IF(D625="","",IFERROR(VLOOKUP(D625,Catalogo_Documentos!$A:$B,3,FALSE),"—"))</f>
        <v/>
      </c>
      <c r="D625" s="29"/>
      <c r="E625" s="25" t="str">
        <f>IF(D625="","",IFERROR(VLOOKUP(D625,Catalogo_Documentos!$A:$B,2,FALSE),"—"))</f>
        <v/>
      </c>
      <c r="F625" s="25"/>
      <c r="I625" s="64"/>
    </row>
    <row r="626" spans="1:9">
      <c r="A626" s="28"/>
      <c r="B626" s="26" t="str">
        <f>IF(A626="","",IFERROR(VLOOKUP(A626,Criterios!$A:$G,7,FALSE),"—"))</f>
        <v/>
      </c>
      <c r="C626" s="25" t="str">
        <f>IF(D626="","",IFERROR(VLOOKUP(D626,Catalogo_Documentos!$A:$B,3,FALSE),"—"))</f>
        <v/>
      </c>
      <c r="D626" s="29"/>
      <c r="E626" s="25" t="str">
        <f>IF(D626="","",IFERROR(VLOOKUP(D626,Catalogo_Documentos!$A:$B,2,FALSE),"—"))</f>
        <v/>
      </c>
      <c r="F626" s="25"/>
      <c r="I626" s="64"/>
    </row>
    <row r="627" spans="1:9">
      <c r="A627" s="28"/>
      <c r="B627" s="26" t="str">
        <f>IF(A627="","",IFERROR(VLOOKUP(A627,Criterios!$A:$G,7,FALSE),"—"))</f>
        <v/>
      </c>
      <c r="C627" s="25" t="str">
        <f>IF(D627="","",IFERROR(VLOOKUP(D627,Catalogo_Documentos!$A:$B,3,FALSE),"—"))</f>
        <v/>
      </c>
      <c r="D627" s="29"/>
      <c r="E627" s="25" t="str">
        <f>IF(D627="","",IFERROR(VLOOKUP(D627,Catalogo_Documentos!$A:$B,2,FALSE),"—"))</f>
        <v/>
      </c>
      <c r="F627" s="25"/>
      <c r="I627" s="64"/>
    </row>
    <row r="628" spans="1:9">
      <c r="A628" s="28"/>
      <c r="B628" s="26" t="str">
        <f>IF(A628="","",IFERROR(VLOOKUP(A628,Criterios!$A:$G,7,FALSE),"—"))</f>
        <v/>
      </c>
      <c r="C628" s="25" t="str">
        <f>IF(D628="","",IFERROR(VLOOKUP(D628,Catalogo_Documentos!$A:$B,3,FALSE),"—"))</f>
        <v/>
      </c>
      <c r="D628" s="29"/>
      <c r="E628" s="25" t="str">
        <f>IF(D628="","",IFERROR(VLOOKUP(D628,Catalogo_Documentos!$A:$B,2,FALSE),"—"))</f>
        <v/>
      </c>
      <c r="F628" s="25"/>
      <c r="I628" s="64"/>
    </row>
    <row r="629" spans="1:9">
      <c r="A629" s="28"/>
      <c r="B629" s="26" t="str">
        <f>IF(A629="","",IFERROR(VLOOKUP(A629,Criterios!$A:$G,7,FALSE),"—"))</f>
        <v/>
      </c>
      <c r="C629" s="25" t="str">
        <f>IF(D629="","",IFERROR(VLOOKUP(D629,Catalogo_Documentos!$A:$B,3,FALSE),"—"))</f>
        <v/>
      </c>
      <c r="D629" s="29"/>
      <c r="E629" s="25" t="str">
        <f>IF(D629="","",IFERROR(VLOOKUP(D629,Catalogo_Documentos!$A:$B,2,FALSE),"—"))</f>
        <v/>
      </c>
      <c r="F629" s="25"/>
      <c r="I629" s="64"/>
    </row>
    <row r="630" spans="1:9">
      <c r="A630" s="28"/>
      <c r="B630" s="26" t="str">
        <f>IF(A630="","",IFERROR(VLOOKUP(A630,Criterios!$A:$G,7,FALSE),"—"))</f>
        <v/>
      </c>
      <c r="C630" s="25" t="str">
        <f>IF(D630="","",IFERROR(VLOOKUP(D630,Catalogo_Documentos!$A:$B,3,FALSE),"—"))</f>
        <v/>
      </c>
      <c r="D630" s="29"/>
      <c r="E630" s="25" t="str">
        <f>IF(D630="","",IFERROR(VLOOKUP(D630,Catalogo_Documentos!$A:$B,2,FALSE),"—"))</f>
        <v/>
      </c>
      <c r="F630" s="25"/>
      <c r="I630" s="64"/>
    </row>
    <row r="631" spans="1:9">
      <c r="A631" s="28"/>
      <c r="B631" s="26" t="str">
        <f>IF(A631="","",IFERROR(VLOOKUP(A631,Criterios!$A:$G,7,FALSE),"—"))</f>
        <v/>
      </c>
      <c r="C631" s="25" t="str">
        <f>IF(D631="","",IFERROR(VLOOKUP(D631,Catalogo_Documentos!$A:$B,3,FALSE),"—"))</f>
        <v/>
      </c>
      <c r="D631" s="29"/>
      <c r="E631" s="25" t="str">
        <f>IF(D631="","",IFERROR(VLOOKUP(D631,Catalogo_Documentos!$A:$B,2,FALSE),"—"))</f>
        <v/>
      </c>
      <c r="F631" s="25"/>
      <c r="I631" s="64"/>
    </row>
    <row r="632" spans="1:9">
      <c r="A632" s="28"/>
      <c r="B632" s="26" t="str">
        <f>IF(A632="","",IFERROR(VLOOKUP(A632,Criterios!$A:$G,7,FALSE),"—"))</f>
        <v/>
      </c>
      <c r="C632" s="25" t="str">
        <f>IF(D632="","",IFERROR(VLOOKUP(D632,Catalogo_Documentos!$A:$B,3,FALSE),"—"))</f>
        <v/>
      </c>
      <c r="D632" s="29"/>
      <c r="E632" s="25" t="str">
        <f>IF(D632="","",IFERROR(VLOOKUP(D632,Catalogo_Documentos!$A:$B,2,FALSE),"—"))</f>
        <v/>
      </c>
      <c r="F632" s="25"/>
      <c r="I632" s="64"/>
    </row>
    <row r="633" spans="1:9">
      <c r="A633" s="28"/>
      <c r="B633" s="26" t="str">
        <f>IF(A633="","",IFERROR(VLOOKUP(A633,Criterios!$A:$G,7,FALSE),"—"))</f>
        <v/>
      </c>
      <c r="C633" s="25" t="str">
        <f>IF(D633="","",IFERROR(VLOOKUP(D633,Catalogo_Documentos!$A:$B,3,FALSE),"—"))</f>
        <v/>
      </c>
      <c r="D633" s="29"/>
      <c r="E633" s="25" t="str">
        <f>IF(D633="","",IFERROR(VLOOKUP(D633,Catalogo_Documentos!$A:$B,2,FALSE),"—"))</f>
        <v/>
      </c>
      <c r="F633" s="25"/>
      <c r="I633" s="64"/>
    </row>
    <row r="634" spans="1:9">
      <c r="A634" s="28"/>
      <c r="B634" s="26" t="str">
        <f>IF(A634="","",IFERROR(VLOOKUP(A634,Criterios!$A:$G,7,FALSE),"—"))</f>
        <v/>
      </c>
      <c r="C634" s="25" t="str">
        <f>IF(D634="","",IFERROR(VLOOKUP(D634,Catalogo_Documentos!$A:$B,3,FALSE),"—"))</f>
        <v/>
      </c>
      <c r="D634" s="29"/>
      <c r="E634" s="25" t="str">
        <f>IF(D634="","",IFERROR(VLOOKUP(D634,Catalogo_Documentos!$A:$B,2,FALSE),"—"))</f>
        <v/>
      </c>
      <c r="F634" s="25"/>
      <c r="I634" s="64"/>
    </row>
    <row r="635" spans="1:9">
      <c r="A635" s="28"/>
      <c r="B635" s="26" t="str">
        <f>IF(A635="","",IFERROR(VLOOKUP(A635,Criterios!$A:$G,7,FALSE),"—"))</f>
        <v/>
      </c>
      <c r="C635" s="25" t="str">
        <f>IF(D635="","",IFERROR(VLOOKUP(D635,Catalogo_Documentos!$A:$B,3,FALSE),"—"))</f>
        <v/>
      </c>
      <c r="D635" s="29"/>
      <c r="E635" s="25" t="str">
        <f>IF(D635="","",IFERROR(VLOOKUP(D635,Catalogo_Documentos!$A:$B,2,FALSE),"—"))</f>
        <v/>
      </c>
      <c r="F635" s="25"/>
      <c r="I635" s="64"/>
    </row>
    <row r="636" spans="1:9">
      <c r="A636" s="28"/>
      <c r="B636" s="26" t="str">
        <f>IF(A636="","",IFERROR(VLOOKUP(A636,Criterios!$A:$G,7,FALSE),"—"))</f>
        <v/>
      </c>
      <c r="C636" s="25" t="str">
        <f>IF(D636="","",IFERROR(VLOOKUP(D636,Catalogo_Documentos!$A:$B,3,FALSE),"—"))</f>
        <v/>
      </c>
      <c r="D636" s="29"/>
      <c r="E636" s="25" t="str">
        <f>IF(D636="","",IFERROR(VLOOKUP(D636,Catalogo_Documentos!$A:$B,2,FALSE),"—"))</f>
        <v/>
      </c>
      <c r="F636" s="25"/>
      <c r="I636" s="64"/>
    </row>
    <row r="637" spans="1:9">
      <c r="A637" s="28"/>
      <c r="B637" s="26" t="str">
        <f>IF(A637="","",IFERROR(VLOOKUP(A637,Criterios!$A:$G,7,FALSE),"—"))</f>
        <v/>
      </c>
      <c r="C637" s="25" t="str">
        <f>IF(D637="","",IFERROR(VLOOKUP(D637,Catalogo_Documentos!$A:$B,3,FALSE),"—"))</f>
        <v/>
      </c>
      <c r="D637" s="29"/>
      <c r="E637" s="25" t="str">
        <f>IF(D637="","",IFERROR(VLOOKUP(D637,Catalogo_Documentos!$A:$B,2,FALSE),"—"))</f>
        <v/>
      </c>
      <c r="F637" s="25"/>
      <c r="I637" s="64"/>
    </row>
    <row r="638" spans="1:9">
      <c r="A638" s="28"/>
      <c r="B638" s="26" t="str">
        <f>IF(A638="","",IFERROR(VLOOKUP(A638,Criterios!$A:$G,7,FALSE),"—"))</f>
        <v/>
      </c>
      <c r="C638" s="25" t="str">
        <f>IF(D638="","",IFERROR(VLOOKUP(D638,Catalogo_Documentos!$A:$B,3,FALSE),"—"))</f>
        <v/>
      </c>
      <c r="D638" s="29"/>
      <c r="E638" s="25" t="str">
        <f>IF(D638="","",IFERROR(VLOOKUP(D638,Catalogo_Documentos!$A:$B,2,FALSE),"—"))</f>
        <v/>
      </c>
      <c r="F638" s="25"/>
      <c r="I638" s="64"/>
    </row>
    <row r="639" spans="1:9">
      <c r="A639" s="28"/>
      <c r="B639" s="26" t="str">
        <f>IF(A639="","",IFERROR(VLOOKUP(A639,Criterios!$A:$G,7,FALSE),"—"))</f>
        <v/>
      </c>
      <c r="C639" s="25" t="str">
        <f>IF(D639="","",IFERROR(VLOOKUP(D639,Catalogo_Documentos!$A:$B,3,FALSE),"—"))</f>
        <v/>
      </c>
      <c r="D639" s="29"/>
      <c r="E639" s="25" t="str">
        <f>IF(D639="","",IFERROR(VLOOKUP(D639,Catalogo_Documentos!$A:$B,2,FALSE),"—"))</f>
        <v/>
      </c>
      <c r="F639" s="25"/>
      <c r="I639" s="64"/>
    </row>
    <row r="640" spans="1:9">
      <c r="A640" s="28"/>
      <c r="B640" s="26" t="str">
        <f>IF(A640="","",IFERROR(VLOOKUP(A640,Criterios!$A:$G,7,FALSE),"—"))</f>
        <v/>
      </c>
      <c r="C640" s="25" t="str">
        <f>IF(D640="","",IFERROR(VLOOKUP(D640,Catalogo_Documentos!$A:$B,3,FALSE),"—"))</f>
        <v/>
      </c>
      <c r="D640" s="29"/>
      <c r="E640" s="25" t="str">
        <f>IF(D640="","",IFERROR(VLOOKUP(D640,Catalogo_Documentos!$A:$B,2,FALSE),"—"))</f>
        <v/>
      </c>
      <c r="F640" s="25"/>
      <c r="I640" s="64"/>
    </row>
    <row r="641" spans="1:9">
      <c r="A641" s="28"/>
      <c r="B641" s="26" t="str">
        <f>IF(A641="","",IFERROR(VLOOKUP(A641,Criterios!$A:$G,7,FALSE),"—"))</f>
        <v/>
      </c>
      <c r="C641" s="25" t="str">
        <f>IF(D641="","",IFERROR(VLOOKUP(D641,Catalogo_Documentos!$A:$B,3,FALSE),"—"))</f>
        <v/>
      </c>
      <c r="D641" s="29"/>
      <c r="E641" s="25" t="str">
        <f>IF(D641="","",IFERROR(VLOOKUP(D641,Catalogo_Documentos!$A:$B,2,FALSE),"—"))</f>
        <v/>
      </c>
      <c r="F641" s="25"/>
      <c r="I641" s="64"/>
    </row>
    <row r="642" spans="1:9">
      <c r="A642" s="28"/>
      <c r="B642" s="26" t="str">
        <f>IF(A642="","",IFERROR(VLOOKUP(A642,Criterios!$A:$G,7,FALSE),"—"))</f>
        <v/>
      </c>
      <c r="C642" s="25" t="str">
        <f>IF(D642="","",IFERROR(VLOOKUP(D642,Catalogo_Documentos!$A:$B,3,FALSE),"—"))</f>
        <v/>
      </c>
      <c r="D642" s="29"/>
      <c r="E642" s="25" t="str">
        <f>IF(D642="","",IFERROR(VLOOKUP(D642,Catalogo_Documentos!$A:$B,2,FALSE),"—"))</f>
        <v/>
      </c>
      <c r="F642" s="25"/>
      <c r="I642" s="64"/>
    </row>
    <row r="643" spans="1:9">
      <c r="A643" s="28"/>
      <c r="B643" s="26" t="str">
        <f>IF(A643="","",IFERROR(VLOOKUP(A643,Criterios!$A:$G,7,FALSE),"—"))</f>
        <v/>
      </c>
      <c r="C643" s="25" t="str">
        <f>IF(D643="","",IFERROR(VLOOKUP(D643,Catalogo_Documentos!$A:$B,3,FALSE),"—"))</f>
        <v/>
      </c>
      <c r="D643" s="29"/>
      <c r="E643" s="25" t="str">
        <f>IF(D643="","",IFERROR(VLOOKUP(D643,Catalogo_Documentos!$A:$B,2,FALSE),"—"))</f>
        <v/>
      </c>
      <c r="F643" s="25"/>
      <c r="I643" s="64"/>
    </row>
    <row r="644" spans="1:9">
      <c r="A644" s="28"/>
      <c r="B644" s="26" t="str">
        <f>IF(A644="","",IFERROR(VLOOKUP(A644,Criterios!$A:$G,7,FALSE),"—"))</f>
        <v/>
      </c>
      <c r="C644" s="25" t="str">
        <f>IF(D644="","",IFERROR(VLOOKUP(D644,Catalogo_Documentos!$A:$B,3,FALSE),"—"))</f>
        <v/>
      </c>
      <c r="D644" s="29"/>
      <c r="E644" s="25" t="str">
        <f>IF(D644="","",IFERROR(VLOOKUP(D644,Catalogo_Documentos!$A:$B,2,FALSE),"—"))</f>
        <v/>
      </c>
      <c r="F644" s="25"/>
      <c r="I644" s="64"/>
    </row>
    <row r="645" spans="1:9">
      <c r="A645" s="28"/>
      <c r="B645" s="26" t="str">
        <f>IF(A645="","",IFERROR(VLOOKUP(A645,Criterios!$A:$G,7,FALSE),"—"))</f>
        <v/>
      </c>
      <c r="C645" s="25" t="str">
        <f>IF(D645="","",IFERROR(VLOOKUP(D645,Catalogo_Documentos!$A:$B,3,FALSE),"—"))</f>
        <v/>
      </c>
      <c r="D645" s="29"/>
      <c r="E645" s="25" t="str">
        <f>IF(D645="","",IFERROR(VLOOKUP(D645,Catalogo_Documentos!$A:$B,2,FALSE),"—"))</f>
        <v/>
      </c>
      <c r="F645" s="25"/>
      <c r="I645" s="64"/>
    </row>
    <row r="646" spans="1:9">
      <c r="A646" s="28"/>
      <c r="B646" s="26" t="str">
        <f>IF(A646="","",IFERROR(VLOOKUP(A646,Criterios!$A:$G,7,FALSE),"—"))</f>
        <v/>
      </c>
      <c r="C646" s="25" t="str">
        <f>IF(D646="","",IFERROR(VLOOKUP(D646,Catalogo_Documentos!$A:$B,3,FALSE),"—"))</f>
        <v/>
      </c>
      <c r="D646" s="29"/>
      <c r="E646" s="25" t="str">
        <f>IF(D646="","",IFERROR(VLOOKUP(D646,Catalogo_Documentos!$A:$B,2,FALSE),"—"))</f>
        <v/>
      </c>
      <c r="F646" s="25"/>
      <c r="I646" s="64"/>
    </row>
    <row r="647" spans="1:9">
      <c r="A647" s="28"/>
      <c r="B647" s="26" t="str">
        <f>IF(A647="","",IFERROR(VLOOKUP(A647,Criterios!$A:$G,7,FALSE),"—"))</f>
        <v/>
      </c>
      <c r="C647" s="25" t="str">
        <f>IF(D647="","",IFERROR(VLOOKUP(D647,Catalogo_Documentos!$A:$B,3,FALSE),"—"))</f>
        <v/>
      </c>
      <c r="D647" s="29"/>
      <c r="E647" s="25" t="str">
        <f>IF(D647="","",IFERROR(VLOOKUP(D647,Catalogo_Documentos!$A:$B,2,FALSE),"—"))</f>
        <v/>
      </c>
      <c r="F647" s="25"/>
      <c r="I647" s="64"/>
    </row>
    <row r="648" spans="1:9">
      <c r="A648" s="28"/>
      <c r="B648" s="26" t="str">
        <f>IF(A648="","",IFERROR(VLOOKUP(A648,Criterios!$A:$G,7,FALSE),"—"))</f>
        <v/>
      </c>
      <c r="C648" s="25" t="str">
        <f>IF(D648="","",IFERROR(VLOOKUP(D648,Catalogo_Documentos!$A:$B,3,FALSE),"—"))</f>
        <v/>
      </c>
      <c r="D648" s="29"/>
      <c r="E648" s="25" t="str">
        <f>IF(D648="","",IFERROR(VLOOKUP(D648,Catalogo_Documentos!$A:$B,2,FALSE),"—"))</f>
        <v/>
      </c>
      <c r="F648" s="25"/>
      <c r="I648" s="64"/>
    </row>
    <row r="649" spans="1:9">
      <c r="A649" s="28"/>
      <c r="B649" s="26" t="str">
        <f>IF(A649="","",IFERROR(VLOOKUP(A649,Criterios!$A:$G,7,FALSE),"—"))</f>
        <v/>
      </c>
      <c r="C649" s="25" t="str">
        <f>IF(D649="","",IFERROR(VLOOKUP(D649,Catalogo_Documentos!$A:$B,3,FALSE),"—"))</f>
        <v/>
      </c>
      <c r="D649" s="29"/>
      <c r="E649" s="25" t="str">
        <f>IF(D649="","",IFERROR(VLOOKUP(D649,Catalogo_Documentos!$A:$B,2,FALSE),"—"))</f>
        <v/>
      </c>
      <c r="F649" s="25"/>
      <c r="I649" s="64"/>
    </row>
    <row r="650" spans="1:9">
      <c r="A650" s="28"/>
      <c r="B650" s="26" t="str">
        <f>IF(A650="","",IFERROR(VLOOKUP(A650,Criterios!$A:$G,7,FALSE),"—"))</f>
        <v/>
      </c>
      <c r="C650" s="25" t="str">
        <f>IF(D650="","",IFERROR(VLOOKUP(D650,Catalogo_Documentos!$A:$B,3,FALSE),"—"))</f>
        <v/>
      </c>
      <c r="D650" s="29"/>
      <c r="E650" s="25" t="str">
        <f>IF(D650="","",IFERROR(VLOOKUP(D650,Catalogo_Documentos!$A:$B,2,FALSE),"—"))</f>
        <v/>
      </c>
      <c r="F650" s="25"/>
      <c r="I650" s="64"/>
    </row>
    <row r="651" spans="1:9">
      <c r="A651" s="28"/>
      <c r="B651" s="26" t="str">
        <f>IF(A651="","",IFERROR(VLOOKUP(A651,Criterios!$A:$G,7,FALSE),"—"))</f>
        <v/>
      </c>
      <c r="C651" s="25" t="str">
        <f>IF(D651="","",IFERROR(VLOOKUP(D651,Catalogo_Documentos!$A:$B,3,FALSE),"—"))</f>
        <v/>
      </c>
      <c r="D651" s="29"/>
      <c r="E651" s="25" t="str">
        <f>IF(D651="","",IFERROR(VLOOKUP(D651,Catalogo_Documentos!$A:$B,2,FALSE),"—"))</f>
        <v/>
      </c>
      <c r="F651" s="25"/>
      <c r="I651" s="64"/>
    </row>
    <row r="652" spans="1:9">
      <c r="A652" s="28"/>
      <c r="B652" s="26" t="str">
        <f>IF(A652="","",IFERROR(VLOOKUP(A652,Criterios!$A:$G,7,FALSE),"—"))</f>
        <v/>
      </c>
      <c r="C652" s="25" t="str">
        <f>IF(D652="","",IFERROR(VLOOKUP(D652,Catalogo_Documentos!$A:$B,3,FALSE),"—"))</f>
        <v/>
      </c>
      <c r="D652" s="29"/>
      <c r="E652" s="25" t="str">
        <f>IF(D652="","",IFERROR(VLOOKUP(D652,Catalogo_Documentos!$A:$B,2,FALSE),"—"))</f>
        <v/>
      </c>
      <c r="F652" s="25"/>
      <c r="I652" s="64"/>
    </row>
    <row r="653" spans="1:9">
      <c r="A653" s="28"/>
      <c r="B653" s="26" t="str">
        <f>IF(A653="","",IFERROR(VLOOKUP(A653,Criterios!$A:$G,7,FALSE),"—"))</f>
        <v/>
      </c>
      <c r="C653" s="25" t="str">
        <f>IF(D653="","",IFERROR(VLOOKUP(D653,Catalogo_Documentos!$A:$B,3,FALSE),"—"))</f>
        <v/>
      </c>
      <c r="D653" s="29"/>
      <c r="E653" s="25" t="str">
        <f>IF(D653="","",IFERROR(VLOOKUP(D653,Catalogo_Documentos!$A:$B,2,FALSE),"—"))</f>
        <v/>
      </c>
      <c r="F653" s="25"/>
      <c r="I653" s="64"/>
    </row>
    <row r="654" spans="1:9">
      <c r="A654" s="28"/>
      <c r="B654" s="26" t="str">
        <f>IF(A654="","",IFERROR(VLOOKUP(A654,Criterios!$A:$G,7,FALSE),"—"))</f>
        <v/>
      </c>
      <c r="C654" s="25" t="str">
        <f>IF(D654="","",IFERROR(VLOOKUP(D654,Catalogo_Documentos!$A:$B,3,FALSE),"—"))</f>
        <v/>
      </c>
      <c r="D654" s="29"/>
      <c r="E654" s="25" t="str">
        <f>IF(D654="","",IFERROR(VLOOKUP(D654,Catalogo_Documentos!$A:$B,2,FALSE),"—"))</f>
        <v/>
      </c>
      <c r="F654" s="25"/>
      <c r="I654" s="64"/>
    </row>
    <row r="655" spans="1:9">
      <c r="A655" s="28"/>
      <c r="B655" s="26" t="str">
        <f>IF(A655="","",IFERROR(VLOOKUP(A655,Criterios!$A:$G,7,FALSE),"—"))</f>
        <v/>
      </c>
      <c r="C655" s="25" t="str">
        <f>IF(D655="","",IFERROR(VLOOKUP(D655,Catalogo_Documentos!$A:$B,3,FALSE),"—"))</f>
        <v/>
      </c>
      <c r="D655" s="29"/>
      <c r="E655" s="25" t="str">
        <f>IF(D655="","",IFERROR(VLOOKUP(D655,Catalogo_Documentos!$A:$B,2,FALSE),"—"))</f>
        <v/>
      </c>
      <c r="F655" s="25"/>
      <c r="I655" s="64"/>
    </row>
    <row r="656" spans="1:9">
      <c r="A656" s="28"/>
      <c r="B656" s="26" t="str">
        <f>IF(A656="","",IFERROR(VLOOKUP(A656,Criterios!$A:$G,7,FALSE),"—"))</f>
        <v/>
      </c>
      <c r="C656" s="25" t="str">
        <f>IF(D656="","",IFERROR(VLOOKUP(D656,Catalogo_Documentos!$A:$B,3,FALSE),"—"))</f>
        <v/>
      </c>
      <c r="D656" s="29"/>
      <c r="E656" s="25" t="str">
        <f>IF(D656="","",IFERROR(VLOOKUP(D656,Catalogo_Documentos!$A:$B,2,FALSE),"—"))</f>
        <v/>
      </c>
      <c r="F656" s="25"/>
      <c r="I656" s="64"/>
    </row>
    <row r="657" spans="1:9">
      <c r="A657" s="28"/>
      <c r="B657" s="26" t="str">
        <f>IF(A657="","",IFERROR(VLOOKUP(A657,Criterios!$A:$G,7,FALSE),"—"))</f>
        <v/>
      </c>
      <c r="C657" s="25" t="str">
        <f>IF(D657="","",IFERROR(VLOOKUP(D657,Catalogo_Documentos!$A:$B,3,FALSE),"—"))</f>
        <v/>
      </c>
      <c r="D657" s="29"/>
      <c r="E657" s="25" t="str">
        <f>IF(D657="","",IFERROR(VLOOKUP(D657,Catalogo_Documentos!$A:$B,2,FALSE),"—"))</f>
        <v/>
      </c>
      <c r="F657" s="25"/>
      <c r="I657" s="64"/>
    </row>
    <row r="658" spans="1:9">
      <c r="A658" s="28"/>
      <c r="B658" s="26" t="str">
        <f>IF(A658="","",IFERROR(VLOOKUP(A658,Criterios!$A:$G,7,FALSE),"—"))</f>
        <v/>
      </c>
      <c r="C658" s="25" t="str">
        <f>IF(D658="","",IFERROR(VLOOKUP(D658,Catalogo_Documentos!$A:$B,3,FALSE),"—"))</f>
        <v/>
      </c>
      <c r="D658" s="29"/>
      <c r="E658" s="25" t="str">
        <f>IF(D658="","",IFERROR(VLOOKUP(D658,Catalogo_Documentos!$A:$B,2,FALSE),"—"))</f>
        <v/>
      </c>
      <c r="F658" s="25"/>
      <c r="I658" s="64"/>
    </row>
    <row r="659" spans="1:9">
      <c r="A659" s="28"/>
      <c r="B659" s="26" t="str">
        <f>IF(A659="","",IFERROR(VLOOKUP(A659,Criterios!$A:$G,7,FALSE),"—"))</f>
        <v/>
      </c>
      <c r="C659" s="25" t="str">
        <f>IF(D659="","",IFERROR(VLOOKUP(D659,Catalogo_Documentos!$A:$B,3,FALSE),"—"))</f>
        <v/>
      </c>
      <c r="D659" s="29"/>
      <c r="E659" s="25" t="str">
        <f>IF(D659="","",IFERROR(VLOOKUP(D659,Catalogo_Documentos!$A:$B,2,FALSE),"—"))</f>
        <v/>
      </c>
      <c r="F659" s="25"/>
      <c r="I659" s="64"/>
    </row>
    <row r="660" spans="1:9">
      <c r="A660" s="28"/>
      <c r="B660" s="26" t="str">
        <f>IF(A660="","",IFERROR(VLOOKUP(A660,Criterios!$A:$G,7,FALSE),"—"))</f>
        <v/>
      </c>
      <c r="C660" s="25" t="str">
        <f>IF(D660="","",IFERROR(VLOOKUP(D660,Catalogo_Documentos!$A:$B,3,FALSE),"—"))</f>
        <v/>
      </c>
      <c r="D660" s="29"/>
      <c r="E660" s="25" t="str">
        <f>IF(D660="","",IFERROR(VLOOKUP(D660,Catalogo_Documentos!$A:$B,2,FALSE),"—"))</f>
        <v/>
      </c>
      <c r="F660" s="25"/>
      <c r="I660" s="64"/>
    </row>
    <row r="661" spans="1:9">
      <c r="A661" s="28"/>
      <c r="B661" s="26" t="str">
        <f>IF(A661="","",IFERROR(VLOOKUP(A661,Criterios!$A:$G,7,FALSE),"—"))</f>
        <v/>
      </c>
      <c r="C661" s="25" t="str">
        <f>IF(D661="","",IFERROR(VLOOKUP(D661,Catalogo_Documentos!$A:$B,3,FALSE),"—"))</f>
        <v/>
      </c>
      <c r="D661" s="29"/>
      <c r="E661" s="25" t="str">
        <f>IF(D661="","",IFERROR(VLOOKUP(D661,Catalogo_Documentos!$A:$B,2,FALSE),"—"))</f>
        <v/>
      </c>
      <c r="F661" s="25"/>
      <c r="I661" s="64"/>
    </row>
    <row r="662" spans="1:9">
      <c r="A662" s="28"/>
      <c r="B662" s="26" t="str">
        <f>IF(A662="","",IFERROR(VLOOKUP(A662,Criterios!$A:$G,7,FALSE),"—"))</f>
        <v/>
      </c>
      <c r="C662" s="25" t="str">
        <f>IF(D662="","",IFERROR(VLOOKUP(D662,Catalogo_Documentos!$A:$B,3,FALSE),"—"))</f>
        <v/>
      </c>
      <c r="D662" s="29"/>
      <c r="E662" s="25" t="str">
        <f>IF(D662="","",IFERROR(VLOOKUP(D662,Catalogo_Documentos!$A:$B,2,FALSE),"—"))</f>
        <v/>
      </c>
      <c r="F662" s="25"/>
      <c r="I662" s="64"/>
    </row>
    <row r="663" spans="1:9">
      <c r="A663" s="28"/>
      <c r="B663" s="26" t="str">
        <f>IF(A663="","",IFERROR(VLOOKUP(A663,Criterios!$A:$G,7,FALSE),"—"))</f>
        <v/>
      </c>
      <c r="C663" s="25" t="str">
        <f>IF(D663="","",IFERROR(VLOOKUP(D663,Catalogo_Documentos!$A:$B,3,FALSE),"—"))</f>
        <v/>
      </c>
      <c r="D663" s="29"/>
      <c r="E663" s="25" t="str">
        <f>IF(D663="","",IFERROR(VLOOKUP(D663,Catalogo_Documentos!$A:$B,2,FALSE),"—"))</f>
        <v/>
      </c>
      <c r="F663" s="25"/>
      <c r="I663" s="64"/>
    </row>
    <row r="664" spans="1:9">
      <c r="A664" s="28"/>
      <c r="B664" s="26" t="str">
        <f>IF(A664="","",IFERROR(VLOOKUP(A664,Criterios!$A:$G,7,FALSE),"—"))</f>
        <v/>
      </c>
      <c r="C664" s="25" t="str">
        <f>IF(D664="","",IFERROR(VLOOKUP(D664,Catalogo_Documentos!$A:$B,3,FALSE),"—"))</f>
        <v/>
      </c>
      <c r="D664" s="29"/>
      <c r="E664" s="25" t="str">
        <f>IF(D664="","",IFERROR(VLOOKUP(D664,Catalogo_Documentos!$A:$B,2,FALSE),"—"))</f>
        <v/>
      </c>
      <c r="F664" s="25"/>
      <c r="I664" s="64"/>
    </row>
    <row r="665" spans="1:9">
      <c r="A665" s="28"/>
      <c r="B665" s="26" t="str">
        <f>IF(A665="","",IFERROR(VLOOKUP(A665,Criterios!$A:$G,7,FALSE),"—"))</f>
        <v/>
      </c>
      <c r="C665" s="25" t="str">
        <f>IF(D665="","",IFERROR(VLOOKUP(D665,Catalogo_Documentos!$A:$B,3,FALSE),"—"))</f>
        <v/>
      </c>
      <c r="D665" s="29"/>
      <c r="E665" s="25" t="str">
        <f>IF(D665="","",IFERROR(VLOOKUP(D665,Catalogo_Documentos!$A:$B,2,FALSE),"—"))</f>
        <v/>
      </c>
      <c r="F665" s="25"/>
      <c r="I665" s="64"/>
    </row>
    <row r="666" spans="1:9">
      <c r="A666" s="28"/>
      <c r="B666" s="26" t="str">
        <f>IF(A666="","",IFERROR(VLOOKUP(A666,Criterios!$A:$G,7,FALSE),"—"))</f>
        <v/>
      </c>
      <c r="C666" s="25" t="str">
        <f>IF(D666="","",IFERROR(VLOOKUP(D666,Catalogo_Documentos!$A:$B,3,FALSE),"—"))</f>
        <v/>
      </c>
      <c r="D666" s="29"/>
      <c r="E666" s="25" t="str">
        <f>IF(D666="","",IFERROR(VLOOKUP(D666,Catalogo_Documentos!$A:$B,2,FALSE),"—"))</f>
        <v/>
      </c>
      <c r="F666" s="25"/>
      <c r="I666" s="64"/>
    </row>
    <row r="667" spans="1:9">
      <c r="A667" s="28"/>
      <c r="B667" s="26" t="str">
        <f>IF(A667="","",IFERROR(VLOOKUP(A667,Criterios!$A:$G,7,FALSE),"—"))</f>
        <v/>
      </c>
      <c r="C667" s="25" t="str">
        <f>IF(D667="","",IFERROR(VLOOKUP(D667,Catalogo_Documentos!$A:$B,3,FALSE),"—"))</f>
        <v/>
      </c>
      <c r="D667" s="29"/>
      <c r="E667" s="25" t="str">
        <f>IF(D667="","",IFERROR(VLOOKUP(D667,Catalogo_Documentos!$A:$B,2,FALSE),"—"))</f>
        <v/>
      </c>
      <c r="F667" s="25"/>
      <c r="I667" s="64"/>
    </row>
    <row r="668" spans="1:9">
      <c r="A668" s="28"/>
      <c r="B668" s="26" t="str">
        <f>IF(A668="","",IFERROR(VLOOKUP(A668,Criterios!$A:$G,7,FALSE),"—"))</f>
        <v/>
      </c>
      <c r="C668" s="25" t="str">
        <f>IF(D668="","",IFERROR(VLOOKUP(D668,Catalogo_Documentos!$A:$B,3,FALSE),"—"))</f>
        <v/>
      </c>
      <c r="D668" s="29"/>
      <c r="E668" s="25" t="str">
        <f>IF(D668="","",IFERROR(VLOOKUP(D668,Catalogo_Documentos!$A:$B,2,FALSE),"—"))</f>
        <v/>
      </c>
      <c r="F668" s="25"/>
      <c r="I668" s="64"/>
    </row>
    <row r="669" spans="1:9">
      <c r="A669" s="28"/>
      <c r="B669" s="26" t="str">
        <f>IF(A669="","",IFERROR(VLOOKUP(A669,Criterios!$A:$G,7,FALSE),"—"))</f>
        <v/>
      </c>
      <c r="C669" s="25" t="str">
        <f>IF(D669="","",IFERROR(VLOOKUP(D669,Catalogo_Documentos!$A:$B,3,FALSE),"—"))</f>
        <v/>
      </c>
      <c r="D669" s="29"/>
      <c r="E669" s="25" t="str">
        <f>IF(D669="","",IFERROR(VLOOKUP(D669,Catalogo_Documentos!$A:$B,2,FALSE),"—"))</f>
        <v/>
      </c>
      <c r="F669" s="25"/>
      <c r="I669" s="64"/>
    </row>
    <row r="670" spans="1:9">
      <c r="A670" s="28"/>
      <c r="B670" s="26" t="str">
        <f>IF(A670="","",IFERROR(VLOOKUP(A670,Criterios!$A:$G,7,FALSE),"—"))</f>
        <v/>
      </c>
      <c r="C670" s="25" t="str">
        <f>IF(D670="","",IFERROR(VLOOKUP(D670,Catalogo_Documentos!$A:$B,3,FALSE),"—"))</f>
        <v/>
      </c>
      <c r="D670" s="29"/>
      <c r="E670" s="25" t="str">
        <f>IF(D670="","",IFERROR(VLOOKUP(D670,Catalogo_Documentos!$A:$B,2,FALSE),"—"))</f>
        <v/>
      </c>
      <c r="F670" s="25"/>
      <c r="I670" s="64"/>
    </row>
    <row r="671" spans="1:9">
      <c r="A671" s="28"/>
      <c r="B671" s="26" t="str">
        <f>IF(A671="","",IFERROR(VLOOKUP(A671,Criterios!$A:$G,7,FALSE),"—"))</f>
        <v/>
      </c>
      <c r="C671" s="25" t="str">
        <f>IF(D671="","",IFERROR(VLOOKUP(D671,Catalogo_Documentos!$A:$B,3,FALSE),"—"))</f>
        <v/>
      </c>
      <c r="D671" s="29"/>
      <c r="E671" s="25" t="str">
        <f>IF(D671="","",IFERROR(VLOOKUP(D671,Catalogo_Documentos!$A:$B,2,FALSE),"—"))</f>
        <v/>
      </c>
      <c r="F671" s="25"/>
      <c r="I671" s="64"/>
    </row>
    <row r="672" spans="1:9">
      <c r="A672" s="28"/>
      <c r="B672" s="26" t="str">
        <f>IF(A672="","",IFERROR(VLOOKUP(A672,Criterios!$A:$G,7,FALSE),"—"))</f>
        <v/>
      </c>
      <c r="C672" s="25" t="str">
        <f>IF(D672="","",IFERROR(VLOOKUP(D672,Catalogo_Documentos!$A:$B,3,FALSE),"—"))</f>
        <v/>
      </c>
      <c r="D672" s="29"/>
      <c r="E672" s="25" t="str">
        <f>IF(D672="","",IFERROR(VLOOKUP(D672,Catalogo_Documentos!$A:$B,2,FALSE),"—"))</f>
        <v/>
      </c>
      <c r="F672" s="25"/>
      <c r="I672" s="64"/>
    </row>
    <row r="673" spans="1:9">
      <c r="A673" s="28"/>
      <c r="B673" s="26" t="str">
        <f>IF(A673="","",IFERROR(VLOOKUP(A673,Criterios!$A:$G,7,FALSE),"—"))</f>
        <v/>
      </c>
      <c r="C673" s="25" t="str">
        <f>IF(D673="","",IFERROR(VLOOKUP(D673,Catalogo_Documentos!$A:$B,3,FALSE),"—"))</f>
        <v/>
      </c>
      <c r="D673" s="29"/>
      <c r="E673" s="25" t="str">
        <f>IF(D673="","",IFERROR(VLOOKUP(D673,Catalogo_Documentos!$A:$B,2,FALSE),"—"))</f>
        <v/>
      </c>
      <c r="F673" s="25"/>
      <c r="I673" s="64"/>
    </row>
    <row r="674" spans="1:9">
      <c r="A674" s="28"/>
      <c r="B674" s="26" t="str">
        <f>IF(A674="","",IFERROR(VLOOKUP(A674,Criterios!$A:$G,7,FALSE),"—"))</f>
        <v/>
      </c>
      <c r="C674" s="25" t="str">
        <f>IF(D674="","",IFERROR(VLOOKUP(D674,Catalogo_Documentos!$A:$B,3,FALSE),"—"))</f>
        <v/>
      </c>
      <c r="D674" s="29"/>
      <c r="E674" s="25" t="str">
        <f>IF(D674="","",IFERROR(VLOOKUP(D674,Catalogo_Documentos!$A:$B,2,FALSE),"—"))</f>
        <v/>
      </c>
      <c r="F674" s="25"/>
      <c r="I674" s="64"/>
    </row>
    <row r="675" spans="1:9">
      <c r="A675" s="28"/>
      <c r="B675" s="26" t="str">
        <f>IF(A675="","",IFERROR(VLOOKUP(A675,Criterios!$A:$G,7,FALSE),"—"))</f>
        <v/>
      </c>
      <c r="C675" s="25" t="str">
        <f>IF(D675="","",IFERROR(VLOOKUP(D675,Catalogo_Documentos!$A:$B,3,FALSE),"—"))</f>
        <v/>
      </c>
      <c r="D675" s="29"/>
      <c r="E675" s="25" t="str">
        <f>IF(D675="","",IFERROR(VLOOKUP(D675,Catalogo_Documentos!$A:$B,2,FALSE),"—"))</f>
        <v/>
      </c>
      <c r="F675" s="25"/>
      <c r="I675" s="64"/>
    </row>
    <row r="676" spans="1:9">
      <c r="A676" s="28"/>
      <c r="B676" s="26" t="str">
        <f>IF(A676="","",IFERROR(VLOOKUP(A676,Criterios!$A:$G,7,FALSE),"—"))</f>
        <v/>
      </c>
      <c r="C676" s="25" t="str">
        <f>IF(D676="","",IFERROR(VLOOKUP(D676,Catalogo_Documentos!$A:$B,3,FALSE),"—"))</f>
        <v/>
      </c>
      <c r="D676" s="29"/>
      <c r="E676" s="25" t="str">
        <f>IF(D676="","",IFERROR(VLOOKUP(D676,Catalogo_Documentos!$A:$B,2,FALSE),"—"))</f>
        <v/>
      </c>
      <c r="F676" s="25"/>
      <c r="I676" s="64"/>
    </row>
    <row r="677" spans="1:9">
      <c r="A677" s="28"/>
      <c r="B677" s="26" t="str">
        <f>IF(A677="","",IFERROR(VLOOKUP(A677,Criterios!$A:$G,7,FALSE),"—"))</f>
        <v/>
      </c>
      <c r="C677" s="25" t="str">
        <f>IF(D677="","",IFERROR(VLOOKUP(D677,Catalogo_Documentos!$A:$B,3,FALSE),"—"))</f>
        <v/>
      </c>
      <c r="D677" s="29"/>
      <c r="E677" s="25" t="str">
        <f>IF(D677="","",IFERROR(VLOOKUP(D677,Catalogo_Documentos!$A:$B,2,FALSE),"—"))</f>
        <v/>
      </c>
      <c r="F677" s="25"/>
      <c r="I677" s="64"/>
    </row>
    <row r="678" spans="1:9">
      <c r="A678" s="28"/>
      <c r="B678" s="26" t="str">
        <f>IF(A678="","",IFERROR(VLOOKUP(A678,Criterios!$A:$G,7,FALSE),"—"))</f>
        <v/>
      </c>
      <c r="C678" s="25" t="str">
        <f>IF(D678="","",IFERROR(VLOOKUP(D678,Catalogo_Documentos!$A:$B,3,FALSE),"—"))</f>
        <v/>
      </c>
      <c r="D678" s="29"/>
      <c r="E678" s="25" t="str">
        <f>IF(D678="","",IFERROR(VLOOKUP(D678,Catalogo_Documentos!$A:$B,2,FALSE),"—"))</f>
        <v/>
      </c>
      <c r="F678" s="25"/>
      <c r="I678" s="64"/>
    </row>
    <row r="679" spans="1:9">
      <c r="A679" s="28"/>
      <c r="B679" s="26" t="str">
        <f>IF(A679="","",IFERROR(VLOOKUP(A679,Criterios!$A:$G,7,FALSE),"—"))</f>
        <v/>
      </c>
      <c r="C679" s="25" t="str">
        <f>IF(D679="","",IFERROR(VLOOKUP(D679,Catalogo_Documentos!$A:$B,3,FALSE),"—"))</f>
        <v/>
      </c>
      <c r="D679" s="29"/>
      <c r="E679" s="25" t="str">
        <f>IF(D679="","",IFERROR(VLOOKUP(D679,Catalogo_Documentos!$A:$B,2,FALSE),"—"))</f>
        <v/>
      </c>
      <c r="F679" s="25"/>
      <c r="I679" s="64"/>
    </row>
    <row r="680" spans="1:9">
      <c r="A680" s="28"/>
      <c r="B680" s="26" t="str">
        <f>IF(A680="","",IFERROR(VLOOKUP(A680,Criterios!$A:$G,7,FALSE),"—"))</f>
        <v/>
      </c>
      <c r="C680" s="25" t="str">
        <f>IF(D680="","",IFERROR(VLOOKUP(D680,Catalogo_Documentos!$A:$B,3,FALSE),"—"))</f>
        <v/>
      </c>
      <c r="D680" s="29"/>
      <c r="E680" s="25" t="str">
        <f>IF(D680="","",IFERROR(VLOOKUP(D680,Catalogo_Documentos!$A:$B,2,FALSE),"—"))</f>
        <v/>
      </c>
      <c r="F680" s="25"/>
      <c r="I680" s="64"/>
    </row>
    <row r="681" spans="1:9">
      <c r="A681" s="28"/>
      <c r="B681" s="26" t="str">
        <f>IF(A681="","",IFERROR(VLOOKUP(A681,Criterios!$A:$G,7,FALSE),"—"))</f>
        <v/>
      </c>
      <c r="C681" s="25" t="str">
        <f>IF(D681="","",IFERROR(VLOOKUP(D681,Catalogo_Documentos!$A:$B,3,FALSE),"—"))</f>
        <v/>
      </c>
      <c r="D681" s="29"/>
      <c r="E681" s="25" t="str">
        <f>IF(D681="","",IFERROR(VLOOKUP(D681,Catalogo_Documentos!$A:$B,2,FALSE),"—"))</f>
        <v/>
      </c>
      <c r="F681" s="25"/>
      <c r="I681" s="64"/>
    </row>
    <row r="682" spans="1:9">
      <c r="A682" s="28"/>
      <c r="B682" s="26" t="str">
        <f>IF(A682="","",IFERROR(VLOOKUP(A682,Criterios!$A:$G,7,FALSE),"—"))</f>
        <v/>
      </c>
      <c r="C682" s="25" t="str">
        <f>IF(D682="","",IFERROR(VLOOKUP(D682,Catalogo_Documentos!$A:$B,3,FALSE),"—"))</f>
        <v/>
      </c>
      <c r="D682" s="29"/>
      <c r="E682" s="25" t="str">
        <f>IF(D682="","",IFERROR(VLOOKUP(D682,Catalogo_Documentos!$A:$B,2,FALSE),"—"))</f>
        <v/>
      </c>
      <c r="F682" s="25"/>
      <c r="I682" s="64"/>
    </row>
    <row r="683" spans="1:9">
      <c r="A683" s="28"/>
      <c r="B683" s="26" t="str">
        <f>IF(A683="","",IFERROR(VLOOKUP(A683,Criterios!$A:$G,7,FALSE),"—"))</f>
        <v/>
      </c>
      <c r="C683" s="25" t="str">
        <f>IF(D683="","",IFERROR(VLOOKUP(D683,Catalogo_Documentos!$A:$B,3,FALSE),"—"))</f>
        <v/>
      </c>
      <c r="D683" s="29"/>
      <c r="E683" s="25" t="str">
        <f>IF(D683="","",IFERROR(VLOOKUP(D683,Catalogo_Documentos!$A:$B,2,FALSE),"—"))</f>
        <v/>
      </c>
      <c r="F683" s="25"/>
      <c r="I683" s="64"/>
    </row>
    <row r="684" spans="1:9">
      <c r="A684" s="28"/>
      <c r="B684" s="26" t="str">
        <f>IF(A684="","",IFERROR(VLOOKUP(A684,Criterios!$A:$G,7,FALSE),"—"))</f>
        <v/>
      </c>
      <c r="C684" s="25" t="str">
        <f>IF(D684="","",IFERROR(VLOOKUP(D684,Catalogo_Documentos!$A:$B,3,FALSE),"—"))</f>
        <v/>
      </c>
      <c r="D684" s="29"/>
      <c r="E684" s="25" t="str">
        <f>IF(D684="","",IFERROR(VLOOKUP(D684,Catalogo_Documentos!$A:$B,2,FALSE),"—"))</f>
        <v/>
      </c>
      <c r="F684" s="25"/>
      <c r="I684" s="64"/>
    </row>
    <row r="685" spans="1:9">
      <c r="A685" s="28"/>
      <c r="B685" s="26" t="str">
        <f>IF(A685="","",IFERROR(VLOOKUP(A685,Criterios!$A:$G,7,FALSE),"—"))</f>
        <v/>
      </c>
      <c r="C685" s="25" t="str">
        <f>IF(D685="","",IFERROR(VLOOKUP(D685,Catalogo_Documentos!$A:$B,3,FALSE),"—"))</f>
        <v/>
      </c>
      <c r="D685" s="29"/>
      <c r="E685" s="25" t="str">
        <f>IF(D685="","",IFERROR(VLOOKUP(D685,Catalogo_Documentos!$A:$B,2,FALSE),"—"))</f>
        <v/>
      </c>
      <c r="F685" s="25"/>
      <c r="I685" s="64"/>
    </row>
    <row r="686" spans="1:9">
      <c r="A686" s="28"/>
      <c r="B686" s="26" t="str">
        <f>IF(A686="","",IFERROR(VLOOKUP(A686,Criterios!$A:$G,7,FALSE),"—"))</f>
        <v/>
      </c>
      <c r="C686" s="25" t="str">
        <f>IF(D686="","",IFERROR(VLOOKUP(D686,Catalogo_Documentos!$A:$B,3,FALSE),"—"))</f>
        <v/>
      </c>
      <c r="D686" s="29"/>
      <c r="E686" s="25" t="str">
        <f>IF(D686="","",IFERROR(VLOOKUP(D686,Catalogo_Documentos!$A:$B,2,FALSE),"—"))</f>
        <v/>
      </c>
      <c r="F686" s="25"/>
      <c r="I686" s="64"/>
    </row>
    <row r="687" spans="1:9">
      <c r="A687" s="28"/>
      <c r="B687" s="26" t="str">
        <f>IF(A687="","",IFERROR(VLOOKUP(A687,Criterios!$A:$G,7,FALSE),"—"))</f>
        <v/>
      </c>
      <c r="C687" s="25" t="str">
        <f>IF(D687="","",IFERROR(VLOOKUP(D687,Catalogo_Documentos!$A:$B,3,FALSE),"—"))</f>
        <v/>
      </c>
      <c r="D687" s="29"/>
      <c r="E687" s="25" t="str">
        <f>IF(D687="","",IFERROR(VLOOKUP(D687,Catalogo_Documentos!$A:$B,2,FALSE),"—"))</f>
        <v/>
      </c>
      <c r="F687" s="25"/>
      <c r="I687" s="64"/>
    </row>
    <row r="688" spans="1:9">
      <c r="A688" s="28"/>
      <c r="B688" s="26" t="str">
        <f>IF(A688="","",IFERROR(VLOOKUP(A688,Criterios!$A:$G,7,FALSE),"—"))</f>
        <v/>
      </c>
      <c r="C688" s="25" t="str">
        <f>IF(D688="","",IFERROR(VLOOKUP(D688,Catalogo_Documentos!$A:$B,3,FALSE),"—"))</f>
        <v/>
      </c>
      <c r="D688" s="29"/>
      <c r="E688" s="25" t="str">
        <f>IF(D688="","",IFERROR(VLOOKUP(D688,Catalogo_Documentos!$A:$B,2,FALSE),"—"))</f>
        <v/>
      </c>
      <c r="F688" s="25"/>
      <c r="I688" s="64"/>
    </row>
    <row r="689" spans="1:9">
      <c r="A689" s="28"/>
      <c r="B689" s="26" t="str">
        <f>IF(A689="","",IFERROR(VLOOKUP(A689,Criterios!$A:$G,7,FALSE),"—"))</f>
        <v/>
      </c>
      <c r="C689" s="25" t="str">
        <f>IF(D689="","",IFERROR(VLOOKUP(D689,Catalogo_Documentos!$A:$B,3,FALSE),"—"))</f>
        <v/>
      </c>
      <c r="D689" s="29"/>
      <c r="E689" s="25" t="str">
        <f>IF(D689="","",IFERROR(VLOOKUP(D689,Catalogo_Documentos!$A:$B,2,FALSE),"—"))</f>
        <v/>
      </c>
      <c r="F689" s="25"/>
      <c r="I689" s="64"/>
    </row>
    <row r="690" spans="1:9">
      <c r="A690" s="28"/>
      <c r="B690" s="26" t="str">
        <f>IF(A690="","",IFERROR(VLOOKUP(A690,Criterios!$A:$G,7,FALSE),"—"))</f>
        <v/>
      </c>
      <c r="C690" s="25" t="str">
        <f>IF(D690="","",IFERROR(VLOOKUP(D690,Catalogo_Documentos!$A:$B,3,FALSE),"—"))</f>
        <v/>
      </c>
      <c r="D690" s="29"/>
      <c r="E690" s="25" t="str">
        <f>IF(D690="","",IFERROR(VLOOKUP(D690,Catalogo_Documentos!$A:$B,2,FALSE),"—"))</f>
        <v/>
      </c>
      <c r="F690" s="25"/>
      <c r="I690" s="64"/>
    </row>
    <row r="691" spans="1:9">
      <c r="A691" s="28"/>
      <c r="B691" s="26" t="str">
        <f>IF(A691="","",IFERROR(VLOOKUP(A691,Criterios!$A:$G,7,FALSE),"—"))</f>
        <v/>
      </c>
      <c r="C691" s="25" t="str">
        <f>IF(D691="","",IFERROR(VLOOKUP(D691,Catalogo_Documentos!$A:$B,3,FALSE),"—"))</f>
        <v/>
      </c>
      <c r="D691" s="29"/>
      <c r="E691" s="25" t="str">
        <f>IF(D691="","",IFERROR(VLOOKUP(D691,Catalogo_Documentos!$A:$B,2,FALSE),"—"))</f>
        <v/>
      </c>
      <c r="F691" s="25"/>
      <c r="I691" s="64"/>
    </row>
    <row r="692" spans="1:9">
      <c r="A692" s="28"/>
      <c r="B692" s="26" t="str">
        <f>IF(A692="","",IFERROR(VLOOKUP(A692,Criterios!$A:$G,7,FALSE),"—"))</f>
        <v/>
      </c>
      <c r="C692" s="25" t="str">
        <f>IF(D692="","",IFERROR(VLOOKUP(D692,Catalogo_Documentos!$A:$B,3,FALSE),"—"))</f>
        <v/>
      </c>
      <c r="D692" s="29"/>
      <c r="E692" s="25" t="str">
        <f>IF(D692="","",IFERROR(VLOOKUP(D692,Catalogo_Documentos!$A:$B,2,FALSE),"—"))</f>
        <v/>
      </c>
      <c r="F692" s="25"/>
      <c r="I692" s="64"/>
    </row>
    <row r="693" spans="1:9">
      <c r="A693" s="28"/>
      <c r="B693" s="26" t="str">
        <f>IF(A693="","",IFERROR(VLOOKUP(A693,Criterios!$A:$G,7,FALSE),"—"))</f>
        <v/>
      </c>
      <c r="C693" s="25" t="str">
        <f>IF(D693="","",IFERROR(VLOOKUP(D693,Catalogo_Documentos!$A:$B,3,FALSE),"—"))</f>
        <v/>
      </c>
      <c r="D693" s="29"/>
      <c r="E693" s="25" t="str">
        <f>IF(D693="","",IFERROR(VLOOKUP(D693,Catalogo_Documentos!$A:$B,2,FALSE),"—"))</f>
        <v/>
      </c>
      <c r="F693" s="25"/>
      <c r="I693" s="64"/>
    </row>
    <row r="694" spans="1:9">
      <c r="A694" s="28"/>
      <c r="B694" s="26" t="str">
        <f>IF(A694="","",IFERROR(VLOOKUP(A694,Criterios!$A:$G,7,FALSE),"—"))</f>
        <v/>
      </c>
      <c r="C694" s="25" t="str">
        <f>IF(D694="","",IFERROR(VLOOKUP(D694,Catalogo_Documentos!$A:$B,3,FALSE),"—"))</f>
        <v/>
      </c>
      <c r="D694" s="29"/>
      <c r="E694" s="25" t="str">
        <f>IF(D694="","",IFERROR(VLOOKUP(D694,Catalogo_Documentos!$A:$B,2,FALSE),"—"))</f>
        <v/>
      </c>
      <c r="F694" s="25"/>
      <c r="I694" s="64"/>
    </row>
    <row r="695" spans="1:9">
      <c r="A695" s="28"/>
      <c r="B695" s="26" t="str">
        <f>IF(A695="","",IFERROR(VLOOKUP(A695,Criterios!$A:$G,7,FALSE),"—"))</f>
        <v/>
      </c>
      <c r="C695" s="25" t="str">
        <f>IF(D695="","",IFERROR(VLOOKUP(D695,Catalogo_Documentos!$A:$B,3,FALSE),"—"))</f>
        <v/>
      </c>
      <c r="D695" s="29"/>
      <c r="E695" s="25" t="str">
        <f>IF(D695="","",IFERROR(VLOOKUP(D695,Catalogo_Documentos!$A:$B,2,FALSE),"—"))</f>
        <v/>
      </c>
      <c r="F695" s="25"/>
      <c r="I695" s="64"/>
    </row>
    <row r="696" spans="1:9">
      <c r="A696" s="28"/>
      <c r="B696" s="26" t="str">
        <f>IF(A696="","",IFERROR(VLOOKUP(A696,Criterios!$A:$G,7,FALSE),"—"))</f>
        <v/>
      </c>
      <c r="C696" s="25" t="str">
        <f>IF(D696="","",IFERROR(VLOOKUP(D696,Catalogo_Documentos!$A:$B,3,FALSE),"—"))</f>
        <v/>
      </c>
      <c r="D696" s="29"/>
      <c r="E696" s="25" t="str">
        <f>IF(D696="","",IFERROR(VLOOKUP(D696,Catalogo_Documentos!$A:$B,2,FALSE),"—"))</f>
        <v/>
      </c>
      <c r="F696" s="25"/>
      <c r="I696" s="64"/>
    </row>
    <row r="697" spans="1:9">
      <c r="A697" s="28"/>
      <c r="B697" s="26" t="str">
        <f>IF(A697="","",IFERROR(VLOOKUP(A697,Criterios!$A:$G,7,FALSE),"—"))</f>
        <v/>
      </c>
      <c r="C697" s="25" t="str">
        <f>IF(D697="","",IFERROR(VLOOKUP(D697,Catalogo_Documentos!$A:$B,3,FALSE),"—"))</f>
        <v/>
      </c>
      <c r="D697" s="29"/>
      <c r="E697" s="25" t="str">
        <f>IF(D697="","",IFERROR(VLOOKUP(D697,Catalogo_Documentos!$A:$B,2,FALSE),"—"))</f>
        <v/>
      </c>
      <c r="F697" s="25"/>
      <c r="I697" s="64"/>
    </row>
    <row r="698" spans="1:9">
      <c r="A698" s="28"/>
      <c r="B698" s="26" t="str">
        <f>IF(A698="","",IFERROR(VLOOKUP(A698,Criterios!$A:$G,7,FALSE),"—"))</f>
        <v/>
      </c>
      <c r="C698" s="25" t="str">
        <f>IF(D698="","",IFERROR(VLOOKUP(D698,Catalogo_Documentos!$A:$B,3,FALSE),"—"))</f>
        <v/>
      </c>
      <c r="D698" s="29"/>
      <c r="E698" s="25" t="str">
        <f>IF(D698="","",IFERROR(VLOOKUP(D698,Catalogo_Documentos!$A:$B,2,FALSE),"—"))</f>
        <v/>
      </c>
      <c r="F698" s="25"/>
      <c r="I698" s="64"/>
    </row>
    <row r="699" spans="1:9">
      <c r="A699" s="28"/>
      <c r="B699" s="26" t="str">
        <f>IF(A699="","",IFERROR(VLOOKUP(A699,Criterios!$A:$G,7,FALSE),"—"))</f>
        <v/>
      </c>
      <c r="C699" s="25" t="str">
        <f>IF(D699="","",IFERROR(VLOOKUP(D699,Catalogo_Documentos!$A:$B,3,FALSE),"—"))</f>
        <v/>
      </c>
      <c r="D699" s="29"/>
      <c r="E699" s="25" t="str">
        <f>IF(D699="","",IFERROR(VLOOKUP(D699,Catalogo_Documentos!$A:$B,2,FALSE),"—"))</f>
        <v/>
      </c>
      <c r="F699" s="25"/>
      <c r="I699" s="64"/>
    </row>
    <row r="700" spans="1:9">
      <c r="A700" s="28"/>
      <c r="B700" s="26" t="str">
        <f>IF(A700="","",IFERROR(VLOOKUP(A700,Criterios!$A:$G,7,FALSE),"—"))</f>
        <v/>
      </c>
      <c r="C700" s="25" t="str">
        <f>IF(D700="","",IFERROR(VLOOKUP(D700,Catalogo_Documentos!$A:$B,3,FALSE),"—"))</f>
        <v/>
      </c>
      <c r="D700" s="29"/>
      <c r="E700" s="25" t="str">
        <f>IF(D700="","",IFERROR(VLOOKUP(D700,Catalogo_Documentos!$A:$B,2,FALSE),"—"))</f>
        <v/>
      </c>
      <c r="F700" s="25"/>
      <c r="I700" s="64"/>
    </row>
    <row r="701" spans="1:9">
      <c r="A701" s="28"/>
      <c r="B701" s="26" t="str">
        <f>IF(A701="","",IFERROR(VLOOKUP(A701,Criterios!$A:$G,7,FALSE),"—"))</f>
        <v/>
      </c>
      <c r="C701" s="25" t="str">
        <f>IF(D701="","",IFERROR(VLOOKUP(D701,Catalogo_Documentos!$A:$B,3,FALSE),"—"))</f>
        <v/>
      </c>
      <c r="D701" s="29"/>
      <c r="E701" s="25" t="str">
        <f>IF(D701="","",IFERROR(VLOOKUP(D701,Catalogo_Documentos!$A:$B,2,FALSE),"—"))</f>
        <v/>
      </c>
      <c r="F701" s="25"/>
      <c r="I701" s="64"/>
    </row>
    <row r="702" spans="1:9">
      <c r="A702" s="28"/>
      <c r="B702" s="26" t="str">
        <f>IF(A702="","",IFERROR(VLOOKUP(A702,Criterios!$A:$G,7,FALSE),"—"))</f>
        <v/>
      </c>
      <c r="C702" s="25" t="str">
        <f>IF(D702="","",IFERROR(VLOOKUP(D702,Catalogo_Documentos!$A:$B,3,FALSE),"—"))</f>
        <v/>
      </c>
      <c r="D702" s="29"/>
      <c r="E702" s="25" t="str">
        <f>IF(D702="","",IFERROR(VLOOKUP(D702,Catalogo_Documentos!$A:$B,2,FALSE),"—"))</f>
        <v/>
      </c>
      <c r="F702" s="25"/>
      <c r="I702" s="64"/>
    </row>
    <row r="703" spans="1:9">
      <c r="A703" s="28"/>
      <c r="B703" s="26" t="str">
        <f>IF(A703="","",IFERROR(VLOOKUP(A703,Criterios!$A:$G,7,FALSE),"—"))</f>
        <v/>
      </c>
      <c r="C703" s="25" t="str">
        <f>IF(D703="","",IFERROR(VLOOKUP(D703,Catalogo_Documentos!$A:$B,3,FALSE),"—"))</f>
        <v/>
      </c>
      <c r="D703" s="29"/>
      <c r="E703" s="25" t="str">
        <f>IF(D703="","",IFERROR(VLOOKUP(D703,Catalogo_Documentos!$A:$B,2,FALSE),"—"))</f>
        <v/>
      </c>
      <c r="F703" s="25"/>
      <c r="I703" s="64"/>
    </row>
    <row r="704" spans="1:9">
      <c r="A704" s="28"/>
      <c r="B704" s="26" t="str">
        <f>IF(A704="","",IFERROR(VLOOKUP(A704,Criterios!$A:$G,7,FALSE),"—"))</f>
        <v/>
      </c>
      <c r="C704" s="25" t="str">
        <f>IF(D704="","",IFERROR(VLOOKUP(D704,Catalogo_Documentos!$A:$B,3,FALSE),"—"))</f>
        <v/>
      </c>
      <c r="D704" s="29"/>
      <c r="E704" s="25" t="str">
        <f>IF(D704="","",IFERROR(VLOOKUP(D704,Catalogo_Documentos!$A:$B,2,FALSE),"—"))</f>
        <v/>
      </c>
      <c r="F704" s="25"/>
      <c r="I704" s="64"/>
    </row>
    <row r="705" spans="1:9">
      <c r="A705" s="28"/>
      <c r="B705" s="26" t="str">
        <f>IF(A705="","",IFERROR(VLOOKUP(A705,Criterios!$A:$G,7,FALSE),"—"))</f>
        <v/>
      </c>
      <c r="C705" s="25" t="str">
        <f>IF(D705="","",IFERROR(VLOOKUP(D705,Catalogo_Documentos!$A:$B,3,FALSE),"—"))</f>
        <v/>
      </c>
      <c r="D705" s="29"/>
      <c r="E705" s="25" t="str">
        <f>IF(D705="","",IFERROR(VLOOKUP(D705,Catalogo_Documentos!$A:$B,2,FALSE),"—"))</f>
        <v/>
      </c>
      <c r="F705" s="25"/>
      <c r="I705" s="64"/>
    </row>
    <row r="706" spans="1:9">
      <c r="A706" s="28"/>
      <c r="B706" s="26" t="str">
        <f>IF(A706="","",IFERROR(VLOOKUP(A706,Criterios!$A:$G,7,FALSE),"—"))</f>
        <v/>
      </c>
      <c r="C706" s="25" t="str">
        <f>IF(D706="","",IFERROR(VLOOKUP(D706,Catalogo_Documentos!$A:$B,3,FALSE),"—"))</f>
        <v/>
      </c>
      <c r="D706" s="29"/>
      <c r="E706" s="25" t="str">
        <f>IF(D706="","",IFERROR(VLOOKUP(D706,Catalogo_Documentos!$A:$B,2,FALSE),"—"))</f>
        <v/>
      </c>
      <c r="F706" s="25"/>
      <c r="I706" s="64"/>
    </row>
    <row r="707" spans="1:9">
      <c r="A707" s="28"/>
      <c r="B707" s="26" t="str">
        <f>IF(A707="","",IFERROR(VLOOKUP(A707,Criterios!$A:$G,7,FALSE),"—"))</f>
        <v/>
      </c>
      <c r="C707" s="25" t="str">
        <f>IF(D707="","",IFERROR(VLOOKUP(D707,Catalogo_Documentos!$A:$B,3,FALSE),"—"))</f>
        <v/>
      </c>
      <c r="D707" s="29"/>
      <c r="E707" s="25" t="str">
        <f>IF(D707="","",IFERROR(VLOOKUP(D707,Catalogo_Documentos!$A:$B,2,FALSE),"—"))</f>
        <v/>
      </c>
      <c r="F707" s="25"/>
      <c r="I707" s="64"/>
    </row>
    <row r="708" spans="1:9">
      <c r="A708" s="28"/>
      <c r="B708" s="26" t="str">
        <f>IF(A708="","",IFERROR(VLOOKUP(A708,Criterios!$A:$G,7,FALSE),"—"))</f>
        <v/>
      </c>
      <c r="C708" s="25" t="str">
        <f>IF(D708="","",IFERROR(VLOOKUP(D708,Catalogo_Documentos!$A:$B,3,FALSE),"—"))</f>
        <v/>
      </c>
      <c r="D708" s="29"/>
      <c r="E708" s="25" t="str">
        <f>IF(D708="","",IFERROR(VLOOKUP(D708,Catalogo_Documentos!$A:$B,2,FALSE),"—"))</f>
        <v/>
      </c>
      <c r="F708" s="25"/>
      <c r="I708" s="64"/>
    </row>
    <row r="709" spans="1:9">
      <c r="A709" s="28"/>
      <c r="B709" s="26" t="str">
        <f>IF(A709="","",IFERROR(VLOOKUP(A709,Criterios!$A:$G,7,FALSE),"—"))</f>
        <v/>
      </c>
      <c r="C709" s="25" t="str">
        <f>IF(D709="","",IFERROR(VLOOKUP(D709,Catalogo_Documentos!$A:$B,3,FALSE),"—"))</f>
        <v/>
      </c>
      <c r="D709" s="29"/>
      <c r="E709" s="25" t="str">
        <f>IF(D709="","",IFERROR(VLOOKUP(D709,Catalogo_Documentos!$A:$B,2,FALSE),"—"))</f>
        <v/>
      </c>
      <c r="F709" s="25"/>
      <c r="I709" s="64"/>
    </row>
    <row r="710" spans="1:9">
      <c r="A710" s="28"/>
      <c r="B710" s="26" t="str">
        <f>IF(A710="","",IFERROR(VLOOKUP(A710,Criterios!$A:$G,7,FALSE),"—"))</f>
        <v/>
      </c>
      <c r="C710" s="25" t="str">
        <f>IF(D710="","",IFERROR(VLOOKUP(D710,Catalogo_Documentos!$A:$B,3,FALSE),"—"))</f>
        <v/>
      </c>
      <c r="D710" s="29"/>
      <c r="E710" s="25" t="str">
        <f>IF(D710="","",IFERROR(VLOOKUP(D710,Catalogo_Documentos!$A:$B,2,FALSE),"—"))</f>
        <v/>
      </c>
      <c r="F710" s="25"/>
      <c r="I710" s="64"/>
    </row>
    <row r="711" spans="1:9">
      <c r="A711" s="28"/>
      <c r="B711" s="26" t="str">
        <f>IF(A711="","",IFERROR(VLOOKUP(A711,Criterios!$A:$G,7,FALSE),"—"))</f>
        <v/>
      </c>
      <c r="C711" s="25" t="str">
        <f>IF(D711="","",IFERROR(VLOOKUP(D711,Catalogo_Documentos!$A:$B,3,FALSE),"—"))</f>
        <v/>
      </c>
      <c r="D711" s="29"/>
      <c r="E711" s="25" t="str">
        <f>IF(D711="","",IFERROR(VLOOKUP(D711,Catalogo_Documentos!$A:$B,2,FALSE),"—"))</f>
        <v/>
      </c>
      <c r="F711" s="25"/>
      <c r="I711" s="64"/>
    </row>
    <row r="712" spans="1:9">
      <c r="A712" s="28"/>
      <c r="B712" s="26" t="str">
        <f>IF(A712="","",IFERROR(VLOOKUP(A712,Criterios!$A:$G,7,FALSE),"—"))</f>
        <v/>
      </c>
      <c r="C712" s="25" t="str">
        <f>IF(D712="","",IFERROR(VLOOKUP(D712,Catalogo_Documentos!$A:$B,3,FALSE),"—"))</f>
        <v/>
      </c>
      <c r="D712" s="29"/>
      <c r="E712" s="25" t="str">
        <f>IF(D712="","",IFERROR(VLOOKUP(D712,Catalogo_Documentos!$A:$B,2,FALSE),"—"))</f>
        <v/>
      </c>
      <c r="F712" s="25"/>
      <c r="I712" s="64"/>
    </row>
    <row r="713" spans="1:9">
      <c r="A713" s="28"/>
      <c r="B713" s="26" t="str">
        <f>IF(A713="","",IFERROR(VLOOKUP(A713,Criterios!$A:$G,7,FALSE),"—"))</f>
        <v/>
      </c>
      <c r="C713" s="25" t="str">
        <f>IF(D713="","",IFERROR(VLOOKUP(D713,Catalogo_Documentos!$A:$B,3,FALSE),"—"))</f>
        <v/>
      </c>
      <c r="D713" s="29"/>
      <c r="E713" s="25" t="str">
        <f>IF(D713="","",IFERROR(VLOOKUP(D713,Catalogo_Documentos!$A:$B,2,FALSE),"—"))</f>
        <v/>
      </c>
      <c r="F713" s="25"/>
      <c r="I713" s="64"/>
    </row>
    <row r="714" spans="1:9">
      <c r="A714" s="28"/>
      <c r="B714" s="26" t="str">
        <f>IF(A714="","",IFERROR(VLOOKUP(A714,Criterios!$A:$G,7,FALSE),"—"))</f>
        <v/>
      </c>
      <c r="C714" s="25" t="str">
        <f>IF(D714="","",IFERROR(VLOOKUP(D714,Catalogo_Documentos!$A:$B,3,FALSE),"—"))</f>
        <v/>
      </c>
      <c r="D714" s="29"/>
      <c r="E714" s="25" t="str">
        <f>IF(D714="","",IFERROR(VLOOKUP(D714,Catalogo_Documentos!$A:$B,2,FALSE),"—"))</f>
        <v/>
      </c>
      <c r="F714" s="25"/>
      <c r="I714" s="64"/>
    </row>
    <row r="715" spans="1:9">
      <c r="A715" s="28"/>
      <c r="B715" s="26" t="str">
        <f>IF(A715="","",IFERROR(VLOOKUP(A715,Criterios!$A:$G,7,FALSE),"—"))</f>
        <v/>
      </c>
      <c r="C715" s="25" t="str">
        <f>IF(D715="","",IFERROR(VLOOKUP(D715,Catalogo_Documentos!$A:$B,3,FALSE),"—"))</f>
        <v/>
      </c>
      <c r="D715" s="29"/>
      <c r="E715" s="25" t="str">
        <f>IF(D715="","",IFERROR(VLOOKUP(D715,Catalogo_Documentos!$A:$B,2,FALSE),"—"))</f>
        <v/>
      </c>
      <c r="F715" s="25"/>
      <c r="I715" s="64"/>
    </row>
    <row r="716" spans="1:9">
      <c r="A716" s="28"/>
      <c r="B716" s="26" t="str">
        <f>IF(A716="","",IFERROR(VLOOKUP(A716,Criterios!$A:$G,7,FALSE),"—"))</f>
        <v/>
      </c>
      <c r="C716" s="25" t="str">
        <f>IF(D716="","",IFERROR(VLOOKUP(D716,Catalogo_Documentos!$A:$B,3,FALSE),"—"))</f>
        <v/>
      </c>
      <c r="D716" s="29"/>
      <c r="E716" s="25" t="str">
        <f>IF(D716="","",IFERROR(VLOOKUP(D716,Catalogo_Documentos!$A:$B,2,FALSE),"—"))</f>
        <v/>
      </c>
      <c r="F716" s="25"/>
      <c r="I716" s="64"/>
    </row>
    <row r="717" spans="1:9">
      <c r="A717" s="28"/>
      <c r="B717" s="26" t="str">
        <f>IF(A717="","",IFERROR(VLOOKUP(A717,Criterios!$A:$G,7,FALSE),"—"))</f>
        <v/>
      </c>
      <c r="C717" s="25" t="str">
        <f>IF(D717="","",IFERROR(VLOOKUP(D717,Catalogo_Documentos!$A:$B,3,FALSE),"—"))</f>
        <v/>
      </c>
      <c r="D717" s="29"/>
      <c r="E717" s="25" t="str">
        <f>IF(D717="","",IFERROR(VLOOKUP(D717,Catalogo_Documentos!$A:$B,2,FALSE),"—"))</f>
        <v/>
      </c>
      <c r="F717" s="25"/>
      <c r="I717" s="64"/>
    </row>
    <row r="718" spans="1:9">
      <c r="A718" s="28"/>
      <c r="B718" s="26" t="str">
        <f>IF(A718="","",IFERROR(VLOOKUP(A718,Criterios!$A:$G,7,FALSE),"—"))</f>
        <v/>
      </c>
      <c r="C718" s="25" t="str">
        <f>IF(D718="","",IFERROR(VLOOKUP(D718,Catalogo_Documentos!$A:$B,3,FALSE),"—"))</f>
        <v/>
      </c>
      <c r="D718" s="29"/>
      <c r="E718" s="25" t="str">
        <f>IF(D718="","",IFERROR(VLOOKUP(D718,Catalogo_Documentos!$A:$B,2,FALSE),"—"))</f>
        <v/>
      </c>
      <c r="F718" s="25"/>
      <c r="I718" s="64"/>
    </row>
    <row r="719" spans="1:9">
      <c r="A719" s="28"/>
      <c r="B719" s="26" t="str">
        <f>IF(A719="","",IFERROR(VLOOKUP(A719,Criterios!$A:$G,7,FALSE),"—"))</f>
        <v/>
      </c>
      <c r="C719" s="25" t="str">
        <f>IF(D719="","",IFERROR(VLOOKUP(D719,Catalogo_Documentos!$A:$B,3,FALSE),"—"))</f>
        <v/>
      </c>
      <c r="D719" s="29"/>
      <c r="E719" s="25" t="str">
        <f>IF(D719="","",IFERROR(VLOOKUP(D719,Catalogo_Documentos!$A:$B,2,FALSE),"—"))</f>
        <v/>
      </c>
      <c r="F719" s="25"/>
      <c r="I719" s="64"/>
    </row>
    <row r="720" spans="1:9">
      <c r="A720" s="28"/>
      <c r="B720" s="26" t="str">
        <f>IF(A720="","",IFERROR(VLOOKUP(A720,Criterios!$A:$G,7,FALSE),"—"))</f>
        <v/>
      </c>
      <c r="C720" s="25" t="str">
        <f>IF(D720="","",IFERROR(VLOOKUP(D720,Catalogo_Documentos!$A:$B,3,FALSE),"—"))</f>
        <v/>
      </c>
      <c r="D720" s="29"/>
      <c r="E720" s="25" t="str">
        <f>IF(D720="","",IFERROR(VLOOKUP(D720,Catalogo_Documentos!$A:$B,2,FALSE),"—"))</f>
        <v/>
      </c>
      <c r="F720" s="25"/>
      <c r="I720" s="64"/>
    </row>
    <row r="721" spans="1:9">
      <c r="A721" s="28"/>
      <c r="B721" s="26" t="str">
        <f>IF(A721="","",IFERROR(VLOOKUP(A721,Criterios!$A:$G,7,FALSE),"—"))</f>
        <v/>
      </c>
      <c r="C721" s="25" t="str">
        <f>IF(D721="","",IFERROR(VLOOKUP(D721,Catalogo_Documentos!$A:$B,3,FALSE),"—"))</f>
        <v/>
      </c>
      <c r="D721" s="29"/>
      <c r="E721" s="25" t="str">
        <f>IF(D721="","",IFERROR(VLOOKUP(D721,Catalogo_Documentos!$A:$B,2,FALSE),"—"))</f>
        <v/>
      </c>
      <c r="F721" s="25"/>
      <c r="I721" s="64"/>
    </row>
    <row r="722" spans="1:9">
      <c r="A722" s="28"/>
      <c r="B722" s="26" t="str">
        <f>IF(A722="","",IFERROR(VLOOKUP(A722,Criterios!$A:$G,7,FALSE),"—"))</f>
        <v/>
      </c>
      <c r="C722" s="25" t="str">
        <f>IF(D722="","",IFERROR(VLOOKUP(D722,Catalogo_Documentos!$A:$B,3,FALSE),"—"))</f>
        <v/>
      </c>
      <c r="D722" s="29"/>
      <c r="E722" s="25" t="str">
        <f>IF(D722="","",IFERROR(VLOOKUP(D722,Catalogo_Documentos!$A:$B,2,FALSE),"—"))</f>
        <v/>
      </c>
      <c r="F722" s="25"/>
      <c r="I722" s="64"/>
    </row>
    <row r="723" spans="1:9">
      <c r="A723" s="28"/>
      <c r="B723" s="26" t="str">
        <f>IF(A723="","",IFERROR(VLOOKUP(A723,Criterios!$A:$G,7,FALSE),"—"))</f>
        <v/>
      </c>
      <c r="C723" s="25" t="str">
        <f>IF(D723="","",IFERROR(VLOOKUP(D723,Catalogo_Documentos!$A:$B,3,FALSE),"—"))</f>
        <v/>
      </c>
      <c r="D723" s="29"/>
      <c r="E723" s="25" t="str">
        <f>IF(D723="","",IFERROR(VLOOKUP(D723,Catalogo_Documentos!$A:$B,2,FALSE),"—"))</f>
        <v/>
      </c>
      <c r="F723" s="25"/>
      <c r="I723" s="64"/>
    </row>
    <row r="724" spans="1:9">
      <c r="A724" s="28"/>
      <c r="B724" s="26" t="str">
        <f>IF(A724="","",IFERROR(VLOOKUP(A724,Criterios!$A:$G,7,FALSE),"—"))</f>
        <v/>
      </c>
      <c r="C724" s="25" t="str">
        <f>IF(D724="","",IFERROR(VLOOKUP(D724,Catalogo_Documentos!$A:$B,3,FALSE),"—"))</f>
        <v/>
      </c>
      <c r="D724" s="29"/>
      <c r="E724" s="25" t="str">
        <f>IF(D724="","",IFERROR(VLOOKUP(D724,Catalogo_Documentos!$A:$B,2,FALSE),"—"))</f>
        <v/>
      </c>
      <c r="F724" s="25"/>
      <c r="I724" s="64"/>
    </row>
    <row r="725" spans="1:9">
      <c r="A725" s="28"/>
      <c r="B725" s="26" t="str">
        <f>IF(A725="","",IFERROR(VLOOKUP(A725,Criterios!$A:$G,7,FALSE),"—"))</f>
        <v/>
      </c>
      <c r="C725" s="25" t="str">
        <f>IF(D725="","",IFERROR(VLOOKUP(D725,Catalogo_Documentos!$A:$B,3,FALSE),"—"))</f>
        <v/>
      </c>
      <c r="D725" s="29"/>
      <c r="E725" s="25" t="str">
        <f>IF(D725="","",IFERROR(VLOOKUP(D725,Catalogo_Documentos!$A:$B,2,FALSE),"—"))</f>
        <v/>
      </c>
      <c r="F725" s="25"/>
      <c r="I725" s="64"/>
    </row>
    <row r="726" spans="1:9">
      <c r="A726" s="28"/>
      <c r="B726" s="26" t="str">
        <f>IF(A726="","",IFERROR(VLOOKUP(A726,Criterios!$A:$G,7,FALSE),"—"))</f>
        <v/>
      </c>
      <c r="C726" s="25" t="str">
        <f>IF(D726="","",IFERROR(VLOOKUP(D726,Catalogo_Documentos!$A:$B,3,FALSE),"—"))</f>
        <v/>
      </c>
      <c r="D726" s="29"/>
      <c r="E726" s="25" t="str">
        <f>IF(D726="","",IFERROR(VLOOKUP(D726,Catalogo_Documentos!$A:$B,2,FALSE),"—"))</f>
        <v/>
      </c>
      <c r="F726" s="25"/>
      <c r="I726" s="64"/>
    </row>
    <row r="727" spans="1:9">
      <c r="A727" s="28"/>
      <c r="B727" s="26" t="str">
        <f>IF(A727="","",IFERROR(VLOOKUP(A727,Criterios!$A:$G,7,FALSE),"—"))</f>
        <v/>
      </c>
      <c r="C727" s="25" t="str">
        <f>IF(D727="","",IFERROR(VLOOKUP(D727,Catalogo_Documentos!$A:$B,3,FALSE),"—"))</f>
        <v/>
      </c>
      <c r="D727" s="29"/>
      <c r="E727" s="25" t="str">
        <f>IF(D727="","",IFERROR(VLOOKUP(D727,Catalogo_Documentos!$A:$B,2,FALSE),"—"))</f>
        <v/>
      </c>
      <c r="F727" s="25"/>
      <c r="I727" s="64"/>
    </row>
    <row r="728" spans="1:9">
      <c r="A728" s="28"/>
      <c r="B728" s="26" t="str">
        <f>IF(A728="","",IFERROR(VLOOKUP(A728,Criterios!$A:$G,7,FALSE),"—"))</f>
        <v/>
      </c>
      <c r="C728" s="25" t="str">
        <f>IF(D728="","",IFERROR(VLOOKUP(D728,Catalogo_Documentos!$A:$B,3,FALSE),"—"))</f>
        <v/>
      </c>
      <c r="D728" s="29"/>
      <c r="E728" s="25" t="str">
        <f>IF(D728="","",IFERROR(VLOOKUP(D728,Catalogo_Documentos!$A:$B,2,FALSE),"—"))</f>
        <v/>
      </c>
      <c r="F728" s="25"/>
      <c r="I728" s="64"/>
    </row>
    <row r="729" spans="1:9">
      <c r="A729" s="28"/>
      <c r="B729" s="26" t="str">
        <f>IF(A729="","",IFERROR(VLOOKUP(A729,Criterios!$A:$G,7,FALSE),"—"))</f>
        <v/>
      </c>
      <c r="C729" s="25" t="str">
        <f>IF(D729="","",IFERROR(VLOOKUP(D729,Catalogo_Documentos!$A:$B,3,FALSE),"—"))</f>
        <v/>
      </c>
      <c r="D729" s="29"/>
      <c r="E729" s="25" t="str">
        <f>IF(D729="","",IFERROR(VLOOKUP(D729,Catalogo_Documentos!$A:$B,2,FALSE),"—"))</f>
        <v/>
      </c>
      <c r="F729" s="25"/>
      <c r="I729" s="64"/>
    </row>
    <row r="730" spans="1:9">
      <c r="A730" s="28"/>
      <c r="B730" s="26" t="str">
        <f>IF(A730="","",IFERROR(VLOOKUP(A730,Criterios!$A:$G,7,FALSE),"—"))</f>
        <v/>
      </c>
      <c r="C730" s="25" t="str">
        <f>IF(D730="","",IFERROR(VLOOKUP(D730,Catalogo_Documentos!$A:$B,3,FALSE),"—"))</f>
        <v/>
      </c>
      <c r="D730" s="29"/>
      <c r="E730" s="25" t="str">
        <f>IF(D730="","",IFERROR(VLOOKUP(D730,Catalogo_Documentos!$A:$B,2,FALSE),"—"))</f>
        <v/>
      </c>
      <c r="F730" s="25"/>
      <c r="I730" s="64"/>
    </row>
    <row r="731" spans="1:9">
      <c r="A731" s="28"/>
      <c r="B731" s="26" t="str">
        <f>IF(A731="","",IFERROR(VLOOKUP(A731,Criterios!$A:$G,7,FALSE),"—"))</f>
        <v/>
      </c>
      <c r="C731" s="25" t="str">
        <f>IF(D731="","",IFERROR(VLOOKUP(D731,Catalogo_Documentos!$A:$B,3,FALSE),"—"))</f>
        <v/>
      </c>
      <c r="D731" s="29"/>
      <c r="E731" s="25" t="str">
        <f>IF(D731="","",IFERROR(VLOOKUP(D731,Catalogo_Documentos!$A:$B,2,FALSE),"—"))</f>
        <v/>
      </c>
      <c r="F731" s="25"/>
      <c r="I731" s="64"/>
    </row>
    <row r="732" spans="1:9">
      <c r="A732" s="28"/>
      <c r="B732" s="26" t="str">
        <f>IF(A732="","",IFERROR(VLOOKUP(A732,Criterios!$A:$G,7,FALSE),"—"))</f>
        <v/>
      </c>
      <c r="C732" s="25" t="str">
        <f>IF(D732="","",IFERROR(VLOOKUP(D732,Catalogo_Documentos!$A:$B,3,FALSE),"—"))</f>
        <v/>
      </c>
      <c r="D732" s="29"/>
      <c r="E732" s="25" t="str">
        <f>IF(D732="","",IFERROR(VLOOKUP(D732,Catalogo_Documentos!$A:$B,2,FALSE),"—"))</f>
        <v/>
      </c>
      <c r="F732" s="25"/>
      <c r="I732" s="64"/>
    </row>
    <row r="733" spans="1:9">
      <c r="A733" s="28"/>
      <c r="B733" s="26" t="str">
        <f>IF(A733="","",IFERROR(VLOOKUP(A733,Criterios!$A:$G,7,FALSE),"—"))</f>
        <v/>
      </c>
      <c r="C733" s="25" t="str">
        <f>IF(D733="","",IFERROR(VLOOKUP(D733,Catalogo_Documentos!$A:$B,3,FALSE),"—"))</f>
        <v/>
      </c>
      <c r="D733" s="29"/>
      <c r="E733" s="25" t="str">
        <f>IF(D733="","",IFERROR(VLOOKUP(D733,Catalogo_Documentos!$A:$B,2,FALSE),"—"))</f>
        <v/>
      </c>
      <c r="F733" s="25"/>
      <c r="I733" s="64"/>
    </row>
    <row r="734" spans="1:9">
      <c r="A734" s="28"/>
      <c r="B734" s="26" t="str">
        <f>IF(A734="","",IFERROR(VLOOKUP(A734,Criterios!$A:$G,7,FALSE),"—"))</f>
        <v/>
      </c>
      <c r="C734" s="25" t="str">
        <f>IF(D734="","",IFERROR(VLOOKUP(D734,Catalogo_Documentos!$A:$B,3,FALSE),"—"))</f>
        <v/>
      </c>
      <c r="D734" s="29"/>
      <c r="E734" s="25" t="str">
        <f>IF(D734="","",IFERROR(VLOOKUP(D734,Catalogo_Documentos!$A:$B,2,FALSE),"—"))</f>
        <v/>
      </c>
      <c r="F734" s="25"/>
      <c r="I734" s="64"/>
    </row>
    <row r="735" spans="1:9">
      <c r="A735" s="28"/>
      <c r="B735" s="26" t="str">
        <f>IF(A735="","",IFERROR(VLOOKUP(A735,Criterios!$A:$G,7,FALSE),"—"))</f>
        <v/>
      </c>
      <c r="C735" s="25" t="str">
        <f>IF(D735="","",IFERROR(VLOOKUP(D735,Catalogo_Documentos!$A:$B,3,FALSE),"—"))</f>
        <v/>
      </c>
      <c r="D735" s="29"/>
      <c r="E735" s="25" t="str">
        <f>IF(D735="","",IFERROR(VLOOKUP(D735,Catalogo_Documentos!$A:$B,2,FALSE),"—"))</f>
        <v/>
      </c>
      <c r="F735" s="25"/>
      <c r="I735" s="64"/>
    </row>
    <row r="736" spans="1:9">
      <c r="A736" s="28"/>
      <c r="B736" s="26" t="str">
        <f>IF(A736="","",IFERROR(VLOOKUP(A736,Criterios!$A:$G,7,FALSE),"—"))</f>
        <v/>
      </c>
      <c r="C736" s="25" t="str">
        <f>IF(D736="","",IFERROR(VLOOKUP(D736,Catalogo_Documentos!$A:$B,3,FALSE),"—"))</f>
        <v/>
      </c>
      <c r="D736" s="29"/>
      <c r="E736" s="25" t="str">
        <f>IF(D736="","",IFERROR(VLOOKUP(D736,Catalogo_Documentos!$A:$B,2,FALSE),"—"))</f>
        <v/>
      </c>
      <c r="F736" s="25"/>
      <c r="I736" s="64"/>
    </row>
    <row r="737" spans="1:9">
      <c r="A737" s="28"/>
      <c r="B737" s="26" t="str">
        <f>IF(A737="","",IFERROR(VLOOKUP(A737,Criterios!$A:$G,7,FALSE),"—"))</f>
        <v/>
      </c>
      <c r="C737" s="25" t="str">
        <f>IF(D737="","",IFERROR(VLOOKUP(D737,Catalogo_Documentos!$A:$B,3,FALSE),"—"))</f>
        <v/>
      </c>
      <c r="D737" s="29"/>
      <c r="E737" s="25" t="str">
        <f>IF(D737="","",IFERROR(VLOOKUP(D737,Catalogo_Documentos!$A:$B,2,FALSE),"—"))</f>
        <v/>
      </c>
      <c r="F737" s="25"/>
      <c r="I737" s="64"/>
    </row>
    <row r="738" spans="1:9">
      <c r="A738" s="28"/>
      <c r="B738" s="26" t="str">
        <f>IF(A738="","",IFERROR(VLOOKUP(A738,Criterios!$A:$G,7,FALSE),"—"))</f>
        <v/>
      </c>
      <c r="C738" s="25" t="str">
        <f>IF(D738="","",IFERROR(VLOOKUP(D738,Catalogo_Documentos!$A:$B,3,FALSE),"—"))</f>
        <v/>
      </c>
      <c r="D738" s="29"/>
      <c r="E738" s="25" t="str">
        <f>IF(D738="","",IFERROR(VLOOKUP(D738,Catalogo_Documentos!$A:$B,2,FALSE),"—"))</f>
        <v/>
      </c>
      <c r="F738" s="25"/>
      <c r="I738" s="64"/>
    </row>
    <row r="739" spans="1:9">
      <c r="A739" s="28"/>
      <c r="B739" s="26" t="str">
        <f>IF(A739="","",IFERROR(VLOOKUP(A739,Criterios!$A:$G,7,FALSE),"—"))</f>
        <v/>
      </c>
      <c r="C739" s="25" t="str">
        <f>IF(D739="","",IFERROR(VLOOKUP(D739,Catalogo_Documentos!$A:$B,3,FALSE),"—"))</f>
        <v/>
      </c>
      <c r="D739" s="29"/>
      <c r="E739" s="25" t="str">
        <f>IF(D739="","",IFERROR(VLOOKUP(D739,Catalogo_Documentos!$A:$B,2,FALSE),"—"))</f>
        <v/>
      </c>
      <c r="F739" s="25"/>
      <c r="I739" s="64"/>
    </row>
    <row r="740" spans="1:9">
      <c r="A740" s="28"/>
      <c r="B740" s="26" t="str">
        <f>IF(A740="","",IFERROR(VLOOKUP(A740,Criterios!$A:$G,7,FALSE),"—"))</f>
        <v/>
      </c>
      <c r="C740" s="25" t="str">
        <f>IF(D740="","",IFERROR(VLOOKUP(D740,Catalogo_Documentos!$A:$B,3,FALSE),"—"))</f>
        <v/>
      </c>
      <c r="D740" s="29"/>
      <c r="E740" s="25" t="str">
        <f>IF(D740="","",IFERROR(VLOOKUP(D740,Catalogo_Documentos!$A:$B,2,FALSE),"—"))</f>
        <v/>
      </c>
      <c r="F740" s="25"/>
      <c r="I740" s="64"/>
    </row>
    <row r="741" spans="1:9">
      <c r="A741" s="28"/>
      <c r="B741" s="26" t="str">
        <f>IF(A741="","",IFERROR(VLOOKUP(A741,Criterios!$A:$G,7,FALSE),"—"))</f>
        <v/>
      </c>
      <c r="C741" s="25" t="str">
        <f>IF(D741="","",IFERROR(VLOOKUP(D741,Catalogo_Documentos!$A:$B,3,FALSE),"—"))</f>
        <v/>
      </c>
      <c r="D741" s="29"/>
      <c r="E741" s="25" t="str">
        <f>IF(D741="","",IFERROR(VLOOKUP(D741,Catalogo_Documentos!$A:$B,2,FALSE),"—"))</f>
        <v/>
      </c>
      <c r="F741" s="25"/>
      <c r="I741" s="64"/>
    </row>
    <row r="742" spans="1:9">
      <c r="A742" s="28"/>
      <c r="B742" s="26" t="str">
        <f>IF(A742="","",IFERROR(VLOOKUP(A742,Criterios!$A:$G,7,FALSE),"—"))</f>
        <v/>
      </c>
      <c r="C742" s="25" t="str">
        <f>IF(D742="","",IFERROR(VLOOKUP(D742,Catalogo_Documentos!$A:$B,3,FALSE),"—"))</f>
        <v/>
      </c>
      <c r="D742" s="29"/>
      <c r="E742" s="25" t="str">
        <f>IF(D742="","",IFERROR(VLOOKUP(D742,Catalogo_Documentos!$A:$B,2,FALSE),"—"))</f>
        <v/>
      </c>
      <c r="F742" s="25"/>
      <c r="I742" s="64"/>
    </row>
    <row r="743" spans="1:9">
      <c r="A743" s="28"/>
      <c r="B743" s="26" t="str">
        <f>IF(A743="","",IFERROR(VLOOKUP(A743,Criterios!$A:$G,7,FALSE),"—"))</f>
        <v/>
      </c>
      <c r="C743" s="25" t="str">
        <f>IF(D743="","",IFERROR(VLOOKUP(D743,Catalogo_Documentos!$A:$B,3,FALSE),"—"))</f>
        <v/>
      </c>
      <c r="D743" s="29"/>
      <c r="E743" s="25" t="str">
        <f>IF(D743="","",IFERROR(VLOOKUP(D743,Catalogo_Documentos!$A:$B,2,FALSE),"—"))</f>
        <v/>
      </c>
      <c r="F743" s="25"/>
      <c r="I743" s="64"/>
    </row>
    <row r="744" spans="1:9">
      <c r="A744" s="28"/>
      <c r="B744" s="26" t="str">
        <f>IF(A744="","",IFERROR(VLOOKUP(A744,Criterios!$A:$G,7,FALSE),"—"))</f>
        <v/>
      </c>
      <c r="C744" s="25" t="str">
        <f>IF(D744="","",IFERROR(VLOOKUP(D744,Catalogo_Documentos!$A:$B,3,FALSE),"—"))</f>
        <v/>
      </c>
      <c r="D744" s="29"/>
      <c r="E744" s="25" t="str">
        <f>IF(D744="","",IFERROR(VLOOKUP(D744,Catalogo_Documentos!$A:$B,2,FALSE),"—"))</f>
        <v/>
      </c>
      <c r="F744" s="25"/>
      <c r="I744" s="64"/>
    </row>
    <row r="745" spans="1:9">
      <c r="A745" s="28"/>
      <c r="B745" s="26" t="str">
        <f>IF(A745="","",IFERROR(VLOOKUP(A745,Criterios!$A:$G,7,FALSE),"—"))</f>
        <v/>
      </c>
      <c r="C745" s="25" t="str">
        <f>IF(D745="","",IFERROR(VLOOKUP(D745,Catalogo_Documentos!$A:$B,3,FALSE),"—"))</f>
        <v/>
      </c>
      <c r="D745" s="29"/>
      <c r="E745" s="25" t="str">
        <f>IF(D745="","",IFERROR(VLOOKUP(D745,Catalogo_Documentos!$A:$B,2,FALSE),"—"))</f>
        <v/>
      </c>
      <c r="F745" s="25"/>
      <c r="I745" s="64"/>
    </row>
    <row r="746" spans="1:9">
      <c r="A746" s="28"/>
      <c r="B746" s="26" t="str">
        <f>IF(A746="","",IFERROR(VLOOKUP(A746,Criterios!$A:$G,7,FALSE),"—"))</f>
        <v/>
      </c>
      <c r="C746" s="25" t="str">
        <f>IF(D746="","",IFERROR(VLOOKUP(D746,Catalogo_Documentos!$A:$B,3,FALSE),"—"))</f>
        <v/>
      </c>
      <c r="D746" s="29"/>
      <c r="E746" s="25" t="str">
        <f>IF(D746="","",IFERROR(VLOOKUP(D746,Catalogo_Documentos!$A:$B,2,FALSE),"—"))</f>
        <v/>
      </c>
      <c r="F746" s="25"/>
      <c r="I746" s="64"/>
    </row>
    <row r="747" spans="1:9">
      <c r="A747" s="28"/>
      <c r="B747" s="26" t="str">
        <f>IF(A747="","",IFERROR(VLOOKUP(A747,Criterios!$A:$G,7,FALSE),"—"))</f>
        <v/>
      </c>
      <c r="C747" s="25" t="str">
        <f>IF(D747="","",IFERROR(VLOOKUP(D747,Catalogo_Documentos!$A:$B,3,FALSE),"—"))</f>
        <v/>
      </c>
      <c r="D747" s="29"/>
      <c r="E747" s="25" t="str">
        <f>IF(D747="","",IFERROR(VLOOKUP(D747,Catalogo_Documentos!$A:$B,2,FALSE),"—"))</f>
        <v/>
      </c>
      <c r="F747" s="25"/>
      <c r="I747" s="64"/>
    </row>
    <row r="748" spans="1:9">
      <c r="A748" s="28"/>
      <c r="B748" s="26" t="str">
        <f>IF(A748="","",IFERROR(VLOOKUP(A748,Criterios!$A:$G,7,FALSE),"—"))</f>
        <v/>
      </c>
      <c r="C748" s="25" t="str">
        <f>IF(D748="","",IFERROR(VLOOKUP(D748,Catalogo_Documentos!$A:$B,3,FALSE),"—"))</f>
        <v/>
      </c>
      <c r="D748" s="29"/>
      <c r="E748" s="25" t="str">
        <f>IF(D748="","",IFERROR(VLOOKUP(D748,Catalogo_Documentos!$A:$B,2,FALSE),"—"))</f>
        <v/>
      </c>
      <c r="F748" s="25"/>
      <c r="I748" s="64"/>
    </row>
    <row r="749" spans="1:9">
      <c r="A749" s="28"/>
      <c r="B749" s="26" t="str">
        <f>IF(A749="","",IFERROR(VLOOKUP(A749,Criterios!$A:$G,7,FALSE),"—"))</f>
        <v/>
      </c>
      <c r="C749" s="25" t="str">
        <f>IF(D749="","",IFERROR(VLOOKUP(D749,Catalogo_Documentos!$A:$B,3,FALSE),"—"))</f>
        <v/>
      </c>
      <c r="D749" s="29"/>
      <c r="E749" s="25" t="str">
        <f>IF(D749="","",IFERROR(VLOOKUP(D749,Catalogo_Documentos!$A:$B,2,FALSE),"—"))</f>
        <v/>
      </c>
      <c r="F749" s="25"/>
      <c r="I749" s="64"/>
    </row>
    <row r="750" spans="1:9">
      <c r="A750" s="28"/>
      <c r="B750" s="26" t="str">
        <f>IF(A750="","",IFERROR(VLOOKUP(A750,Criterios!$A:$G,7,FALSE),"—"))</f>
        <v/>
      </c>
      <c r="C750" s="25" t="str">
        <f>IF(D750="","",IFERROR(VLOOKUP(D750,Catalogo_Documentos!$A:$B,3,FALSE),"—"))</f>
        <v/>
      </c>
      <c r="D750" s="29"/>
      <c r="E750" s="25" t="str">
        <f>IF(D750="","",IFERROR(VLOOKUP(D750,Catalogo_Documentos!$A:$B,2,FALSE),"—"))</f>
        <v/>
      </c>
      <c r="F750" s="25"/>
      <c r="I750" s="64"/>
    </row>
    <row r="751" spans="1:9">
      <c r="A751" s="28"/>
      <c r="B751" s="26" t="str">
        <f>IF(A751="","",IFERROR(VLOOKUP(A751,Criterios!$A:$G,7,FALSE),"—"))</f>
        <v/>
      </c>
      <c r="C751" s="25" t="str">
        <f>IF(D751="","",IFERROR(VLOOKUP(D751,Catalogo_Documentos!$A:$B,3,FALSE),"—"))</f>
        <v/>
      </c>
      <c r="D751" s="29"/>
      <c r="E751" s="25" t="str">
        <f>IF(D751="","",IFERROR(VLOOKUP(D751,Catalogo_Documentos!$A:$B,2,FALSE),"—"))</f>
        <v/>
      </c>
      <c r="F751" s="25"/>
      <c r="I751" s="64"/>
    </row>
    <row r="752" spans="1:9">
      <c r="A752" s="28"/>
      <c r="B752" s="26" t="str">
        <f>IF(A752="","",IFERROR(VLOOKUP(A752,Criterios!$A:$G,7,FALSE),"—"))</f>
        <v/>
      </c>
      <c r="C752" s="25" t="str">
        <f>IF(D752="","",IFERROR(VLOOKUP(D752,Catalogo_Documentos!$A:$B,3,FALSE),"—"))</f>
        <v/>
      </c>
      <c r="D752" s="29"/>
      <c r="E752" s="25" t="str">
        <f>IF(D752="","",IFERROR(VLOOKUP(D752,Catalogo_Documentos!$A:$B,2,FALSE),"—"))</f>
        <v/>
      </c>
      <c r="F752" s="25"/>
      <c r="I752" s="64"/>
    </row>
    <row r="753" spans="1:9">
      <c r="A753" s="28"/>
      <c r="B753" s="26" t="str">
        <f>IF(A753="","",IFERROR(VLOOKUP(A753,Criterios!$A:$G,7,FALSE),"—"))</f>
        <v/>
      </c>
      <c r="C753" s="25" t="str">
        <f>IF(D753="","",IFERROR(VLOOKUP(D753,Catalogo_Documentos!$A:$B,3,FALSE),"—"))</f>
        <v/>
      </c>
      <c r="D753" s="29"/>
      <c r="E753" s="25" t="str">
        <f>IF(D753="","",IFERROR(VLOOKUP(D753,Catalogo_Documentos!$A:$B,2,FALSE),"—"))</f>
        <v/>
      </c>
      <c r="F753" s="25"/>
      <c r="I753" s="64"/>
    </row>
    <row r="754" spans="1:9">
      <c r="A754" s="28"/>
      <c r="B754" s="26" t="str">
        <f>IF(A754="","",IFERROR(VLOOKUP(A754,Criterios!$A:$G,7,FALSE),"—"))</f>
        <v/>
      </c>
      <c r="C754" s="25" t="str">
        <f>IF(D754="","",IFERROR(VLOOKUP(D754,Catalogo_Documentos!$A:$B,3,FALSE),"—"))</f>
        <v/>
      </c>
      <c r="D754" s="29"/>
      <c r="E754" s="25" t="str">
        <f>IF(D754="","",IFERROR(VLOOKUP(D754,Catalogo_Documentos!$A:$B,2,FALSE),"—"))</f>
        <v/>
      </c>
      <c r="F754" s="25"/>
      <c r="I754" s="64"/>
    </row>
    <row r="755" spans="1:9">
      <c r="A755" s="28"/>
      <c r="B755" s="26" t="str">
        <f>IF(A755="","",IFERROR(VLOOKUP(A755,Criterios!$A:$G,7,FALSE),"—"))</f>
        <v/>
      </c>
      <c r="C755" s="25" t="str">
        <f>IF(D755="","",IFERROR(VLOOKUP(D755,Catalogo_Documentos!$A:$B,3,FALSE),"—"))</f>
        <v/>
      </c>
      <c r="D755" s="29"/>
      <c r="E755" s="25" t="str">
        <f>IF(D755="","",IFERROR(VLOOKUP(D755,Catalogo_Documentos!$A:$B,2,FALSE),"—"))</f>
        <v/>
      </c>
      <c r="F755" s="25"/>
      <c r="I755" s="64"/>
    </row>
    <row r="756" spans="1:9">
      <c r="A756" s="28"/>
      <c r="B756" s="26" t="str">
        <f>IF(A756="","",IFERROR(VLOOKUP(A756,Criterios!$A:$G,7,FALSE),"—"))</f>
        <v/>
      </c>
      <c r="C756" s="25" t="str">
        <f>IF(D756="","",IFERROR(VLOOKUP(D756,Catalogo_Documentos!$A:$B,3,FALSE),"—"))</f>
        <v/>
      </c>
      <c r="D756" s="29"/>
      <c r="E756" s="25" t="str">
        <f>IF(D756="","",IFERROR(VLOOKUP(D756,Catalogo_Documentos!$A:$B,2,FALSE),"—"))</f>
        <v/>
      </c>
      <c r="F756" s="25"/>
      <c r="I756" s="64"/>
    </row>
    <row r="757" spans="1:9">
      <c r="A757" s="28"/>
      <c r="B757" s="26" t="str">
        <f>IF(A757="","",IFERROR(VLOOKUP(A757,Criterios!$A:$G,7,FALSE),"—"))</f>
        <v/>
      </c>
      <c r="C757" s="25" t="str">
        <f>IF(D757="","",IFERROR(VLOOKUP(D757,Catalogo_Documentos!$A:$B,3,FALSE),"—"))</f>
        <v/>
      </c>
      <c r="D757" s="29"/>
      <c r="E757" s="25" t="str">
        <f>IF(D757="","",IFERROR(VLOOKUP(D757,Catalogo_Documentos!$A:$B,2,FALSE),"—"))</f>
        <v/>
      </c>
      <c r="F757" s="25"/>
      <c r="I757" s="64"/>
    </row>
    <row r="758" spans="1:9">
      <c r="A758" s="28"/>
      <c r="B758" s="26" t="str">
        <f>IF(A758="","",IFERROR(VLOOKUP(A758,Criterios!$A:$G,7,FALSE),"—"))</f>
        <v/>
      </c>
      <c r="C758" s="25" t="str">
        <f>IF(D758="","",IFERROR(VLOOKUP(D758,Catalogo_Documentos!$A:$B,3,FALSE),"—"))</f>
        <v/>
      </c>
      <c r="D758" s="29"/>
      <c r="E758" s="25" t="str">
        <f>IF(D758="","",IFERROR(VLOOKUP(D758,Catalogo_Documentos!$A:$B,2,FALSE),"—"))</f>
        <v/>
      </c>
      <c r="F758" s="25"/>
      <c r="I758" s="64"/>
    </row>
    <row r="759" spans="1:9">
      <c r="A759" s="28"/>
      <c r="B759" s="26" t="str">
        <f>IF(A759="","",IFERROR(VLOOKUP(A759,Criterios!$A:$G,7,FALSE),"—"))</f>
        <v/>
      </c>
      <c r="C759" s="25" t="str">
        <f>IF(D759="","",IFERROR(VLOOKUP(D759,Catalogo_Documentos!$A:$B,3,FALSE),"—"))</f>
        <v/>
      </c>
      <c r="D759" s="29"/>
      <c r="E759" s="25" t="str">
        <f>IF(D759="","",IFERROR(VLOOKUP(D759,Catalogo_Documentos!$A:$B,2,FALSE),"—"))</f>
        <v/>
      </c>
      <c r="F759" s="25"/>
      <c r="I759" s="64"/>
    </row>
    <row r="760" spans="1:9">
      <c r="A760" s="28"/>
      <c r="B760" s="26" t="str">
        <f>IF(A760="","",IFERROR(VLOOKUP(A760,Criterios!$A:$G,7,FALSE),"—"))</f>
        <v/>
      </c>
      <c r="C760" s="25" t="str">
        <f>IF(D760="","",IFERROR(VLOOKUP(D760,Catalogo_Documentos!$A:$B,3,FALSE),"—"))</f>
        <v/>
      </c>
      <c r="D760" s="29"/>
      <c r="E760" s="25" t="str">
        <f>IF(D760="","",IFERROR(VLOOKUP(D760,Catalogo_Documentos!$A:$B,2,FALSE),"—"))</f>
        <v/>
      </c>
      <c r="F760" s="25"/>
      <c r="I760" s="64"/>
    </row>
    <row r="761" spans="1:9">
      <c r="A761" s="28"/>
      <c r="B761" s="26" t="str">
        <f>IF(A761="","",IFERROR(VLOOKUP(A761,Criterios!$A:$G,7,FALSE),"—"))</f>
        <v/>
      </c>
      <c r="C761" s="25" t="str">
        <f>IF(D761="","",IFERROR(VLOOKUP(D761,Catalogo_Documentos!$A:$B,3,FALSE),"—"))</f>
        <v/>
      </c>
      <c r="D761" s="29"/>
      <c r="E761" s="25" t="str">
        <f>IF(D761="","",IFERROR(VLOOKUP(D761,Catalogo_Documentos!$A:$B,2,FALSE),"—"))</f>
        <v/>
      </c>
      <c r="F761" s="25"/>
      <c r="I761" s="64"/>
    </row>
    <row r="762" spans="1:9">
      <c r="A762" s="28"/>
      <c r="B762" s="26" t="str">
        <f>IF(A762="","",IFERROR(VLOOKUP(A762,Criterios!$A:$G,7,FALSE),"—"))</f>
        <v/>
      </c>
      <c r="C762" s="25" t="str">
        <f>IF(D762="","",IFERROR(VLOOKUP(D762,Catalogo_Documentos!$A:$B,3,FALSE),"—"))</f>
        <v/>
      </c>
      <c r="D762" s="29"/>
      <c r="E762" s="25" t="str">
        <f>IF(D762="","",IFERROR(VLOOKUP(D762,Catalogo_Documentos!$A:$B,2,FALSE),"—"))</f>
        <v/>
      </c>
      <c r="F762" s="25"/>
      <c r="I762" s="64"/>
    </row>
    <row r="763" spans="1:9">
      <c r="A763" s="28"/>
      <c r="B763" s="26" t="str">
        <f>IF(A763="","",IFERROR(VLOOKUP(A763,Criterios!$A:$G,7,FALSE),"—"))</f>
        <v/>
      </c>
      <c r="C763" s="25" t="str">
        <f>IF(D763="","",IFERROR(VLOOKUP(D763,Catalogo_Documentos!$A:$B,3,FALSE),"—"))</f>
        <v/>
      </c>
      <c r="D763" s="29"/>
      <c r="E763" s="25" t="str">
        <f>IF(D763="","",IFERROR(VLOOKUP(D763,Catalogo_Documentos!$A:$B,2,FALSE),"—"))</f>
        <v/>
      </c>
      <c r="F763" s="25"/>
      <c r="I763" s="64"/>
    </row>
    <row r="764" spans="1:9">
      <c r="A764" s="28"/>
      <c r="B764" s="26" t="str">
        <f>IF(A764="","",IFERROR(VLOOKUP(A764,Criterios!$A:$G,7,FALSE),"—"))</f>
        <v/>
      </c>
      <c r="C764" s="25" t="str">
        <f>IF(D764="","",IFERROR(VLOOKUP(D764,Catalogo_Documentos!$A:$B,3,FALSE),"—"))</f>
        <v/>
      </c>
      <c r="D764" s="29"/>
      <c r="E764" s="25" t="str">
        <f>IF(D764="","",IFERROR(VLOOKUP(D764,Catalogo_Documentos!$A:$B,2,FALSE),"—"))</f>
        <v/>
      </c>
      <c r="F764" s="25"/>
      <c r="I764" s="64"/>
    </row>
    <row r="765" spans="1:9">
      <c r="A765" s="28"/>
      <c r="B765" s="26" t="str">
        <f>IF(A765="","",IFERROR(VLOOKUP(A765,Criterios!$A:$G,7,FALSE),"—"))</f>
        <v/>
      </c>
      <c r="C765" s="25" t="str">
        <f>IF(D765="","",IFERROR(VLOOKUP(D765,Catalogo_Documentos!$A:$B,3,FALSE),"—"))</f>
        <v/>
      </c>
      <c r="D765" s="29"/>
      <c r="E765" s="25" t="str">
        <f>IF(D765="","",IFERROR(VLOOKUP(D765,Catalogo_Documentos!$A:$B,2,FALSE),"—"))</f>
        <v/>
      </c>
      <c r="F765" s="25"/>
      <c r="I765" s="64"/>
    </row>
    <row r="766" spans="1:9">
      <c r="A766" s="28"/>
      <c r="B766" s="26" t="str">
        <f>IF(A766="","",IFERROR(VLOOKUP(A766,Criterios!$A:$G,7,FALSE),"—"))</f>
        <v/>
      </c>
      <c r="C766" s="25" t="str">
        <f>IF(D766="","",IFERROR(VLOOKUP(D766,Catalogo_Documentos!$A:$B,3,FALSE),"—"))</f>
        <v/>
      </c>
      <c r="D766" s="29"/>
      <c r="E766" s="25" t="str">
        <f>IF(D766="","",IFERROR(VLOOKUP(D766,Catalogo_Documentos!$A:$B,2,FALSE),"—"))</f>
        <v/>
      </c>
      <c r="F766" s="25"/>
      <c r="I766" s="64"/>
    </row>
    <row r="767" spans="1:9">
      <c r="A767" s="28"/>
      <c r="B767" s="26" t="str">
        <f>IF(A767="","",IFERROR(VLOOKUP(A767,Criterios!$A:$G,7,FALSE),"—"))</f>
        <v/>
      </c>
      <c r="C767" s="25" t="str">
        <f>IF(D767="","",IFERROR(VLOOKUP(D767,Catalogo_Documentos!$A:$B,3,FALSE),"—"))</f>
        <v/>
      </c>
      <c r="D767" s="29"/>
      <c r="E767" s="25" t="str">
        <f>IF(D767="","",IFERROR(VLOOKUP(D767,Catalogo_Documentos!$A:$B,2,FALSE),"—"))</f>
        <v/>
      </c>
      <c r="F767" s="25"/>
      <c r="I767" s="64"/>
    </row>
    <row r="768" spans="1:9">
      <c r="A768" s="28"/>
      <c r="B768" s="26" t="str">
        <f>IF(A768="","",IFERROR(VLOOKUP(A768,Criterios!$A:$G,7,FALSE),"—"))</f>
        <v/>
      </c>
      <c r="C768" s="25" t="str">
        <f>IF(D768="","",IFERROR(VLOOKUP(D768,Catalogo_Documentos!$A:$B,3,FALSE),"—"))</f>
        <v/>
      </c>
      <c r="D768" s="29"/>
      <c r="E768" s="25" t="str">
        <f>IF(D768="","",IFERROR(VLOOKUP(D768,Catalogo_Documentos!$A:$B,2,FALSE),"—"))</f>
        <v/>
      </c>
      <c r="F768" s="25"/>
      <c r="I768" s="64"/>
    </row>
    <row r="769" spans="1:9">
      <c r="A769" s="28"/>
      <c r="B769" s="26" t="str">
        <f>IF(A769="","",IFERROR(VLOOKUP(A769,Criterios!$A:$G,7,FALSE),"—"))</f>
        <v/>
      </c>
      <c r="C769" s="25" t="str">
        <f>IF(D769="","",IFERROR(VLOOKUP(D769,Catalogo_Documentos!$A:$B,3,FALSE),"—"))</f>
        <v/>
      </c>
      <c r="D769" s="29"/>
      <c r="E769" s="25" t="str">
        <f>IF(D769="","",IFERROR(VLOOKUP(D769,Catalogo_Documentos!$A:$B,2,FALSE),"—"))</f>
        <v/>
      </c>
      <c r="F769" s="25"/>
      <c r="I769" s="64"/>
    </row>
    <row r="770" spans="1:9">
      <c r="A770" s="28"/>
      <c r="B770" s="26" t="str">
        <f>IF(A770="","",IFERROR(VLOOKUP(A770,Criterios!$A:$G,7,FALSE),"—"))</f>
        <v/>
      </c>
      <c r="C770" s="25" t="str">
        <f>IF(D770="","",IFERROR(VLOOKUP(D770,Catalogo_Documentos!$A:$B,3,FALSE),"—"))</f>
        <v/>
      </c>
      <c r="D770" s="29"/>
      <c r="E770" s="25" t="str">
        <f>IF(D770="","",IFERROR(VLOOKUP(D770,Catalogo_Documentos!$A:$B,2,FALSE),"—"))</f>
        <v/>
      </c>
      <c r="F770" s="25"/>
      <c r="I770" s="64"/>
    </row>
    <row r="771" spans="1:9">
      <c r="A771" s="28"/>
      <c r="B771" s="26" t="str">
        <f>IF(A771="","",IFERROR(VLOOKUP(A771,Criterios!$A:$G,7,FALSE),"—"))</f>
        <v/>
      </c>
      <c r="C771" s="25" t="str">
        <f>IF(D771="","",IFERROR(VLOOKUP(D771,Catalogo_Documentos!$A:$B,3,FALSE),"—"))</f>
        <v/>
      </c>
      <c r="D771" s="29"/>
      <c r="E771" s="25" t="str">
        <f>IF(D771="","",IFERROR(VLOOKUP(D771,Catalogo_Documentos!$A:$B,2,FALSE),"—"))</f>
        <v/>
      </c>
      <c r="F771" s="25"/>
      <c r="I771" s="64"/>
    </row>
    <row r="772" spans="1:9">
      <c r="A772" s="28"/>
      <c r="B772" s="26" t="str">
        <f>IF(A772="","",IFERROR(VLOOKUP(A772,Criterios!$A:$G,7,FALSE),"—"))</f>
        <v/>
      </c>
      <c r="C772" s="25" t="str">
        <f>IF(D772="","",IFERROR(VLOOKUP(D772,Catalogo_Documentos!$A:$B,3,FALSE),"—"))</f>
        <v/>
      </c>
      <c r="D772" s="29"/>
      <c r="E772" s="25" t="str">
        <f>IF(D772="","",IFERROR(VLOOKUP(D772,Catalogo_Documentos!$A:$B,2,FALSE),"—"))</f>
        <v/>
      </c>
      <c r="F772" s="25"/>
      <c r="I772" s="64"/>
    </row>
    <row r="773" spans="1:9">
      <c r="A773" s="28"/>
      <c r="B773" s="26" t="str">
        <f>IF(A773="","",IFERROR(VLOOKUP(A773,Criterios!$A:$G,7,FALSE),"—"))</f>
        <v/>
      </c>
      <c r="C773" s="25" t="str">
        <f>IF(D773="","",IFERROR(VLOOKUP(D773,Catalogo_Documentos!$A:$B,3,FALSE),"—"))</f>
        <v/>
      </c>
      <c r="D773" s="29"/>
      <c r="E773" s="25" t="str">
        <f>IF(D773="","",IFERROR(VLOOKUP(D773,Catalogo_Documentos!$A:$B,2,FALSE),"—"))</f>
        <v/>
      </c>
      <c r="F773" s="25"/>
      <c r="I773" s="64"/>
    </row>
    <row r="774" spans="1:9">
      <c r="A774" s="28"/>
      <c r="B774" s="26" t="str">
        <f>IF(A774="","",IFERROR(VLOOKUP(A774,Criterios!$A:$G,7,FALSE),"—"))</f>
        <v/>
      </c>
      <c r="C774" s="25" t="str">
        <f>IF(D774="","",IFERROR(VLOOKUP(D774,Catalogo_Documentos!$A:$B,3,FALSE),"—"))</f>
        <v/>
      </c>
      <c r="D774" s="29"/>
      <c r="E774" s="25" t="str">
        <f>IF(D774="","",IFERROR(VLOOKUP(D774,Catalogo_Documentos!$A:$B,2,FALSE),"—"))</f>
        <v/>
      </c>
      <c r="F774" s="25"/>
      <c r="I774" s="64"/>
    </row>
    <row r="775" spans="1:9">
      <c r="A775" s="28"/>
      <c r="B775" s="26" t="str">
        <f>IF(A775="","",IFERROR(VLOOKUP(A775,Criterios!$A:$G,7,FALSE),"—"))</f>
        <v/>
      </c>
      <c r="C775" s="25" t="str">
        <f>IF(D775="","",IFERROR(VLOOKUP(D775,Catalogo_Documentos!$A:$B,3,FALSE),"—"))</f>
        <v/>
      </c>
      <c r="D775" s="29"/>
      <c r="E775" s="25" t="str">
        <f>IF(D775="","",IFERROR(VLOOKUP(D775,Catalogo_Documentos!$A:$B,2,FALSE),"—"))</f>
        <v/>
      </c>
      <c r="F775" s="25"/>
      <c r="I775" s="64"/>
    </row>
    <row r="776" spans="1:9">
      <c r="A776" s="28"/>
      <c r="B776" s="26" t="str">
        <f>IF(A776="","",IFERROR(VLOOKUP(A776,Criterios!$A:$G,7,FALSE),"—"))</f>
        <v/>
      </c>
      <c r="C776" s="25" t="str">
        <f>IF(D776="","",IFERROR(VLOOKUP(D776,Catalogo_Documentos!$A:$B,3,FALSE),"—"))</f>
        <v/>
      </c>
      <c r="D776" s="29"/>
      <c r="E776" s="25" t="str">
        <f>IF(D776="","",IFERROR(VLOOKUP(D776,Catalogo_Documentos!$A:$B,2,FALSE),"—"))</f>
        <v/>
      </c>
      <c r="F776" s="25"/>
      <c r="I776" s="64"/>
    </row>
    <row r="777" spans="1:9">
      <c r="A777" s="28"/>
      <c r="B777" s="26" t="str">
        <f>IF(A777="","",IFERROR(VLOOKUP(A777,Criterios!$A:$G,7,FALSE),"—"))</f>
        <v/>
      </c>
      <c r="C777" s="25" t="str">
        <f>IF(D777="","",IFERROR(VLOOKUP(D777,Catalogo_Documentos!$A:$B,3,FALSE),"—"))</f>
        <v/>
      </c>
      <c r="D777" s="29"/>
      <c r="E777" s="25" t="str">
        <f>IF(D777="","",IFERROR(VLOOKUP(D777,Catalogo_Documentos!$A:$B,2,FALSE),"—"))</f>
        <v/>
      </c>
      <c r="F777" s="25"/>
      <c r="I777" s="64"/>
    </row>
    <row r="778" spans="1:9">
      <c r="A778" s="28"/>
      <c r="B778" s="26" t="str">
        <f>IF(A778="","",IFERROR(VLOOKUP(A778,Criterios!$A:$G,7,FALSE),"—"))</f>
        <v/>
      </c>
      <c r="C778" s="25" t="str">
        <f>IF(D778="","",IFERROR(VLOOKUP(D778,Catalogo_Documentos!$A:$B,3,FALSE),"—"))</f>
        <v/>
      </c>
      <c r="D778" s="29"/>
      <c r="E778" s="25" t="str">
        <f>IF(D778="","",IFERROR(VLOOKUP(D778,Catalogo_Documentos!$A:$B,2,FALSE),"—"))</f>
        <v/>
      </c>
      <c r="F778" s="25"/>
      <c r="I778" s="64"/>
    </row>
    <row r="779" spans="1:9">
      <c r="A779" s="28"/>
      <c r="B779" s="26" t="str">
        <f>IF(A779="","",IFERROR(VLOOKUP(A779,Criterios!$A:$G,7,FALSE),"—"))</f>
        <v/>
      </c>
      <c r="C779" s="25" t="str">
        <f>IF(D779="","",IFERROR(VLOOKUP(D779,Catalogo_Documentos!$A:$B,3,FALSE),"—"))</f>
        <v/>
      </c>
      <c r="D779" s="29"/>
      <c r="E779" s="25" t="str">
        <f>IF(D779="","",IFERROR(VLOOKUP(D779,Catalogo_Documentos!$A:$B,2,FALSE),"—"))</f>
        <v/>
      </c>
      <c r="F779" s="25"/>
      <c r="I779" s="64"/>
    </row>
    <row r="780" spans="1:9">
      <c r="A780" s="28"/>
      <c r="B780" s="26" t="str">
        <f>IF(A780="","",IFERROR(VLOOKUP(A780,Criterios!$A:$G,7,FALSE),"—"))</f>
        <v/>
      </c>
      <c r="C780" s="25" t="str">
        <f>IF(D780="","",IFERROR(VLOOKUP(D780,Catalogo_Documentos!$A:$B,3,FALSE),"—"))</f>
        <v/>
      </c>
      <c r="D780" s="29"/>
      <c r="E780" s="25" t="str">
        <f>IF(D780="","",IFERROR(VLOOKUP(D780,Catalogo_Documentos!$A:$B,2,FALSE),"—"))</f>
        <v/>
      </c>
      <c r="F780" s="25"/>
      <c r="I780" s="64"/>
    </row>
    <row r="781" spans="1:9">
      <c r="A781" s="28"/>
      <c r="B781" s="26" t="str">
        <f>IF(A781="","",IFERROR(VLOOKUP(A781,Criterios!$A:$G,7,FALSE),"—"))</f>
        <v/>
      </c>
      <c r="C781" s="25" t="str">
        <f>IF(D781="","",IFERROR(VLOOKUP(D781,Catalogo_Documentos!$A:$B,3,FALSE),"—"))</f>
        <v/>
      </c>
      <c r="D781" s="29"/>
      <c r="E781" s="25" t="str">
        <f>IF(D781="","",IFERROR(VLOOKUP(D781,Catalogo_Documentos!$A:$B,2,FALSE),"—"))</f>
        <v/>
      </c>
      <c r="F781" s="25"/>
      <c r="I781" s="64"/>
    </row>
    <row r="782" spans="1:9">
      <c r="A782" s="28"/>
      <c r="B782" s="26" t="str">
        <f>IF(A782="","",IFERROR(VLOOKUP(A782,Criterios!$A:$G,7,FALSE),"—"))</f>
        <v/>
      </c>
      <c r="C782" s="25" t="str">
        <f>IF(D782="","",IFERROR(VLOOKUP(D782,Catalogo_Documentos!$A:$B,3,FALSE),"—"))</f>
        <v/>
      </c>
      <c r="D782" s="29"/>
      <c r="E782" s="25" t="str">
        <f>IF(D782="","",IFERROR(VLOOKUP(D782,Catalogo_Documentos!$A:$B,2,FALSE),"—"))</f>
        <v/>
      </c>
      <c r="F782" s="25"/>
      <c r="I782" s="64"/>
    </row>
    <row r="783" spans="1:9">
      <c r="A783" s="28"/>
      <c r="B783" s="26" t="str">
        <f>IF(A783="","",IFERROR(VLOOKUP(A783,Criterios!$A:$G,7,FALSE),"—"))</f>
        <v/>
      </c>
      <c r="C783" s="25" t="str">
        <f>IF(D783="","",IFERROR(VLOOKUP(D783,Catalogo_Documentos!$A:$B,3,FALSE),"—"))</f>
        <v/>
      </c>
      <c r="D783" s="29"/>
      <c r="E783" s="25" t="str">
        <f>IF(D783="","",IFERROR(VLOOKUP(D783,Catalogo_Documentos!$A:$B,2,FALSE),"—"))</f>
        <v/>
      </c>
      <c r="F783" s="25"/>
      <c r="I783" s="64"/>
    </row>
    <row r="784" spans="1:9">
      <c r="A784" s="28"/>
      <c r="B784" s="26" t="str">
        <f>IF(A784="","",IFERROR(VLOOKUP(A784,Criterios!$A:$G,7,FALSE),"—"))</f>
        <v/>
      </c>
      <c r="C784" s="25" t="str">
        <f>IF(D784="","",IFERROR(VLOOKUP(D784,Catalogo_Documentos!$A:$B,3,FALSE),"—"))</f>
        <v/>
      </c>
      <c r="D784" s="29"/>
      <c r="E784" s="25" t="str">
        <f>IF(D784="","",IFERROR(VLOOKUP(D784,Catalogo_Documentos!$A:$B,2,FALSE),"—"))</f>
        <v/>
      </c>
      <c r="F784" s="25"/>
      <c r="I784" s="64"/>
    </row>
    <row r="785" spans="1:9">
      <c r="A785" s="28"/>
      <c r="B785" s="26" t="str">
        <f>IF(A785="","",IFERROR(VLOOKUP(A785,Criterios!$A:$G,7,FALSE),"—"))</f>
        <v/>
      </c>
      <c r="C785" s="25" t="str">
        <f>IF(D785="","",IFERROR(VLOOKUP(D785,Catalogo_Documentos!$A:$B,3,FALSE),"—"))</f>
        <v/>
      </c>
      <c r="D785" s="29"/>
      <c r="E785" s="25" t="str">
        <f>IF(D785="","",IFERROR(VLOOKUP(D785,Catalogo_Documentos!$A:$B,2,FALSE),"—"))</f>
        <v/>
      </c>
      <c r="F785" s="25"/>
      <c r="I785" s="64"/>
    </row>
    <row r="786" spans="1:9">
      <c r="A786" s="28"/>
      <c r="B786" s="26" t="str">
        <f>IF(A786="","",IFERROR(VLOOKUP(A786,Criterios!$A:$G,7,FALSE),"—"))</f>
        <v/>
      </c>
      <c r="C786" s="25" t="str">
        <f>IF(D786="","",IFERROR(VLOOKUP(D786,Catalogo_Documentos!$A:$B,3,FALSE),"—"))</f>
        <v/>
      </c>
      <c r="D786" s="29"/>
      <c r="E786" s="25" t="str">
        <f>IF(D786="","",IFERROR(VLOOKUP(D786,Catalogo_Documentos!$A:$B,2,FALSE),"—"))</f>
        <v/>
      </c>
      <c r="F786" s="25"/>
      <c r="I786" s="64"/>
    </row>
    <row r="787" spans="1:9">
      <c r="A787" s="28"/>
      <c r="B787" s="26" t="str">
        <f>IF(A787="","",IFERROR(VLOOKUP(A787,Criterios!$A:$G,7,FALSE),"—"))</f>
        <v/>
      </c>
      <c r="C787" s="25" t="str">
        <f>IF(D787="","",IFERROR(VLOOKUP(D787,Catalogo_Documentos!$A:$B,3,FALSE),"—"))</f>
        <v/>
      </c>
      <c r="D787" s="29"/>
      <c r="E787" s="25" t="str">
        <f>IF(D787="","",IFERROR(VLOOKUP(D787,Catalogo_Documentos!$A:$B,2,FALSE),"—"))</f>
        <v/>
      </c>
      <c r="F787" s="25"/>
      <c r="I787" s="64"/>
    </row>
    <row r="788" spans="1:9">
      <c r="A788" s="28"/>
      <c r="B788" s="26" t="str">
        <f>IF(A788="","",IFERROR(VLOOKUP(A788,Criterios!$A:$G,7,FALSE),"—"))</f>
        <v/>
      </c>
      <c r="C788" s="25" t="str">
        <f>IF(D788="","",IFERROR(VLOOKUP(D788,Catalogo_Documentos!$A:$B,3,FALSE),"—"))</f>
        <v/>
      </c>
      <c r="D788" s="29"/>
      <c r="E788" s="25" t="str">
        <f>IF(D788="","",IFERROR(VLOOKUP(D788,Catalogo_Documentos!$A:$B,2,FALSE),"—"))</f>
        <v/>
      </c>
      <c r="F788" s="25"/>
      <c r="I788" s="64"/>
    </row>
    <row r="789" spans="1:9">
      <c r="A789" s="28"/>
      <c r="B789" s="26" t="str">
        <f>IF(A789="","",IFERROR(VLOOKUP(A789,Criterios!$A:$G,7,FALSE),"—"))</f>
        <v/>
      </c>
      <c r="C789" s="25" t="str">
        <f>IF(D789="","",IFERROR(VLOOKUP(D789,Catalogo_Documentos!$A:$B,3,FALSE),"—"))</f>
        <v/>
      </c>
      <c r="D789" s="29"/>
      <c r="E789" s="25" t="str">
        <f>IF(D789="","",IFERROR(VLOOKUP(D789,Catalogo_Documentos!$A:$B,2,FALSE),"—"))</f>
        <v/>
      </c>
      <c r="F789" s="25"/>
      <c r="I789" s="64"/>
    </row>
    <row r="790" spans="1:9">
      <c r="A790" s="28"/>
      <c r="B790" s="26" t="str">
        <f>IF(A790="","",IFERROR(VLOOKUP(A790,Criterios!$A:$G,7,FALSE),"—"))</f>
        <v/>
      </c>
      <c r="C790" s="25" t="str">
        <f>IF(D790="","",IFERROR(VLOOKUP(D790,Catalogo_Documentos!$A:$B,3,FALSE),"—"))</f>
        <v/>
      </c>
      <c r="D790" s="29"/>
      <c r="E790" s="25" t="str">
        <f>IF(D790="","",IFERROR(VLOOKUP(D790,Catalogo_Documentos!$A:$B,2,FALSE),"—"))</f>
        <v/>
      </c>
      <c r="F790" s="25"/>
      <c r="I790" s="64"/>
    </row>
    <row r="791" spans="1:9">
      <c r="A791" s="28"/>
      <c r="B791" s="26" t="str">
        <f>IF(A791="","",IFERROR(VLOOKUP(A791,Criterios!$A:$G,7,FALSE),"—"))</f>
        <v/>
      </c>
      <c r="C791" s="25" t="str">
        <f>IF(D791="","",IFERROR(VLOOKUP(D791,Catalogo_Documentos!$A:$B,3,FALSE),"—"))</f>
        <v/>
      </c>
      <c r="D791" s="29"/>
      <c r="E791" s="25" t="str">
        <f>IF(D791="","",IFERROR(VLOOKUP(D791,Catalogo_Documentos!$A:$B,2,FALSE),"—"))</f>
        <v/>
      </c>
      <c r="F791" s="25"/>
      <c r="I791" s="64"/>
    </row>
    <row r="792" spans="1:9">
      <c r="A792" s="28"/>
      <c r="B792" s="26" t="str">
        <f>IF(A792="","",IFERROR(VLOOKUP(A792,Criterios!$A:$G,7,FALSE),"—"))</f>
        <v/>
      </c>
      <c r="C792" s="25" t="str">
        <f>IF(D792="","",IFERROR(VLOOKUP(D792,Catalogo_Documentos!$A:$B,3,FALSE),"—"))</f>
        <v/>
      </c>
      <c r="D792" s="29"/>
      <c r="E792" s="25" t="str">
        <f>IF(D792="","",IFERROR(VLOOKUP(D792,Catalogo_Documentos!$A:$B,2,FALSE),"—"))</f>
        <v/>
      </c>
      <c r="F792" s="25"/>
      <c r="I792" s="64"/>
    </row>
    <row r="793" spans="1:9">
      <c r="A793" s="28"/>
      <c r="B793" s="26" t="str">
        <f>IF(A793="","",IFERROR(VLOOKUP(A793,Criterios!$A:$G,7,FALSE),"—"))</f>
        <v/>
      </c>
      <c r="C793" s="25" t="str">
        <f>IF(D793="","",IFERROR(VLOOKUP(D793,Catalogo_Documentos!$A:$B,3,FALSE),"—"))</f>
        <v/>
      </c>
      <c r="D793" s="29"/>
      <c r="E793" s="25" t="str">
        <f>IF(D793="","",IFERROR(VLOOKUP(D793,Catalogo_Documentos!$A:$B,2,FALSE),"—"))</f>
        <v/>
      </c>
      <c r="F793" s="25"/>
      <c r="I793" s="64"/>
    </row>
    <row r="794" spans="1:9">
      <c r="A794" s="28"/>
      <c r="B794" s="26" t="str">
        <f>IF(A794="","",IFERROR(VLOOKUP(A794,Criterios!$A:$G,7,FALSE),"—"))</f>
        <v/>
      </c>
      <c r="C794" s="25" t="str">
        <f>IF(D794="","",IFERROR(VLOOKUP(D794,Catalogo_Documentos!$A:$B,3,FALSE),"—"))</f>
        <v/>
      </c>
      <c r="D794" s="29"/>
      <c r="E794" s="25" t="str">
        <f>IF(D794="","",IFERROR(VLOOKUP(D794,Catalogo_Documentos!$A:$B,2,FALSE),"—"))</f>
        <v/>
      </c>
      <c r="F794" s="25"/>
      <c r="I794" s="64"/>
    </row>
    <row r="795" spans="1:9">
      <c r="A795" s="28"/>
      <c r="B795" s="26" t="str">
        <f>IF(A795="","",IFERROR(VLOOKUP(A795,Criterios!$A:$G,7,FALSE),"—"))</f>
        <v/>
      </c>
      <c r="C795" s="25" t="str">
        <f>IF(D795="","",IFERROR(VLOOKUP(D795,Catalogo_Documentos!$A:$B,3,FALSE),"—"))</f>
        <v/>
      </c>
      <c r="D795" s="29"/>
      <c r="E795" s="25" t="str">
        <f>IF(D795="","",IFERROR(VLOOKUP(D795,Catalogo_Documentos!$A:$B,2,FALSE),"—"))</f>
        <v/>
      </c>
      <c r="F795" s="25"/>
      <c r="I795" s="64"/>
    </row>
    <row r="796" spans="1:9">
      <c r="A796" s="28"/>
      <c r="B796" s="26" t="str">
        <f>IF(A796="","",IFERROR(VLOOKUP(A796,Criterios!$A:$G,7,FALSE),"—"))</f>
        <v/>
      </c>
      <c r="C796" s="25" t="str">
        <f>IF(D796="","",IFERROR(VLOOKUP(D796,Catalogo_Documentos!$A:$B,3,FALSE),"—"))</f>
        <v/>
      </c>
      <c r="D796" s="29"/>
      <c r="E796" s="25" t="str">
        <f>IF(D796="","",IFERROR(VLOOKUP(D796,Catalogo_Documentos!$A:$B,2,FALSE),"—"))</f>
        <v/>
      </c>
      <c r="F796" s="25"/>
      <c r="I796" s="64"/>
    </row>
    <row r="797" spans="1:9">
      <c r="A797" s="28"/>
      <c r="B797" s="26" t="str">
        <f>IF(A797="","",IFERROR(VLOOKUP(A797,Criterios!$A:$G,7,FALSE),"—"))</f>
        <v/>
      </c>
      <c r="C797" s="25" t="str">
        <f>IF(D797="","",IFERROR(VLOOKUP(D797,Catalogo_Documentos!$A:$B,3,FALSE),"—"))</f>
        <v/>
      </c>
      <c r="D797" s="29"/>
      <c r="E797" s="25" t="str">
        <f>IF(D797="","",IFERROR(VLOOKUP(D797,Catalogo_Documentos!$A:$B,2,FALSE),"—"))</f>
        <v/>
      </c>
      <c r="F797" s="25"/>
      <c r="I797" s="64"/>
    </row>
    <row r="798" spans="1:9">
      <c r="A798" s="28"/>
      <c r="B798" s="26" t="str">
        <f>IF(A798="","",IFERROR(VLOOKUP(A798,Criterios!$A:$G,7,FALSE),"—"))</f>
        <v/>
      </c>
      <c r="C798" s="25" t="str">
        <f>IF(D798="","",IFERROR(VLOOKUP(D798,Catalogo_Documentos!$A:$B,3,FALSE),"—"))</f>
        <v/>
      </c>
      <c r="D798" s="29"/>
      <c r="E798" s="25" t="str">
        <f>IF(D798="","",IFERROR(VLOOKUP(D798,Catalogo_Documentos!$A:$B,2,FALSE),"—"))</f>
        <v/>
      </c>
      <c r="F798" s="25"/>
      <c r="I798" s="64"/>
    </row>
    <row r="799" spans="1:9">
      <c r="A799" s="28"/>
      <c r="B799" s="26" t="str">
        <f>IF(A799="","",IFERROR(VLOOKUP(A799,Criterios!$A:$G,7,FALSE),"—"))</f>
        <v/>
      </c>
      <c r="C799" s="25" t="str">
        <f>IF(D799="","",IFERROR(VLOOKUP(D799,Catalogo_Documentos!$A:$B,3,FALSE),"—"))</f>
        <v/>
      </c>
      <c r="D799" s="29"/>
      <c r="E799" s="25" t="str">
        <f>IF(D799="","",IFERROR(VLOOKUP(D799,Catalogo_Documentos!$A:$B,2,FALSE),"—"))</f>
        <v/>
      </c>
      <c r="F799" s="25"/>
      <c r="I799" s="64"/>
    </row>
    <row r="800" spans="1:9">
      <c r="A800" s="28"/>
      <c r="B800" s="26" t="str">
        <f>IF(A800="","",IFERROR(VLOOKUP(A800,Criterios!$A:$G,7,FALSE),"—"))</f>
        <v/>
      </c>
      <c r="C800" s="25" t="str">
        <f>IF(D800="","",IFERROR(VLOOKUP(D800,Catalogo_Documentos!$A:$B,3,FALSE),"—"))</f>
        <v/>
      </c>
      <c r="D800" s="29"/>
      <c r="E800" s="25" t="str">
        <f>IF(D800="","",IFERROR(VLOOKUP(D800,Catalogo_Documentos!$A:$B,2,FALSE),"—"))</f>
        <v/>
      </c>
      <c r="F800" s="25"/>
      <c r="I800" s="64"/>
    </row>
    <row r="801" spans="1:9">
      <c r="A801" s="28"/>
      <c r="B801" s="26" t="str">
        <f>IF(A801="","",IFERROR(VLOOKUP(A801,Criterios!$A:$G,7,FALSE),"—"))</f>
        <v/>
      </c>
      <c r="C801" s="25" t="str">
        <f>IF(D801="","",IFERROR(VLOOKUP(D801,Catalogo_Documentos!$A:$B,3,FALSE),"—"))</f>
        <v/>
      </c>
      <c r="D801" s="29"/>
      <c r="E801" s="25" t="str">
        <f>IF(D801="","",IFERROR(VLOOKUP(D801,Catalogo_Documentos!$A:$B,2,FALSE),"—"))</f>
        <v/>
      </c>
      <c r="F801" s="25"/>
      <c r="I801" s="64"/>
    </row>
    <row r="802" spans="1:9">
      <c r="A802" s="28"/>
      <c r="B802" s="26" t="str">
        <f>IF(A802="","",IFERROR(VLOOKUP(A802,Criterios!$A:$G,7,FALSE),"—"))</f>
        <v/>
      </c>
      <c r="C802" s="25" t="str">
        <f>IF(D802="","",IFERROR(VLOOKUP(D802,Catalogo_Documentos!$A:$B,3,FALSE),"—"))</f>
        <v/>
      </c>
      <c r="D802" s="29"/>
      <c r="E802" s="25" t="str">
        <f>IF(D802="","",IFERROR(VLOOKUP(D802,Catalogo_Documentos!$A:$B,2,FALSE),"—"))</f>
        <v/>
      </c>
      <c r="F802" s="25"/>
      <c r="I802" s="64"/>
    </row>
    <row r="803" spans="1:9">
      <c r="A803" s="28"/>
      <c r="B803" s="26" t="str">
        <f>IF(A803="","",IFERROR(VLOOKUP(A803,Criterios!$A:$G,7,FALSE),"—"))</f>
        <v/>
      </c>
      <c r="C803" s="25" t="str">
        <f>IF(D803="","",IFERROR(VLOOKUP(D803,Catalogo_Documentos!$A:$B,3,FALSE),"—"))</f>
        <v/>
      </c>
      <c r="D803" s="29"/>
      <c r="E803" s="25" t="str">
        <f>IF(D803="","",IFERROR(VLOOKUP(D803,Catalogo_Documentos!$A:$B,2,FALSE),"—"))</f>
        <v/>
      </c>
      <c r="F803" s="25"/>
      <c r="I803" s="64"/>
    </row>
    <row r="804" spans="1:9">
      <c r="A804" s="28"/>
      <c r="B804" s="26" t="str">
        <f>IF(A804="","",IFERROR(VLOOKUP(A804,Criterios!$A:$G,7,FALSE),"—"))</f>
        <v/>
      </c>
      <c r="C804" s="25" t="str">
        <f>IF(D804="","",IFERROR(VLOOKUP(D804,Catalogo_Documentos!$A:$B,3,FALSE),"—"))</f>
        <v/>
      </c>
      <c r="D804" s="29"/>
      <c r="E804" s="25" t="str">
        <f>IF(D804="","",IFERROR(VLOOKUP(D804,Catalogo_Documentos!$A:$B,2,FALSE),"—"))</f>
        <v/>
      </c>
      <c r="F804" s="25"/>
      <c r="I804" s="64"/>
    </row>
    <row r="805" spans="1:9">
      <c r="A805" s="28"/>
      <c r="B805" s="26" t="str">
        <f>IF(A805="","",IFERROR(VLOOKUP(A805,Criterios!$A:$G,7,FALSE),"—"))</f>
        <v/>
      </c>
      <c r="C805" s="25" t="str">
        <f>IF(D805="","",IFERROR(VLOOKUP(D805,Catalogo_Documentos!$A:$B,3,FALSE),"—"))</f>
        <v/>
      </c>
      <c r="D805" s="29"/>
      <c r="E805" s="25" t="str">
        <f>IF(D805="","",IFERROR(VLOOKUP(D805,Catalogo_Documentos!$A:$B,2,FALSE),"—"))</f>
        <v/>
      </c>
      <c r="F805" s="25"/>
      <c r="I805" s="64"/>
    </row>
    <row r="806" spans="1:9">
      <c r="A806" s="28"/>
      <c r="B806" s="26" t="str">
        <f>IF(A806="","",IFERROR(VLOOKUP(A806,Criterios!$A:$G,7,FALSE),"—"))</f>
        <v/>
      </c>
      <c r="C806" s="25" t="str">
        <f>IF(D806="","",IFERROR(VLOOKUP(D806,Catalogo_Documentos!$A:$B,3,FALSE),"—"))</f>
        <v/>
      </c>
      <c r="D806" s="29"/>
      <c r="E806" s="25" t="str">
        <f>IF(D806="","",IFERROR(VLOOKUP(D806,Catalogo_Documentos!$A:$B,2,FALSE),"—"))</f>
        <v/>
      </c>
      <c r="F806" s="25"/>
      <c r="I806" s="64"/>
    </row>
    <row r="807" spans="1:9">
      <c r="A807" s="28"/>
      <c r="B807" s="26" t="str">
        <f>IF(A807="","",IFERROR(VLOOKUP(A807,Criterios!$A:$G,7,FALSE),"—"))</f>
        <v/>
      </c>
      <c r="C807" s="25" t="str">
        <f>IF(D807="","",IFERROR(VLOOKUP(D807,Catalogo_Documentos!$A:$B,3,FALSE),"—"))</f>
        <v/>
      </c>
      <c r="D807" s="29"/>
      <c r="E807" s="25" t="str">
        <f>IF(D807="","",IFERROR(VLOOKUP(D807,Catalogo_Documentos!$A:$B,2,FALSE),"—"))</f>
        <v/>
      </c>
      <c r="F807" s="25"/>
      <c r="I807" s="64"/>
    </row>
    <row r="808" spans="1:9">
      <c r="A808" s="28"/>
      <c r="B808" s="26" t="str">
        <f>IF(A808="","",IFERROR(VLOOKUP(A808,Criterios!$A:$G,7,FALSE),"—"))</f>
        <v/>
      </c>
      <c r="C808" s="25" t="str">
        <f>IF(D808="","",IFERROR(VLOOKUP(D808,Catalogo_Documentos!$A:$B,3,FALSE),"—"))</f>
        <v/>
      </c>
      <c r="D808" s="29"/>
      <c r="E808" s="25" t="str">
        <f>IF(D808="","",IFERROR(VLOOKUP(D808,Catalogo_Documentos!$A:$B,2,FALSE),"—"))</f>
        <v/>
      </c>
      <c r="F808" s="25"/>
      <c r="I808" s="64"/>
    </row>
    <row r="809" spans="1:9">
      <c r="A809" s="28"/>
      <c r="B809" s="26" t="str">
        <f>IF(A809="","",IFERROR(VLOOKUP(A809,Criterios!$A:$G,7,FALSE),"—"))</f>
        <v/>
      </c>
      <c r="C809" s="25" t="str">
        <f>IF(D809="","",IFERROR(VLOOKUP(D809,Catalogo_Documentos!$A:$B,3,FALSE),"—"))</f>
        <v/>
      </c>
      <c r="D809" s="29"/>
      <c r="E809" s="25" t="str">
        <f>IF(D809="","",IFERROR(VLOOKUP(D809,Catalogo_Documentos!$A:$B,2,FALSE),"—"))</f>
        <v/>
      </c>
      <c r="F809" s="25"/>
      <c r="I809" s="64"/>
    </row>
    <row r="810" spans="1:9">
      <c r="A810" s="28"/>
      <c r="B810" s="26" t="str">
        <f>IF(A810="","",IFERROR(VLOOKUP(A810,Criterios!$A:$G,7,FALSE),"—"))</f>
        <v/>
      </c>
      <c r="C810" s="25" t="str">
        <f>IF(D810="","",IFERROR(VLOOKUP(D810,Catalogo_Documentos!$A:$B,3,FALSE),"—"))</f>
        <v/>
      </c>
      <c r="D810" s="29"/>
      <c r="E810" s="25" t="str">
        <f>IF(D810="","",IFERROR(VLOOKUP(D810,Catalogo_Documentos!$A:$B,2,FALSE),"—"))</f>
        <v/>
      </c>
      <c r="F810" s="25"/>
      <c r="I810" s="64"/>
    </row>
    <row r="811" spans="1:9">
      <c r="A811" s="28"/>
      <c r="B811" s="26" t="str">
        <f>IF(A811="","",IFERROR(VLOOKUP(A811,Criterios!$A:$G,7,FALSE),"—"))</f>
        <v/>
      </c>
      <c r="C811" s="25" t="str">
        <f>IF(D811="","",IFERROR(VLOOKUP(D811,Catalogo_Documentos!$A:$B,3,FALSE),"—"))</f>
        <v/>
      </c>
      <c r="D811" s="29"/>
      <c r="E811" s="25" t="str">
        <f>IF(D811="","",IFERROR(VLOOKUP(D811,Catalogo_Documentos!$A:$B,2,FALSE),"—"))</f>
        <v/>
      </c>
      <c r="F811" s="25"/>
      <c r="I811" s="64"/>
    </row>
    <row r="812" spans="1:9">
      <c r="A812" s="28"/>
      <c r="B812" s="26" t="str">
        <f>IF(A812="","",IFERROR(VLOOKUP(A812,Criterios!$A:$G,7,FALSE),"—"))</f>
        <v/>
      </c>
      <c r="C812" s="25" t="str">
        <f>IF(D812="","",IFERROR(VLOOKUP(D812,Catalogo_Documentos!$A:$B,3,FALSE),"—"))</f>
        <v/>
      </c>
      <c r="D812" s="29"/>
      <c r="E812" s="25" t="str">
        <f>IF(D812="","",IFERROR(VLOOKUP(D812,Catalogo_Documentos!$A:$B,2,FALSE),"—"))</f>
        <v/>
      </c>
      <c r="F812" s="25"/>
      <c r="I812" s="64"/>
    </row>
    <row r="813" spans="1:9">
      <c r="A813" s="28"/>
      <c r="B813" s="26" t="str">
        <f>IF(A813="","",IFERROR(VLOOKUP(A813,Criterios!$A:$G,7,FALSE),"—"))</f>
        <v/>
      </c>
      <c r="C813" s="25" t="str">
        <f>IF(D813="","",IFERROR(VLOOKUP(D813,Catalogo_Documentos!$A:$B,3,FALSE),"—"))</f>
        <v/>
      </c>
      <c r="D813" s="29"/>
      <c r="E813" s="25" t="str">
        <f>IF(D813="","",IFERROR(VLOOKUP(D813,Catalogo_Documentos!$A:$B,2,FALSE),"—"))</f>
        <v/>
      </c>
      <c r="F813" s="25"/>
      <c r="I813" s="64"/>
    </row>
    <row r="814" spans="1:9">
      <c r="A814" s="28"/>
      <c r="B814" s="26" t="str">
        <f>IF(A814="","",IFERROR(VLOOKUP(A814,Criterios!$A:$G,7,FALSE),"—"))</f>
        <v/>
      </c>
      <c r="C814" s="25" t="str">
        <f>IF(D814="","",IFERROR(VLOOKUP(D814,Catalogo_Documentos!$A:$B,3,FALSE),"—"))</f>
        <v/>
      </c>
      <c r="D814" s="29"/>
      <c r="E814" s="25" t="str">
        <f>IF(D814="","",IFERROR(VLOOKUP(D814,Catalogo_Documentos!$A:$B,2,FALSE),"—"))</f>
        <v/>
      </c>
      <c r="F814" s="25"/>
      <c r="I814" s="64"/>
    </row>
    <row r="815" spans="1:9">
      <c r="A815" s="28"/>
      <c r="B815" s="26" t="str">
        <f>IF(A815="","",IFERROR(VLOOKUP(A815,Criterios!$A:$G,7,FALSE),"—"))</f>
        <v/>
      </c>
      <c r="C815" s="25" t="str">
        <f>IF(D815="","",IFERROR(VLOOKUP(D815,Catalogo_Documentos!$A:$B,3,FALSE),"—"))</f>
        <v/>
      </c>
      <c r="D815" s="29"/>
      <c r="E815" s="25" t="str">
        <f>IF(D815="","",IFERROR(VLOOKUP(D815,Catalogo_Documentos!$A:$B,2,FALSE),"—"))</f>
        <v/>
      </c>
      <c r="F815" s="25"/>
      <c r="I815" s="64"/>
    </row>
    <row r="816" spans="1:9">
      <c r="A816" s="28"/>
      <c r="B816" s="26" t="str">
        <f>IF(A816="","",IFERROR(VLOOKUP(A816,Criterios!$A:$G,7,FALSE),"—"))</f>
        <v/>
      </c>
      <c r="C816" s="25" t="str">
        <f>IF(D816="","",IFERROR(VLOOKUP(D816,Catalogo_Documentos!$A:$B,3,FALSE),"—"))</f>
        <v/>
      </c>
      <c r="D816" s="29"/>
      <c r="E816" s="25" t="str">
        <f>IF(D816="","",IFERROR(VLOOKUP(D816,Catalogo_Documentos!$A:$B,2,FALSE),"—"))</f>
        <v/>
      </c>
      <c r="F816" s="25"/>
      <c r="I816" s="64"/>
    </row>
    <row r="817" spans="1:9">
      <c r="A817" s="28"/>
      <c r="B817" s="26" t="str">
        <f>IF(A817="","",IFERROR(VLOOKUP(A817,Criterios!$A:$G,7,FALSE),"—"))</f>
        <v/>
      </c>
      <c r="C817" s="25" t="str">
        <f>IF(D817="","",IFERROR(VLOOKUP(D817,Catalogo_Documentos!$A:$B,3,FALSE),"—"))</f>
        <v/>
      </c>
      <c r="D817" s="29"/>
      <c r="E817" s="25" t="str">
        <f>IF(D817="","",IFERROR(VLOOKUP(D817,Catalogo_Documentos!$A:$B,2,FALSE),"—"))</f>
        <v/>
      </c>
      <c r="F817" s="25"/>
      <c r="I817" s="64"/>
    </row>
    <row r="818" spans="1:9">
      <c r="A818" s="28"/>
      <c r="B818" s="26" t="str">
        <f>IF(A818="","",IFERROR(VLOOKUP(A818,Criterios!$A:$G,7,FALSE),"—"))</f>
        <v/>
      </c>
      <c r="C818" s="25" t="str">
        <f>IF(D818="","",IFERROR(VLOOKUP(D818,Catalogo_Documentos!$A:$B,3,FALSE),"—"))</f>
        <v/>
      </c>
      <c r="D818" s="29"/>
      <c r="E818" s="25" t="str">
        <f>IF(D818="","",IFERROR(VLOOKUP(D818,Catalogo_Documentos!$A:$B,2,FALSE),"—"))</f>
        <v/>
      </c>
      <c r="F818" s="25"/>
      <c r="I818" s="64"/>
    </row>
    <row r="819" spans="1:9">
      <c r="A819" s="28"/>
      <c r="B819" s="26" t="str">
        <f>IF(A819="","",IFERROR(VLOOKUP(A819,Criterios!$A:$G,7,FALSE),"—"))</f>
        <v/>
      </c>
      <c r="C819" s="25" t="str">
        <f>IF(D819="","",IFERROR(VLOOKUP(D819,Catalogo_Documentos!$A:$B,3,FALSE),"—"))</f>
        <v/>
      </c>
      <c r="D819" s="29"/>
      <c r="E819" s="25" t="str">
        <f>IF(D819="","",IFERROR(VLOOKUP(D819,Catalogo_Documentos!$A:$B,2,FALSE),"—"))</f>
        <v/>
      </c>
      <c r="F819" s="25"/>
      <c r="I819" s="64"/>
    </row>
    <row r="820" spans="1:9">
      <c r="A820" s="28"/>
      <c r="B820" s="26" t="str">
        <f>IF(A820="","",IFERROR(VLOOKUP(A820,Criterios!$A:$G,7,FALSE),"—"))</f>
        <v/>
      </c>
      <c r="C820" s="25" t="str">
        <f>IF(D820="","",IFERROR(VLOOKUP(D820,Catalogo_Documentos!$A:$B,3,FALSE),"—"))</f>
        <v/>
      </c>
      <c r="D820" s="29"/>
      <c r="E820" s="25" t="str">
        <f>IF(D820="","",IFERROR(VLOOKUP(D820,Catalogo_Documentos!$A:$B,2,FALSE),"—"))</f>
        <v/>
      </c>
      <c r="F820" s="25"/>
      <c r="I820" s="64"/>
    </row>
    <row r="821" spans="1:9">
      <c r="A821" s="28"/>
      <c r="B821" s="26" t="str">
        <f>IF(A821="","",IFERROR(VLOOKUP(A821,Criterios!$A:$G,7,FALSE),"—"))</f>
        <v/>
      </c>
      <c r="C821" s="25" t="str">
        <f>IF(D821="","",IFERROR(VLOOKUP(D821,Catalogo_Documentos!$A:$B,3,FALSE),"—"))</f>
        <v/>
      </c>
      <c r="D821" s="29"/>
      <c r="E821" s="25" t="str">
        <f>IF(D821="","",IFERROR(VLOOKUP(D821,Catalogo_Documentos!$A:$B,2,FALSE),"—"))</f>
        <v/>
      </c>
      <c r="F821" s="25"/>
      <c r="I821" s="64"/>
    </row>
    <row r="822" spans="1:9">
      <c r="A822" s="28"/>
      <c r="B822" s="26" t="str">
        <f>IF(A822="","",IFERROR(VLOOKUP(A822,Criterios!$A:$G,7,FALSE),"—"))</f>
        <v/>
      </c>
      <c r="C822" s="25" t="str">
        <f>IF(D822="","",IFERROR(VLOOKUP(D822,Catalogo_Documentos!$A:$B,3,FALSE),"—"))</f>
        <v/>
      </c>
      <c r="D822" s="29"/>
      <c r="E822" s="25" t="str">
        <f>IF(D822="","",IFERROR(VLOOKUP(D822,Catalogo_Documentos!$A:$B,2,FALSE),"—"))</f>
        <v/>
      </c>
      <c r="F822" s="25"/>
      <c r="I822" s="64"/>
    </row>
    <row r="823" spans="1:9">
      <c r="A823" s="28"/>
      <c r="B823" s="26" t="str">
        <f>IF(A823="","",IFERROR(VLOOKUP(A823,Criterios!$A:$G,7,FALSE),"—"))</f>
        <v/>
      </c>
      <c r="C823" s="25" t="str">
        <f>IF(D823="","",IFERROR(VLOOKUP(D823,Catalogo_Documentos!$A:$B,3,FALSE),"—"))</f>
        <v/>
      </c>
      <c r="D823" s="29"/>
      <c r="E823" s="25" t="str">
        <f>IF(D823="","",IFERROR(VLOOKUP(D823,Catalogo_Documentos!$A:$B,2,FALSE),"—"))</f>
        <v/>
      </c>
      <c r="F823" s="25"/>
      <c r="I823" s="64"/>
    </row>
    <row r="824" spans="1:9">
      <c r="A824" s="28"/>
      <c r="B824" s="26" t="str">
        <f>IF(A824="","",IFERROR(VLOOKUP(A824,Criterios!$A:$G,7,FALSE),"—"))</f>
        <v/>
      </c>
      <c r="C824" s="25" t="str">
        <f>IF(D824="","",IFERROR(VLOOKUP(D824,Catalogo_Documentos!$A:$B,3,FALSE),"—"))</f>
        <v/>
      </c>
      <c r="D824" s="29"/>
      <c r="E824" s="25" t="str">
        <f>IF(D824="","",IFERROR(VLOOKUP(D824,Catalogo_Documentos!$A:$B,2,FALSE),"—"))</f>
        <v/>
      </c>
      <c r="F824" s="25"/>
      <c r="I824" s="64"/>
    </row>
    <row r="825" spans="1:9">
      <c r="A825" s="28"/>
      <c r="B825" s="26" t="str">
        <f>IF(A825="","",IFERROR(VLOOKUP(A825,Criterios!$A:$G,7,FALSE),"—"))</f>
        <v/>
      </c>
      <c r="C825" s="25" t="str">
        <f>IF(D825="","",IFERROR(VLOOKUP(D825,Catalogo_Documentos!$A:$B,3,FALSE),"—"))</f>
        <v/>
      </c>
      <c r="D825" s="29"/>
      <c r="E825" s="25" t="str">
        <f>IF(D825="","",IFERROR(VLOOKUP(D825,Catalogo_Documentos!$A:$B,2,FALSE),"—"))</f>
        <v/>
      </c>
      <c r="F825" s="25"/>
      <c r="I825" s="64"/>
    </row>
    <row r="826" spans="1:9">
      <c r="A826" s="28"/>
      <c r="B826" s="26" t="str">
        <f>IF(A826="","",IFERROR(VLOOKUP(A826,Criterios!$A:$G,7,FALSE),"—"))</f>
        <v/>
      </c>
      <c r="C826" s="25" t="str">
        <f>IF(D826="","",IFERROR(VLOOKUP(D826,Catalogo_Documentos!$A:$B,3,FALSE),"—"))</f>
        <v/>
      </c>
      <c r="D826" s="29"/>
      <c r="E826" s="25" t="str">
        <f>IF(D826="","",IFERROR(VLOOKUP(D826,Catalogo_Documentos!$A:$B,2,FALSE),"—"))</f>
        <v/>
      </c>
      <c r="F826" s="25"/>
      <c r="I826" s="64"/>
    </row>
    <row r="827" spans="1:9">
      <c r="A827" s="28"/>
      <c r="B827" s="26" t="str">
        <f>IF(A827="","",IFERROR(VLOOKUP(A827,Criterios!$A:$G,7,FALSE),"—"))</f>
        <v/>
      </c>
      <c r="C827" s="25" t="str">
        <f>IF(D827="","",IFERROR(VLOOKUP(D827,Catalogo_Documentos!$A:$B,3,FALSE),"—"))</f>
        <v/>
      </c>
      <c r="D827" s="29"/>
      <c r="E827" s="25" t="str">
        <f>IF(D827="","",IFERROR(VLOOKUP(D827,Catalogo_Documentos!$A:$B,2,FALSE),"—"))</f>
        <v/>
      </c>
      <c r="F827" s="25"/>
      <c r="I827" s="64"/>
    </row>
    <row r="828" spans="1:9">
      <c r="A828" s="28"/>
      <c r="B828" s="26" t="str">
        <f>IF(A828="","",IFERROR(VLOOKUP(A828,Criterios!$A:$G,7,FALSE),"—"))</f>
        <v/>
      </c>
      <c r="C828" s="25" t="str">
        <f>IF(D828="","",IFERROR(VLOOKUP(D828,Catalogo_Documentos!$A:$B,3,FALSE),"—"))</f>
        <v/>
      </c>
      <c r="D828" s="29"/>
      <c r="E828" s="25" t="str">
        <f>IF(D828="","",IFERROR(VLOOKUP(D828,Catalogo_Documentos!$A:$B,2,FALSE),"—"))</f>
        <v/>
      </c>
      <c r="F828" s="25"/>
      <c r="I828" s="64"/>
    </row>
    <row r="829" spans="1:9">
      <c r="A829" s="28"/>
      <c r="B829" s="26" t="str">
        <f>IF(A829="","",IFERROR(VLOOKUP(A829,Criterios!$A:$G,7,FALSE),"—"))</f>
        <v/>
      </c>
      <c r="C829" s="25" t="str">
        <f>IF(D829="","",IFERROR(VLOOKUP(D829,Catalogo_Documentos!$A:$B,3,FALSE),"—"))</f>
        <v/>
      </c>
      <c r="D829" s="29"/>
      <c r="E829" s="25" t="str">
        <f>IF(D829="","",IFERROR(VLOOKUP(D829,Catalogo_Documentos!$A:$B,2,FALSE),"—"))</f>
        <v/>
      </c>
      <c r="F829" s="25"/>
      <c r="I829" s="64"/>
    </row>
    <row r="830" spans="1:9">
      <c r="A830" s="28"/>
      <c r="B830" s="26" t="str">
        <f>IF(A830="","",IFERROR(VLOOKUP(A830,Criterios!$A:$G,7,FALSE),"—"))</f>
        <v/>
      </c>
      <c r="C830" s="25" t="str">
        <f>IF(D830="","",IFERROR(VLOOKUP(D830,Catalogo_Documentos!$A:$B,3,FALSE),"—"))</f>
        <v/>
      </c>
      <c r="D830" s="29"/>
      <c r="E830" s="25" t="str">
        <f>IF(D830="","",IFERROR(VLOOKUP(D830,Catalogo_Documentos!$A:$B,2,FALSE),"—"))</f>
        <v/>
      </c>
      <c r="F830" s="25"/>
      <c r="I830" s="64"/>
    </row>
    <row r="831" spans="1:9">
      <c r="A831" s="28"/>
      <c r="B831" s="26" t="str">
        <f>IF(A831="","",IFERROR(VLOOKUP(A831,Criterios!$A:$G,7,FALSE),"—"))</f>
        <v/>
      </c>
      <c r="C831" s="25" t="str">
        <f>IF(D831="","",IFERROR(VLOOKUP(D831,Catalogo_Documentos!$A:$B,3,FALSE),"—"))</f>
        <v/>
      </c>
      <c r="D831" s="29"/>
      <c r="E831" s="25" t="str">
        <f>IF(D831="","",IFERROR(VLOOKUP(D831,Catalogo_Documentos!$A:$B,2,FALSE),"—"))</f>
        <v/>
      </c>
      <c r="F831" s="25"/>
      <c r="I831" s="64"/>
    </row>
    <row r="832" spans="1:9">
      <c r="A832" s="28"/>
      <c r="B832" s="26" t="str">
        <f>IF(A832="","",IFERROR(VLOOKUP(A832,Criterios!$A:$G,7,FALSE),"—"))</f>
        <v/>
      </c>
      <c r="C832" s="25" t="str">
        <f>IF(D832="","",IFERROR(VLOOKUP(D832,Catalogo_Documentos!$A:$B,3,FALSE),"—"))</f>
        <v/>
      </c>
      <c r="D832" s="29"/>
      <c r="E832" s="25" t="str">
        <f>IF(D832="","",IFERROR(VLOOKUP(D832,Catalogo_Documentos!$A:$B,2,FALSE),"—"))</f>
        <v/>
      </c>
      <c r="F832" s="25"/>
      <c r="I832" s="64"/>
    </row>
    <row r="833" spans="1:9">
      <c r="A833" s="28"/>
      <c r="B833" s="26" t="str">
        <f>IF(A833="","",IFERROR(VLOOKUP(A833,Criterios!$A:$G,7,FALSE),"—"))</f>
        <v/>
      </c>
      <c r="C833" s="25" t="str">
        <f>IF(D833="","",IFERROR(VLOOKUP(D833,Catalogo_Documentos!$A:$B,3,FALSE),"—"))</f>
        <v/>
      </c>
      <c r="D833" s="29"/>
      <c r="E833" s="25" t="str">
        <f>IF(D833="","",IFERROR(VLOOKUP(D833,Catalogo_Documentos!$A:$B,2,FALSE),"—"))</f>
        <v/>
      </c>
      <c r="F833" s="25"/>
      <c r="I833" s="64"/>
    </row>
    <row r="834" spans="1:9">
      <c r="A834" s="28"/>
      <c r="B834" s="26" t="str">
        <f>IF(A834="","",IFERROR(VLOOKUP(A834,Criterios!$A:$G,7,FALSE),"—"))</f>
        <v/>
      </c>
      <c r="C834" s="25" t="str">
        <f>IF(D834="","",IFERROR(VLOOKUP(D834,Catalogo_Documentos!$A:$B,3,FALSE),"—"))</f>
        <v/>
      </c>
      <c r="D834" s="29"/>
      <c r="E834" s="25" t="str">
        <f>IF(D834="","",IFERROR(VLOOKUP(D834,Catalogo_Documentos!$A:$B,2,FALSE),"—"))</f>
        <v/>
      </c>
      <c r="F834" s="25"/>
      <c r="I834" s="64"/>
    </row>
    <row r="835" spans="1:9">
      <c r="A835" s="28"/>
      <c r="B835" s="26" t="str">
        <f>IF(A835="","",IFERROR(VLOOKUP(A835,Criterios!$A:$G,7,FALSE),"—"))</f>
        <v/>
      </c>
      <c r="C835" s="25" t="str">
        <f>IF(D835="","",IFERROR(VLOOKUP(D835,Catalogo_Documentos!$A:$B,3,FALSE),"—"))</f>
        <v/>
      </c>
      <c r="D835" s="29"/>
      <c r="E835" s="25" t="str">
        <f>IF(D835="","",IFERROR(VLOOKUP(D835,Catalogo_Documentos!$A:$B,2,FALSE),"—"))</f>
        <v/>
      </c>
      <c r="F835" s="25"/>
      <c r="I835" s="64"/>
    </row>
    <row r="836" spans="1:9">
      <c r="A836" s="28"/>
      <c r="B836" s="26" t="str">
        <f>IF(A836="","",IFERROR(VLOOKUP(A836,Criterios!$A:$G,7,FALSE),"—"))</f>
        <v/>
      </c>
      <c r="C836" s="25" t="str">
        <f>IF(D836="","",IFERROR(VLOOKUP(D836,Catalogo_Documentos!$A:$B,3,FALSE),"—"))</f>
        <v/>
      </c>
      <c r="D836" s="29"/>
      <c r="E836" s="25" t="str">
        <f>IF(D836="","",IFERROR(VLOOKUP(D836,Catalogo_Documentos!$A:$B,2,FALSE),"—"))</f>
        <v/>
      </c>
      <c r="F836" s="25"/>
      <c r="I836" s="64"/>
    </row>
    <row r="837" spans="1:9">
      <c r="A837" s="28"/>
      <c r="B837" s="26" t="str">
        <f>IF(A837="","",IFERROR(VLOOKUP(A837,Criterios!$A:$G,7,FALSE),"—"))</f>
        <v/>
      </c>
      <c r="C837" s="25" t="str">
        <f>IF(D837="","",IFERROR(VLOOKUP(D837,Catalogo_Documentos!$A:$B,3,FALSE),"—"))</f>
        <v/>
      </c>
      <c r="D837" s="29"/>
      <c r="E837" s="25" t="str">
        <f>IF(D837="","",IFERROR(VLOOKUP(D837,Catalogo_Documentos!$A:$B,2,FALSE),"—"))</f>
        <v/>
      </c>
      <c r="F837" s="25"/>
      <c r="I837" s="64"/>
    </row>
    <row r="838" spans="1:9">
      <c r="A838" s="28"/>
      <c r="B838" s="26" t="str">
        <f>IF(A838="","",IFERROR(VLOOKUP(A838,Criterios!$A:$G,7,FALSE),"—"))</f>
        <v/>
      </c>
      <c r="C838" s="25" t="str">
        <f>IF(D838="","",IFERROR(VLOOKUP(D838,Catalogo_Documentos!$A:$B,3,FALSE),"—"))</f>
        <v/>
      </c>
      <c r="D838" s="29"/>
      <c r="E838" s="25" t="str">
        <f>IF(D838="","",IFERROR(VLOOKUP(D838,Catalogo_Documentos!$A:$B,2,FALSE),"—"))</f>
        <v/>
      </c>
      <c r="F838" s="25"/>
      <c r="I838" s="64"/>
    </row>
    <row r="839" spans="1:9">
      <c r="A839" s="28"/>
      <c r="B839" s="26" t="str">
        <f>IF(A839="","",IFERROR(VLOOKUP(A839,Criterios!$A:$G,7,FALSE),"—"))</f>
        <v/>
      </c>
      <c r="C839" s="25" t="str">
        <f>IF(D839="","",IFERROR(VLOOKUP(D839,Catalogo_Documentos!$A:$B,3,FALSE),"—"))</f>
        <v/>
      </c>
      <c r="D839" s="29"/>
      <c r="E839" s="25" t="str">
        <f>IF(D839="","",IFERROR(VLOOKUP(D839,Catalogo_Documentos!$A:$B,2,FALSE),"—"))</f>
        <v/>
      </c>
      <c r="F839" s="25"/>
      <c r="I839" s="64"/>
    </row>
    <row r="840" spans="1:9">
      <c r="A840" s="28"/>
      <c r="B840" s="26" t="str">
        <f>IF(A840="","",IFERROR(VLOOKUP(A840,Criterios!$A:$G,7,FALSE),"—"))</f>
        <v/>
      </c>
      <c r="C840" s="25" t="str">
        <f>IF(D840="","",IFERROR(VLOOKUP(D840,Catalogo_Documentos!$A:$B,3,FALSE),"—"))</f>
        <v/>
      </c>
      <c r="D840" s="29"/>
      <c r="E840" s="25" t="str">
        <f>IF(D840="","",IFERROR(VLOOKUP(D840,Catalogo_Documentos!$A:$B,2,FALSE),"—"))</f>
        <v/>
      </c>
      <c r="F840" s="25"/>
      <c r="I840" s="64"/>
    </row>
    <row r="841" spans="1:9">
      <c r="A841" s="28"/>
      <c r="B841" s="26" t="str">
        <f>IF(A841="","",IFERROR(VLOOKUP(A841,Criterios!$A:$G,7,FALSE),"—"))</f>
        <v/>
      </c>
      <c r="C841" s="25" t="str">
        <f>IF(D841="","",IFERROR(VLOOKUP(D841,Catalogo_Documentos!$A:$B,3,FALSE),"—"))</f>
        <v/>
      </c>
      <c r="D841" s="29"/>
      <c r="E841" s="25" t="str">
        <f>IF(D841="","",IFERROR(VLOOKUP(D841,Catalogo_Documentos!$A:$B,2,FALSE),"—"))</f>
        <v/>
      </c>
      <c r="F841" s="25"/>
      <c r="I841" s="64"/>
    </row>
    <row r="842" spans="1:9">
      <c r="A842" s="28"/>
      <c r="B842" s="26" t="str">
        <f>IF(A842="","",IFERROR(VLOOKUP(A842,Criterios!$A:$G,7,FALSE),"—"))</f>
        <v/>
      </c>
      <c r="C842" s="25" t="str">
        <f>IF(D842="","",IFERROR(VLOOKUP(D842,Catalogo_Documentos!$A:$B,3,FALSE),"—"))</f>
        <v/>
      </c>
      <c r="D842" s="29"/>
      <c r="E842" s="25" t="str">
        <f>IF(D842="","",IFERROR(VLOOKUP(D842,Catalogo_Documentos!$A:$B,2,FALSE),"—"))</f>
        <v/>
      </c>
      <c r="F842" s="25"/>
      <c r="I842" s="64"/>
    </row>
    <row r="843" spans="1:9">
      <c r="A843" s="28"/>
      <c r="B843" s="26" t="str">
        <f>IF(A843="","",IFERROR(VLOOKUP(A843,Criterios!$A:$G,7,FALSE),"—"))</f>
        <v/>
      </c>
      <c r="C843" s="25" t="str">
        <f>IF(D843="","",IFERROR(VLOOKUP(D843,Catalogo_Documentos!$A:$B,3,FALSE),"—"))</f>
        <v/>
      </c>
      <c r="D843" s="29"/>
      <c r="E843" s="25" t="str">
        <f>IF(D843="","",IFERROR(VLOOKUP(D843,Catalogo_Documentos!$A:$B,2,FALSE),"—"))</f>
        <v/>
      </c>
      <c r="F843" s="25"/>
      <c r="I843" s="64"/>
    </row>
    <row r="844" spans="1:9">
      <c r="A844" s="28"/>
      <c r="B844" s="26" t="str">
        <f>IF(A844="","",IFERROR(VLOOKUP(A844,Criterios!$A:$G,7,FALSE),"—"))</f>
        <v/>
      </c>
      <c r="C844" s="25" t="str">
        <f>IF(D844="","",IFERROR(VLOOKUP(D844,Catalogo_Documentos!$A:$B,3,FALSE),"—"))</f>
        <v/>
      </c>
      <c r="D844" s="29"/>
      <c r="E844" s="25" t="str">
        <f>IF(D844="","",IFERROR(VLOOKUP(D844,Catalogo_Documentos!$A:$B,2,FALSE),"—"))</f>
        <v/>
      </c>
      <c r="F844" s="25"/>
      <c r="I844" s="64"/>
    </row>
    <row r="845" spans="1:9">
      <c r="A845" s="28"/>
      <c r="B845" s="26" t="str">
        <f>IF(A845="","",IFERROR(VLOOKUP(A845,Criterios!$A:$G,7,FALSE),"—"))</f>
        <v/>
      </c>
      <c r="C845" s="25" t="str">
        <f>IF(D845="","",IFERROR(VLOOKUP(D845,Catalogo_Documentos!$A:$B,3,FALSE),"—"))</f>
        <v/>
      </c>
      <c r="D845" s="29"/>
      <c r="E845" s="25" t="str">
        <f>IF(D845="","",IFERROR(VLOOKUP(D845,Catalogo_Documentos!$A:$B,2,FALSE),"—"))</f>
        <v/>
      </c>
      <c r="F845" s="25"/>
      <c r="I845" s="64"/>
    </row>
    <row r="846" spans="1:9">
      <c r="A846" s="28"/>
      <c r="B846" s="26" t="str">
        <f>IF(A846="","",IFERROR(VLOOKUP(A846,Criterios!$A:$G,7,FALSE),"—"))</f>
        <v/>
      </c>
      <c r="C846" s="25" t="str">
        <f>IF(D846="","",IFERROR(VLOOKUP(D846,Catalogo_Documentos!$A:$B,3,FALSE),"—"))</f>
        <v/>
      </c>
      <c r="D846" s="29"/>
      <c r="E846" s="25" t="str">
        <f>IF(D846="","",IFERROR(VLOOKUP(D846,Catalogo_Documentos!$A:$B,2,FALSE),"—"))</f>
        <v/>
      </c>
      <c r="F846" s="25"/>
      <c r="I846" s="64"/>
    </row>
    <row r="847" spans="1:9">
      <c r="A847" s="28"/>
      <c r="B847" s="26" t="str">
        <f>IF(A847="","",IFERROR(VLOOKUP(A847,Criterios!$A:$G,7,FALSE),"—"))</f>
        <v/>
      </c>
      <c r="C847" s="25" t="str">
        <f>IF(D847="","",IFERROR(VLOOKUP(D847,Catalogo_Documentos!$A:$B,3,FALSE),"—"))</f>
        <v/>
      </c>
      <c r="D847" s="29"/>
      <c r="E847" s="25" t="str">
        <f>IF(D847="","",IFERROR(VLOOKUP(D847,Catalogo_Documentos!$A:$B,2,FALSE),"—"))</f>
        <v/>
      </c>
      <c r="F847" s="25"/>
      <c r="I847" s="64"/>
    </row>
    <row r="848" spans="1:9">
      <c r="A848" s="28"/>
      <c r="B848" s="26" t="str">
        <f>IF(A848="","",IFERROR(VLOOKUP(A848,Criterios!$A:$G,7,FALSE),"—"))</f>
        <v/>
      </c>
      <c r="C848" s="25" t="str">
        <f>IF(D848="","",IFERROR(VLOOKUP(D848,Catalogo_Documentos!$A:$B,3,FALSE),"—"))</f>
        <v/>
      </c>
      <c r="D848" s="29"/>
      <c r="E848" s="25" t="str">
        <f>IF(D848="","",IFERROR(VLOOKUP(D848,Catalogo_Documentos!$A:$B,2,FALSE),"—"))</f>
        <v/>
      </c>
      <c r="F848" s="25"/>
      <c r="I848" s="64"/>
    </row>
    <row r="849" spans="1:9">
      <c r="A849" s="28"/>
      <c r="B849" s="26" t="str">
        <f>IF(A849="","",IFERROR(VLOOKUP(A849,Criterios!$A:$G,7,FALSE),"—"))</f>
        <v/>
      </c>
      <c r="C849" s="25" t="str">
        <f>IF(D849="","",IFERROR(VLOOKUP(D849,Catalogo_Documentos!$A:$B,3,FALSE),"—"))</f>
        <v/>
      </c>
      <c r="D849" s="29"/>
      <c r="E849" s="25" t="str">
        <f>IF(D849="","",IFERROR(VLOOKUP(D849,Catalogo_Documentos!$A:$B,2,FALSE),"—"))</f>
        <v/>
      </c>
      <c r="F849" s="25"/>
      <c r="I849" s="64"/>
    </row>
    <row r="850" spans="1:9">
      <c r="A850" s="28"/>
      <c r="B850" s="26" t="str">
        <f>IF(A850="","",IFERROR(VLOOKUP(A850,Criterios!$A:$G,7,FALSE),"—"))</f>
        <v/>
      </c>
      <c r="C850" s="25" t="str">
        <f>IF(D850="","",IFERROR(VLOOKUP(D850,Catalogo_Documentos!$A:$B,3,FALSE),"—"))</f>
        <v/>
      </c>
      <c r="D850" s="29"/>
      <c r="E850" s="25" t="str">
        <f>IF(D850="","",IFERROR(VLOOKUP(D850,Catalogo_Documentos!$A:$B,2,FALSE),"—"))</f>
        <v/>
      </c>
      <c r="F850" s="25"/>
      <c r="I850" s="64"/>
    </row>
    <row r="851" spans="1:9">
      <c r="A851" s="28"/>
      <c r="B851" s="26" t="str">
        <f>IF(A851="","",IFERROR(VLOOKUP(A851,Criterios!$A:$G,7,FALSE),"—"))</f>
        <v/>
      </c>
      <c r="C851" s="25" t="str">
        <f>IF(D851="","",IFERROR(VLOOKUP(D851,Catalogo_Documentos!$A:$B,3,FALSE),"—"))</f>
        <v/>
      </c>
      <c r="D851" s="29"/>
      <c r="E851" s="25" t="str">
        <f>IF(D851="","",IFERROR(VLOOKUP(D851,Catalogo_Documentos!$A:$B,2,FALSE),"—"))</f>
        <v/>
      </c>
      <c r="F851" s="25"/>
      <c r="I851" s="64"/>
    </row>
    <row r="852" spans="1:9">
      <c r="A852" s="28"/>
      <c r="B852" s="26" t="str">
        <f>IF(A852="","",IFERROR(VLOOKUP(A852,Criterios!$A:$G,7,FALSE),"—"))</f>
        <v/>
      </c>
      <c r="C852" s="25" t="str">
        <f>IF(D852="","",IFERROR(VLOOKUP(D852,Catalogo_Documentos!$A:$B,3,FALSE),"—"))</f>
        <v/>
      </c>
      <c r="D852" s="29"/>
      <c r="E852" s="25" t="str">
        <f>IF(D852="","",IFERROR(VLOOKUP(D852,Catalogo_Documentos!$A:$B,2,FALSE),"—"))</f>
        <v/>
      </c>
      <c r="F852" s="25"/>
      <c r="I852" s="64"/>
    </row>
    <row r="853" spans="1:9">
      <c r="A853" s="28"/>
      <c r="B853" s="26" t="str">
        <f>IF(A853="","",IFERROR(VLOOKUP(A853,Criterios!$A:$G,7,FALSE),"—"))</f>
        <v/>
      </c>
      <c r="C853" s="25" t="str">
        <f>IF(D853="","",IFERROR(VLOOKUP(D853,Catalogo_Documentos!$A:$B,3,FALSE),"—"))</f>
        <v/>
      </c>
      <c r="D853" s="29"/>
      <c r="E853" s="25" t="str">
        <f>IF(D853="","",IFERROR(VLOOKUP(D853,Catalogo_Documentos!$A:$B,2,FALSE),"—"))</f>
        <v/>
      </c>
      <c r="F853" s="25"/>
      <c r="I853" s="64"/>
    </row>
    <row r="854" spans="1:9">
      <c r="A854" s="28"/>
      <c r="B854" s="26" t="str">
        <f>IF(A854="","",IFERROR(VLOOKUP(A854,Criterios!$A:$G,7,FALSE),"—"))</f>
        <v/>
      </c>
      <c r="C854" s="25" t="str">
        <f>IF(D854="","",IFERROR(VLOOKUP(D854,Catalogo_Documentos!$A:$B,3,FALSE),"—"))</f>
        <v/>
      </c>
      <c r="D854" s="29"/>
      <c r="E854" s="25" t="str">
        <f>IF(D854="","",IFERROR(VLOOKUP(D854,Catalogo_Documentos!$A:$B,2,FALSE),"—"))</f>
        <v/>
      </c>
      <c r="F854" s="25"/>
      <c r="I854" s="64"/>
    </row>
    <row r="855" spans="1:9">
      <c r="A855" s="28"/>
      <c r="B855" s="26" t="str">
        <f>IF(A855="","",IFERROR(VLOOKUP(A855,Criterios!$A:$G,7,FALSE),"—"))</f>
        <v/>
      </c>
      <c r="C855" s="25" t="str">
        <f>IF(D855="","",IFERROR(VLOOKUP(D855,Catalogo_Documentos!$A:$B,3,FALSE),"—"))</f>
        <v/>
      </c>
      <c r="D855" s="29"/>
      <c r="E855" s="25" t="str">
        <f>IF(D855="","",IFERROR(VLOOKUP(D855,Catalogo_Documentos!$A:$B,2,FALSE),"—"))</f>
        <v/>
      </c>
      <c r="F855" s="25"/>
      <c r="I855" s="64"/>
    </row>
    <row r="856" spans="1:9">
      <c r="A856" s="28"/>
      <c r="B856" s="26" t="str">
        <f>IF(A856="","",IFERROR(VLOOKUP(A856,Criterios!$A:$G,7,FALSE),"—"))</f>
        <v/>
      </c>
      <c r="C856" s="25" t="str">
        <f>IF(D856="","",IFERROR(VLOOKUP(D856,Catalogo_Documentos!$A:$B,3,FALSE),"—"))</f>
        <v/>
      </c>
      <c r="D856" s="29"/>
      <c r="E856" s="25" t="str">
        <f>IF(D856="","",IFERROR(VLOOKUP(D856,Catalogo_Documentos!$A:$B,2,FALSE),"—"))</f>
        <v/>
      </c>
      <c r="F856" s="25"/>
      <c r="I856" s="64"/>
    </row>
    <row r="857" spans="1:9">
      <c r="A857" s="28"/>
      <c r="B857" s="26" t="str">
        <f>IF(A857="","",IFERROR(VLOOKUP(A857,Criterios!$A:$G,7,FALSE),"—"))</f>
        <v/>
      </c>
      <c r="C857" s="25" t="str">
        <f>IF(D857="","",IFERROR(VLOOKUP(D857,Catalogo_Documentos!$A:$B,3,FALSE),"—"))</f>
        <v/>
      </c>
      <c r="D857" s="29"/>
      <c r="E857" s="25" t="str">
        <f>IF(D857="","",IFERROR(VLOOKUP(D857,Catalogo_Documentos!$A:$B,2,FALSE),"—"))</f>
        <v/>
      </c>
      <c r="F857" s="25"/>
      <c r="I857" s="64"/>
    </row>
    <row r="858" spans="1:9">
      <c r="A858" s="28"/>
      <c r="B858" s="26" t="str">
        <f>IF(A858="","",IFERROR(VLOOKUP(A858,Criterios!$A:$G,7,FALSE),"—"))</f>
        <v/>
      </c>
      <c r="C858" s="25" t="str">
        <f>IF(D858="","",IFERROR(VLOOKUP(D858,Catalogo_Documentos!$A:$B,3,FALSE),"—"))</f>
        <v/>
      </c>
      <c r="D858" s="29"/>
      <c r="E858" s="25" t="str">
        <f>IF(D858="","",IFERROR(VLOOKUP(D858,Catalogo_Documentos!$A:$B,2,FALSE),"—"))</f>
        <v/>
      </c>
      <c r="F858" s="25"/>
      <c r="I858" s="64"/>
    </row>
    <row r="859" spans="1:9">
      <c r="A859" s="28"/>
      <c r="B859" s="26" t="str">
        <f>IF(A859="","",IFERROR(VLOOKUP(A859,Criterios!$A:$G,7,FALSE),"—"))</f>
        <v/>
      </c>
      <c r="C859" s="25" t="str">
        <f>IF(D859="","",IFERROR(VLOOKUP(D859,Catalogo_Documentos!$A:$B,3,FALSE),"—"))</f>
        <v/>
      </c>
      <c r="D859" s="29"/>
      <c r="E859" s="25" t="str">
        <f>IF(D859="","",IFERROR(VLOOKUP(D859,Catalogo_Documentos!$A:$B,2,FALSE),"—"))</f>
        <v/>
      </c>
      <c r="F859" s="25"/>
      <c r="I859" s="64"/>
    </row>
    <row r="860" spans="1:9">
      <c r="A860" s="28"/>
      <c r="B860" s="26" t="str">
        <f>IF(A860="","",IFERROR(VLOOKUP(A860,Criterios!$A:$G,7,FALSE),"—"))</f>
        <v/>
      </c>
      <c r="C860" s="25" t="str">
        <f>IF(D860="","",IFERROR(VLOOKUP(D860,Catalogo_Documentos!$A:$B,3,FALSE),"—"))</f>
        <v/>
      </c>
      <c r="D860" s="29"/>
      <c r="E860" s="25" t="str">
        <f>IF(D860="","",IFERROR(VLOOKUP(D860,Catalogo_Documentos!$A:$B,2,FALSE),"—"))</f>
        <v/>
      </c>
      <c r="F860" s="25"/>
      <c r="I860" s="64"/>
    </row>
    <row r="861" spans="1:9">
      <c r="A861" s="28"/>
      <c r="B861" s="26" t="str">
        <f>IF(A861="","",IFERROR(VLOOKUP(A861,Criterios!$A:$G,7,FALSE),"—"))</f>
        <v/>
      </c>
      <c r="C861" s="25" t="str">
        <f>IF(D861="","",IFERROR(VLOOKUP(D861,Catalogo_Documentos!$A:$B,3,FALSE),"—"))</f>
        <v/>
      </c>
      <c r="D861" s="29"/>
      <c r="E861" s="25" t="str">
        <f>IF(D861="","",IFERROR(VLOOKUP(D861,Catalogo_Documentos!$A:$B,2,FALSE),"—"))</f>
        <v/>
      </c>
      <c r="F861" s="25"/>
      <c r="I861" s="64"/>
    </row>
    <row r="862" spans="1:9">
      <c r="A862" s="28"/>
      <c r="B862" s="26" t="str">
        <f>IF(A862="","",IFERROR(VLOOKUP(A862,Criterios!$A:$G,7,FALSE),"—"))</f>
        <v/>
      </c>
      <c r="C862" s="25" t="str">
        <f>IF(D862="","",IFERROR(VLOOKUP(D862,Catalogo_Documentos!$A:$B,3,FALSE),"—"))</f>
        <v/>
      </c>
      <c r="D862" s="29"/>
      <c r="E862" s="25" t="str">
        <f>IF(D862="","",IFERROR(VLOOKUP(D862,Catalogo_Documentos!$A:$B,2,FALSE),"—"))</f>
        <v/>
      </c>
      <c r="F862" s="25"/>
      <c r="I862" s="64"/>
    </row>
    <row r="863" spans="1:9">
      <c r="A863" s="28"/>
      <c r="B863" s="26" t="str">
        <f>IF(A863="","",IFERROR(VLOOKUP(A863,Criterios!$A:$G,7,FALSE),"—"))</f>
        <v/>
      </c>
      <c r="C863" s="25" t="str">
        <f>IF(D863="","",IFERROR(VLOOKUP(D863,Catalogo_Documentos!$A:$B,3,FALSE),"—"))</f>
        <v/>
      </c>
      <c r="D863" s="29"/>
      <c r="E863" s="25" t="str">
        <f>IF(D863="","",IFERROR(VLOOKUP(D863,Catalogo_Documentos!$A:$B,2,FALSE),"—"))</f>
        <v/>
      </c>
      <c r="F863" s="25"/>
      <c r="I863" s="64"/>
    </row>
    <row r="864" spans="1:9">
      <c r="A864" s="28"/>
      <c r="B864" s="26" t="str">
        <f>IF(A864="","",IFERROR(VLOOKUP(A864,Criterios!$A:$G,7,FALSE),"—"))</f>
        <v/>
      </c>
      <c r="C864" s="25" t="str">
        <f>IF(D864="","",IFERROR(VLOOKUP(D864,Catalogo_Documentos!$A:$B,3,FALSE),"—"))</f>
        <v/>
      </c>
      <c r="D864" s="29"/>
      <c r="E864" s="25" t="str">
        <f>IF(D864="","",IFERROR(VLOOKUP(D864,Catalogo_Documentos!$A:$B,2,FALSE),"—"))</f>
        <v/>
      </c>
      <c r="F864" s="25"/>
      <c r="I864" s="64"/>
    </row>
    <row r="865" spans="1:9">
      <c r="A865" s="28"/>
      <c r="B865" s="26" t="str">
        <f>IF(A865="","",IFERROR(VLOOKUP(A865,Criterios!$A:$G,7,FALSE),"—"))</f>
        <v/>
      </c>
      <c r="C865" s="25" t="str">
        <f>IF(D865="","",IFERROR(VLOOKUP(D865,Catalogo_Documentos!$A:$B,3,FALSE),"—"))</f>
        <v/>
      </c>
      <c r="D865" s="29"/>
      <c r="E865" s="25" t="str">
        <f>IF(D865="","",IFERROR(VLOOKUP(D865,Catalogo_Documentos!$A:$B,2,FALSE),"—"))</f>
        <v/>
      </c>
      <c r="F865" s="25"/>
      <c r="I865" s="64"/>
    </row>
    <row r="866" spans="1:9">
      <c r="A866" s="28"/>
      <c r="B866" s="26" t="str">
        <f>IF(A866="","",IFERROR(VLOOKUP(A866,Criterios!$A:$G,7,FALSE),"—"))</f>
        <v/>
      </c>
      <c r="C866" s="25" t="str">
        <f>IF(D866="","",IFERROR(VLOOKUP(D866,Catalogo_Documentos!$A:$B,3,FALSE),"—"))</f>
        <v/>
      </c>
      <c r="D866" s="29"/>
      <c r="E866" s="25" t="str">
        <f>IF(D866="","",IFERROR(VLOOKUP(D866,Catalogo_Documentos!$A:$B,2,FALSE),"—"))</f>
        <v/>
      </c>
      <c r="F866" s="25"/>
      <c r="I866" s="64"/>
    </row>
    <row r="867" spans="1:9">
      <c r="A867" s="28"/>
      <c r="B867" s="26" t="str">
        <f>IF(A867="","",IFERROR(VLOOKUP(A867,Criterios!$A:$G,7,FALSE),"—"))</f>
        <v/>
      </c>
      <c r="C867" s="25" t="str">
        <f>IF(D867="","",IFERROR(VLOOKUP(D867,Catalogo_Documentos!$A:$B,3,FALSE),"—"))</f>
        <v/>
      </c>
      <c r="D867" s="29"/>
      <c r="E867" s="25" t="str">
        <f>IF(D867="","",IFERROR(VLOOKUP(D867,Catalogo_Documentos!$A:$B,2,FALSE),"—"))</f>
        <v/>
      </c>
      <c r="F867" s="25"/>
      <c r="I867" s="64"/>
    </row>
    <row r="868" spans="1:9">
      <c r="A868" s="28"/>
      <c r="B868" s="26" t="str">
        <f>IF(A868="","",IFERROR(VLOOKUP(A868,Criterios!$A:$G,7,FALSE),"—"))</f>
        <v/>
      </c>
      <c r="C868" s="25" t="str">
        <f>IF(D868="","",IFERROR(VLOOKUP(D868,Catalogo_Documentos!$A:$B,3,FALSE),"—"))</f>
        <v/>
      </c>
      <c r="D868" s="29"/>
      <c r="E868" s="25" t="str">
        <f>IF(D868="","",IFERROR(VLOOKUP(D868,Catalogo_Documentos!$A:$B,2,FALSE),"—"))</f>
        <v/>
      </c>
      <c r="F868" s="25"/>
      <c r="I868" s="64"/>
    </row>
    <row r="869" spans="1:9">
      <c r="A869" s="28"/>
      <c r="B869" s="26" t="str">
        <f>IF(A869="","",IFERROR(VLOOKUP(A869,Criterios!$A:$G,7,FALSE),"—"))</f>
        <v/>
      </c>
      <c r="C869" s="25" t="str">
        <f>IF(D869="","",IFERROR(VLOOKUP(D869,Catalogo_Documentos!$A:$B,3,FALSE),"—"))</f>
        <v/>
      </c>
      <c r="D869" s="29"/>
      <c r="E869" s="25" t="str">
        <f>IF(D869="","",IFERROR(VLOOKUP(D869,Catalogo_Documentos!$A:$B,2,FALSE),"—"))</f>
        <v/>
      </c>
      <c r="F869" s="25"/>
      <c r="I869" s="64"/>
    </row>
    <row r="870" spans="1:9">
      <c r="A870" s="28"/>
      <c r="B870" s="26" t="str">
        <f>IF(A870="","",IFERROR(VLOOKUP(A870,Criterios!$A:$G,7,FALSE),"—"))</f>
        <v/>
      </c>
      <c r="C870" s="25" t="str">
        <f>IF(D870="","",IFERROR(VLOOKUP(D870,Catalogo_Documentos!$A:$B,3,FALSE),"—"))</f>
        <v/>
      </c>
      <c r="D870" s="29"/>
      <c r="E870" s="25" t="str">
        <f>IF(D870="","",IFERROR(VLOOKUP(D870,Catalogo_Documentos!$A:$B,2,FALSE),"—"))</f>
        <v/>
      </c>
      <c r="F870" s="25"/>
      <c r="I870" s="64"/>
    </row>
    <row r="871" spans="1:9">
      <c r="A871" s="28"/>
      <c r="B871" s="26" t="str">
        <f>IF(A871="","",IFERROR(VLOOKUP(A871,Criterios!$A:$G,7,FALSE),"—"))</f>
        <v/>
      </c>
      <c r="C871" s="25" t="str">
        <f>IF(D871="","",IFERROR(VLOOKUP(D871,Catalogo_Documentos!$A:$B,3,FALSE),"—"))</f>
        <v/>
      </c>
      <c r="D871" s="29"/>
      <c r="E871" s="25" t="str">
        <f>IF(D871="","",IFERROR(VLOOKUP(D871,Catalogo_Documentos!$A:$B,2,FALSE),"—"))</f>
        <v/>
      </c>
      <c r="F871" s="25"/>
      <c r="I871" s="64"/>
    </row>
    <row r="872" spans="1:9">
      <c r="A872" s="28"/>
      <c r="B872" s="26" t="str">
        <f>IF(A872="","",IFERROR(VLOOKUP(A872,Criterios!$A:$G,7,FALSE),"—"))</f>
        <v/>
      </c>
      <c r="C872" s="25" t="str">
        <f>IF(D872="","",IFERROR(VLOOKUP(D872,Catalogo_Documentos!$A:$B,3,FALSE),"—"))</f>
        <v/>
      </c>
      <c r="D872" s="29"/>
      <c r="E872" s="25" t="str">
        <f>IF(D872="","",IFERROR(VLOOKUP(D872,Catalogo_Documentos!$A:$B,2,FALSE),"—"))</f>
        <v/>
      </c>
      <c r="F872" s="25"/>
      <c r="I872" s="64"/>
    </row>
    <row r="873" spans="1:9">
      <c r="A873" s="28"/>
      <c r="B873" s="26" t="str">
        <f>IF(A873="","",IFERROR(VLOOKUP(A873,Criterios!$A:$G,7,FALSE),"—"))</f>
        <v/>
      </c>
      <c r="C873" s="25" t="str">
        <f>IF(D873="","",IFERROR(VLOOKUP(D873,Catalogo_Documentos!$A:$B,3,FALSE),"—"))</f>
        <v/>
      </c>
      <c r="D873" s="29"/>
      <c r="E873" s="25" t="str">
        <f>IF(D873="","",IFERROR(VLOOKUP(D873,Catalogo_Documentos!$A:$B,2,FALSE),"—"))</f>
        <v/>
      </c>
      <c r="F873" s="25"/>
      <c r="I873" s="64"/>
    </row>
    <row r="874" spans="1:9">
      <c r="A874" s="28"/>
      <c r="B874" s="26" t="str">
        <f>IF(A874="","",IFERROR(VLOOKUP(A874,Criterios!$A:$G,7,FALSE),"—"))</f>
        <v/>
      </c>
      <c r="C874" s="25" t="str">
        <f>IF(D874="","",IFERROR(VLOOKUP(D874,Catalogo_Documentos!$A:$B,3,FALSE),"—"))</f>
        <v/>
      </c>
      <c r="D874" s="29"/>
      <c r="E874" s="25" t="str">
        <f>IF(D874="","",IFERROR(VLOOKUP(D874,Catalogo_Documentos!$A:$B,2,FALSE),"—"))</f>
        <v/>
      </c>
      <c r="F874" s="25"/>
      <c r="I874" s="64"/>
    </row>
    <row r="875" spans="1:9">
      <c r="A875" s="28"/>
      <c r="B875" s="26" t="str">
        <f>IF(A875="","",IFERROR(VLOOKUP(A875,Criterios!$A:$G,7,FALSE),"—"))</f>
        <v/>
      </c>
      <c r="C875" s="25" t="str">
        <f>IF(D875="","",IFERROR(VLOOKUP(D875,Catalogo_Documentos!$A:$B,3,FALSE),"—"))</f>
        <v/>
      </c>
      <c r="D875" s="29"/>
      <c r="E875" s="25" t="str">
        <f>IF(D875="","",IFERROR(VLOOKUP(D875,Catalogo_Documentos!$A:$B,2,FALSE),"—"))</f>
        <v/>
      </c>
      <c r="F875" s="25"/>
      <c r="I875" s="64"/>
    </row>
    <row r="876" spans="1:9">
      <c r="A876" s="28"/>
      <c r="B876" s="26" t="str">
        <f>IF(A876="","",IFERROR(VLOOKUP(A876,Criterios!$A:$G,7,FALSE),"—"))</f>
        <v/>
      </c>
      <c r="C876" s="25" t="str">
        <f>IF(D876="","",IFERROR(VLOOKUP(D876,Catalogo_Documentos!$A:$B,3,FALSE),"—"))</f>
        <v/>
      </c>
      <c r="D876" s="29"/>
      <c r="E876" s="25" t="str">
        <f>IF(D876="","",IFERROR(VLOOKUP(D876,Catalogo_Documentos!$A:$B,2,FALSE),"—"))</f>
        <v/>
      </c>
      <c r="F876" s="25"/>
      <c r="I876" s="64"/>
    </row>
    <row r="877" spans="1:9">
      <c r="A877" s="28"/>
      <c r="B877" s="26" t="str">
        <f>IF(A877="","",IFERROR(VLOOKUP(A877,Criterios!$A:$G,7,FALSE),"—"))</f>
        <v/>
      </c>
      <c r="C877" s="25" t="str">
        <f>IF(D877="","",IFERROR(VLOOKUP(D877,Catalogo_Documentos!$A:$B,3,FALSE),"—"))</f>
        <v/>
      </c>
      <c r="D877" s="29"/>
      <c r="E877" s="25" t="str">
        <f>IF(D877="","",IFERROR(VLOOKUP(D877,Catalogo_Documentos!$A:$B,2,FALSE),"—"))</f>
        <v/>
      </c>
      <c r="F877" s="25"/>
      <c r="I877" s="64"/>
    </row>
    <row r="878" spans="1:9">
      <c r="A878" s="28"/>
      <c r="B878" s="26" t="str">
        <f>IF(A878="","",IFERROR(VLOOKUP(A878,Criterios!$A:$G,7,FALSE),"—"))</f>
        <v/>
      </c>
      <c r="C878" s="25" t="str">
        <f>IF(D878="","",IFERROR(VLOOKUP(D878,Catalogo_Documentos!$A:$B,3,FALSE),"—"))</f>
        <v/>
      </c>
      <c r="D878" s="29"/>
      <c r="E878" s="25" t="str">
        <f>IF(D878="","",IFERROR(VLOOKUP(D878,Catalogo_Documentos!$A:$B,2,FALSE),"—"))</f>
        <v/>
      </c>
      <c r="F878" s="25"/>
      <c r="I878" s="64"/>
    </row>
    <row r="879" spans="1:9">
      <c r="A879" s="28"/>
      <c r="B879" s="26" t="str">
        <f>IF(A879="","",IFERROR(VLOOKUP(A879,Criterios!$A:$G,7,FALSE),"—"))</f>
        <v/>
      </c>
      <c r="C879" s="25" t="str">
        <f>IF(D879="","",IFERROR(VLOOKUP(D879,Catalogo_Documentos!$A:$B,3,FALSE),"—"))</f>
        <v/>
      </c>
      <c r="D879" s="29"/>
      <c r="E879" s="25" t="str">
        <f>IF(D879="","",IFERROR(VLOOKUP(D879,Catalogo_Documentos!$A:$B,2,FALSE),"—"))</f>
        <v/>
      </c>
      <c r="F879" s="25"/>
      <c r="I879" s="64"/>
    </row>
    <row r="880" spans="1:9">
      <c r="A880" s="28"/>
      <c r="B880" s="26" t="str">
        <f>IF(A880="","",IFERROR(VLOOKUP(A880,Criterios!$A:$G,7,FALSE),"—"))</f>
        <v/>
      </c>
      <c r="C880" s="25" t="str">
        <f>IF(D880="","",IFERROR(VLOOKUP(D880,Catalogo_Documentos!$A:$B,3,FALSE),"—"))</f>
        <v/>
      </c>
      <c r="D880" s="29"/>
      <c r="E880" s="25" t="str">
        <f>IF(D880="","",IFERROR(VLOOKUP(D880,Catalogo_Documentos!$A:$B,2,FALSE),"—"))</f>
        <v/>
      </c>
      <c r="F880" s="25"/>
      <c r="I880" s="64"/>
    </row>
    <row r="881" spans="1:9">
      <c r="A881" s="28"/>
      <c r="B881" s="26" t="str">
        <f>IF(A881="","",IFERROR(VLOOKUP(A881,Criterios!$A:$G,7,FALSE),"—"))</f>
        <v/>
      </c>
      <c r="C881" s="25" t="str">
        <f>IF(D881="","",IFERROR(VLOOKUP(D881,Catalogo_Documentos!$A:$B,3,FALSE),"—"))</f>
        <v/>
      </c>
      <c r="D881" s="29"/>
      <c r="E881" s="25" t="str">
        <f>IF(D881="","",IFERROR(VLOOKUP(D881,Catalogo_Documentos!$A:$B,2,FALSE),"—"))</f>
        <v/>
      </c>
      <c r="F881" s="25"/>
      <c r="I881" s="64"/>
    </row>
    <row r="882" spans="1:9">
      <c r="A882" s="28"/>
      <c r="B882" s="26" t="str">
        <f>IF(A882="","",IFERROR(VLOOKUP(A882,Criterios!$A:$G,7,FALSE),"—"))</f>
        <v/>
      </c>
      <c r="C882" s="25" t="str">
        <f>IF(D882="","",IFERROR(VLOOKUP(D882,Catalogo_Documentos!$A:$B,3,FALSE),"—"))</f>
        <v/>
      </c>
      <c r="D882" s="29"/>
      <c r="E882" s="25" t="str">
        <f>IF(D882="","",IFERROR(VLOOKUP(D882,Catalogo_Documentos!$A:$B,2,FALSE),"—"))</f>
        <v/>
      </c>
      <c r="F882" s="25"/>
      <c r="I882" s="64"/>
    </row>
    <row r="883" spans="1:9">
      <c r="A883" s="28"/>
      <c r="B883" s="26" t="str">
        <f>IF(A883="","",IFERROR(VLOOKUP(A883,Criterios!$A:$G,7,FALSE),"—"))</f>
        <v/>
      </c>
      <c r="C883" s="25" t="str">
        <f>IF(D883="","",IFERROR(VLOOKUP(D883,Catalogo_Documentos!$A:$B,3,FALSE),"—"))</f>
        <v/>
      </c>
      <c r="D883" s="29"/>
      <c r="E883" s="25" t="str">
        <f>IF(D883="","",IFERROR(VLOOKUP(D883,Catalogo_Documentos!$A:$B,2,FALSE),"—"))</f>
        <v/>
      </c>
      <c r="F883" s="25"/>
      <c r="I883" s="64"/>
    </row>
    <row r="884" spans="1:9">
      <c r="A884" s="28"/>
      <c r="B884" s="26" t="str">
        <f>IF(A884="","",IFERROR(VLOOKUP(A884,Criterios!$A:$G,7,FALSE),"—"))</f>
        <v/>
      </c>
      <c r="C884" s="25" t="str">
        <f>IF(D884="","",IFERROR(VLOOKUP(D884,Catalogo_Documentos!$A:$B,3,FALSE),"—"))</f>
        <v/>
      </c>
      <c r="D884" s="29"/>
      <c r="E884" s="25" t="str">
        <f>IF(D884="","",IFERROR(VLOOKUP(D884,Catalogo_Documentos!$A:$B,2,FALSE),"—"))</f>
        <v/>
      </c>
      <c r="F884" s="25"/>
      <c r="I884" s="64"/>
    </row>
    <row r="885" spans="1:9">
      <c r="A885" s="28"/>
      <c r="B885" s="26" t="str">
        <f>IF(A885="","",IFERROR(VLOOKUP(A885,Criterios!$A:$G,7,FALSE),"—"))</f>
        <v/>
      </c>
      <c r="C885" s="25" t="str">
        <f>IF(D885="","",IFERROR(VLOOKUP(D885,Catalogo_Documentos!$A:$B,3,FALSE),"—"))</f>
        <v/>
      </c>
      <c r="D885" s="29"/>
      <c r="E885" s="25" t="str">
        <f>IF(D885="","",IFERROR(VLOOKUP(D885,Catalogo_Documentos!$A:$B,2,FALSE),"—"))</f>
        <v/>
      </c>
      <c r="F885" s="25"/>
      <c r="I885" s="64"/>
    </row>
    <row r="886" spans="1:9">
      <c r="A886" s="28"/>
      <c r="B886" s="26" t="str">
        <f>IF(A886="","",IFERROR(VLOOKUP(A886,Criterios!$A:$G,7,FALSE),"—"))</f>
        <v/>
      </c>
      <c r="C886" s="25" t="str">
        <f>IF(D886="","",IFERROR(VLOOKUP(D886,Catalogo_Documentos!$A:$B,3,FALSE),"—"))</f>
        <v/>
      </c>
      <c r="D886" s="29"/>
      <c r="E886" s="25" t="str">
        <f>IF(D886="","",IFERROR(VLOOKUP(D886,Catalogo_Documentos!$A:$B,2,FALSE),"—"))</f>
        <v/>
      </c>
      <c r="F886" s="25"/>
      <c r="I886" s="64"/>
    </row>
    <row r="887" spans="1:9">
      <c r="A887" s="28"/>
      <c r="B887" s="26" t="str">
        <f>IF(A887="","",IFERROR(VLOOKUP(A887,Criterios!$A:$G,7,FALSE),"—"))</f>
        <v/>
      </c>
      <c r="C887" s="25" t="str">
        <f>IF(D887="","",IFERROR(VLOOKUP(D887,Catalogo_Documentos!$A:$B,3,FALSE),"—"))</f>
        <v/>
      </c>
      <c r="D887" s="29"/>
      <c r="E887" s="25" t="str">
        <f>IF(D887="","",IFERROR(VLOOKUP(D887,Catalogo_Documentos!$A:$B,2,FALSE),"—"))</f>
        <v/>
      </c>
      <c r="F887" s="25"/>
      <c r="I887" s="64"/>
    </row>
    <row r="888" spans="1:9">
      <c r="A888" s="28"/>
      <c r="B888" s="26" t="str">
        <f>IF(A888="","",IFERROR(VLOOKUP(A888,Criterios!$A:$G,7,FALSE),"—"))</f>
        <v/>
      </c>
      <c r="C888" s="25" t="str">
        <f>IF(D888="","",IFERROR(VLOOKUP(D888,Catalogo_Documentos!$A:$B,3,FALSE),"—"))</f>
        <v/>
      </c>
      <c r="D888" s="29"/>
      <c r="E888" s="25" t="str">
        <f>IF(D888="","",IFERROR(VLOOKUP(D888,Catalogo_Documentos!$A:$B,2,FALSE),"—"))</f>
        <v/>
      </c>
      <c r="F888" s="25"/>
      <c r="I888" s="64"/>
    </row>
    <row r="889" spans="1:9">
      <c r="A889" s="28"/>
      <c r="B889" s="26" t="str">
        <f>IF(A889="","",IFERROR(VLOOKUP(A889,Criterios!$A:$G,7,FALSE),"—"))</f>
        <v/>
      </c>
      <c r="C889" s="25" t="str">
        <f>IF(D889="","",IFERROR(VLOOKUP(D889,Catalogo_Documentos!$A:$B,3,FALSE),"—"))</f>
        <v/>
      </c>
      <c r="D889" s="29"/>
      <c r="E889" s="25" t="str">
        <f>IF(D889="","",IFERROR(VLOOKUP(D889,Catalogo_Documentos!$A:$B,2,FALSE),"—"))</f>
        <v/>
      </c>
      <c r="F889" s="25"/>
      <c r="I889" s="64"/>
    </row>
  </sheetData>
  <mergeCells count="134">
    <mergeCell ref="M217:M218"/>
    <mergeCell ref="M219:M220"/>
    <mergeCell ref="M61:M63"/>
    <mergeCell ref="M64:M65"/>
    <mergeCell ref="M67:M69"/>
    <mergeCell ref="M202:M203"/>
    <mergeCell ref="M204:M205"/>
    <mergeCell ref="M206:M207"/>
    <mergeCell ref="M208:M210"/>
    <mergeCell ref="M212:M214"/>
    <mergeCell ref="M215:M216"/>
    <mergeCell ref="M177:M178"/>
    <mergeCell ref="M181:M183"/>
    <mergeCell ref="M184:M185"/>
    <mergeCell ref="M188:M192"/>
    <mergeCell ref="M193:M195"/>
    <mergeCell ref="M196:M201"/>
    <mergeCell ref="M152:M153"/>
    <mergeCell ref="M154:M159"/>
    <mergeCell ref="M160:M163"/>
    <mergeCell ref="M166:M169"/>
    <mergeCell ref="M170:M172"/>
    <mergeCell ref="M173:M176"/>
    <mergeCell ref="M133:M134"/>
    <mergeCell ref="M135:M139"/>
    <mergeCell ref="M140:M142"/>
    <mergeCell ref="M143:M145"/>
    <mergeCell ref="M146:M148"/>
    <mergeCell ref="M149:M151"/>
    <mergeCell ref="M113:M114"/>
    <mergeCell ref="M115:M116"/>
    <mergeCell ref="M117:M120"/>
    <mergeCell ref="M121:M123"/>
    <mergeCell ref="M124:M127"/>
    <mergeCell ref="M128:M132"/>
    <mergeCell ref="M91:M96"/>
    <mergeCell ref="M97:M98"/>
    <mergeCell ref="M99:M101"/>
    <mergeCell ref="M102:M104"/>
    <mergeCell ref="M105:M107"/>
    <mergeCell ref="M108:M112"/>
    <mergeCell ref="M70:M75"/>
    <mergeCell ref="M76:M77"/>
    <mergeCell ref="M78:M81"/>
    <mergeCell ref="M82:M83"/>
    <mergeCell ref="M84:M85"/>
    <mergeCell ref="M86:M90"/>
    <mergeCell ref="M47:M48"/>
    <mergeCell ref="M50:M52"/>
    <mergeCell ref="M53:M55"/>
    <mergeCell ref="M56:M58"/>
    <mergeCell ref="M59:M60"/>
    <mergeCell ref="M29:M32"/>
    <mergeCell ref="M33:M34"/>
    <mergeCell ref="M35:M37"/>
    <mergeCell ref="M38:M42"/>
    <mergeCell ref="M43:M44"/>
    <mergeCell ref="M45:M46"/>
    <mergeCell ref="L219:L220"/>
    <mergeCell ref="M2:M4"/>
    <mergeCell ref="M5:M6"/>
    <mergeCell ref="M7:M8"/>
    <mergeCell ref="M9:M11"/>
    <mergeCell ref="M12:M14"/>
    <mergeCell ref="M15:M17"/>
    <mergeCell ref="M18:M21"/>
    <mergeCell ref="M22:M24"/>
    <mergeCell ref="M26:M28"/>
    <mergeCell ref="L204:L205"/>
    <mergeCell ref="L206:L207"/>
    <mergeCell ref="L208:L210"/>
    <mergeCell ref="L212:L214"/>
    <mergeCell ref="L215:L216"/>
    <mergeCell ref="L217:L218"/>
    <mergeCell ref="L181:L183"/>
    <mergeCell ref="L184:L185"/>
    <mergeCell ref="L188:L192"/>
    <mergeCell ref="L193:L195"/>
    <mergeCell ref="L196:L201"/>
    <mergeCell ref="L202:L203"/>
    <mergeCell ref="L154:L159"/>
    <mergeCell ref="L160:L163"/>
    <mergeCell ref="L166:L169"/>
    <mergeCell ref="L170:L172"/>
    <mergeCell ref="L173:L176"/>
    <mergeCell ref="L177:L178"/>
    <mergeCell ref="L135:L139"/>
    <mergeCell ref="L140:L142"/>
    <mergeCell ref="L143:L145"/>
    <mergeCell ref="L146:L148"/>
    <mergeCell ref="L149:L151"/>
    <mergeCell ref="L152:L153"/>
    <mergeCell ref="L115:L116"/>
    <mergeCell ref="L117:L120"/>
    <mergeCell ref="L121:L123"/>
    <mergeCell ref="L124:L127"/>
    <mergeCell ref="L128:L132"/>
    <mergeCell ref="L133:L134"/>
    <mergeCell ref="L97:L98"/>
    <mergeCell ref="L99:L101"/>
    <mergeCell ref="L102:L104"/>
    <mergeCell ref="L105:L107"/>
    <mergeCell ref="L108:L112"/>
    <mergeCell ref="L113:L114"/>
    <mergeCell ref="L76:L77"/>
    <mergeCell ref="L78:L81"/>
    <mergeCell ref="L82:L83"/>
    <mergeCell ref="L84:L85"/>
    <mergeCell ref="L86:L90"/>
    <mergeCell ref="L91:L96"/>
    <mergeCell ref="L56:L58"/>
    <mergeCell ref="L59:L60"/>
    <mergeCell ref="L61:L63"/>
    <mergeCell ref="L64:L65"/>
    <mergeCell ref="L67:L69"/>
    <mergeCell ref="L70:L75"/>
    <mergeCell ref="L47:L48"/>
    <mergeCell ref="L50:L52"/>
    <mergeCell ref="L53:L55"/>
    <mergeCell ref="L18:L21"/>
    <mergeCell ref="L22:L24"/>
    <mergeCell ref="L26:L28"/>
    <mergeCell ref="L29:L32"/>
    <mergeCell ref="L33:L34"/>
    <mergeCell ref="L35:L37"/>
    <mergeCell ref="L2:L4"/>
    <mergeCell ref="L5:L6"/>
    <mergeCell ref="L7:L8"/>
    <mergeCell ref="L9:L11"/>
    <mergeCell ref="L12:L14"/>
    <mergeCell ref="L15:L17"/>
    <mergeCell ref="L38:L42"/>
    <mergeCell ref="L43:L44"/>
    <mergeCell ref="L45:L46"/>
  </mergeCells>
  <pageMargins left="0.75" right="0.75" top="1" bottom="1" header="0.5" footer="0.5"/>
  <ignoredErrors>
    <ignoredError sqref="C2:C5 C67:C75" calculatedColumn="1"/>
  </ignoredErrors>
  <legacy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ErrorMessage="1" errorTitle="Valor no válido" error="Código de criterio de la hoja Criterios (p. ej. 13.1.a)" xr:uid="{00000000-0002-0000-0300-000000000000}">
          <x14:formula1>
            <xm:f>Criterios!$A$2:$A$220</xm:f>
          </x14:formula1>
          <xm:sqref>A2:A1388</xm:sqref>
        </x14:dataValidation>
        <x14:dataValidation type="list" allowBlank="1" showErrorMessage="1" errorTitle="Valor no válido" error="Registrar primero el documento en Catalogo_Documentos" xr:uid="{00000000-0002-0000-0300-000001000000}">
          <x14:formula1>
            <xm:f>Catalogo_Documentos!$A$2:$A$262</xm:f>
          </x14:formula1>
          <xm:sqref>D2:D1388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2026-09-30T02:25:40Z</dcterms:created>
  <dcterms:modified xsi:type="dcterms:W3CDTF">2026-10-22T21:18:46Z</dcterms:modified>
  <cp:category/>
  <cp:contentStatus/>
</cp:coreProperties>
</file>