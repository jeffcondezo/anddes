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C:\Users\santos.yaricahua\Downloads\"/>
    </mc:Choice>
  </mc:AlternateContent>
  <xr:revisionPtr revIDLastSave="0" documentId="8_{B2881120-EFC9-4A5E-B2C0-3609E6081E13}" xr6:coauthVersionLast="47" xr6:coauthVersionMax="47" xr10:uidLastSave="{00000000-0000-0000-0000-000000000000}"/>
  <bookViews>
    <workbookView xWindow="-108" yWindow="-108" windowWidth="23256" windowHeight="13896" tabRatio="500" firstSheet="7" activeTab="7" xr2:uid="{00000000-000D-0000-FFFF-FFFF00000000}"/>
  </bookViews>
  <sheets>
    <sheet name="Inst_tentativas" sheetId="1" r:id="rId1"/>
    <sheet name="Documentos" sheetId="2" r:id="rId2"/>
    <sheet name="Criterios GISTM" sheetId="3" r:id="rId3"/>
    <sheet name="Documento_x_Criterio" sheetId="4" r:id="rId4"/>
    <sheet name="Avance por Principio" sheetId="5" r:id="rId5"/>
    <sheet name="Avance por Tema" sheetId="6" r:id="rId6"/>
    <sheet name="Curva de avance" sheetId="7" r:id="rId7"/>
    <sheet name="Documentos referenciale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32" i="8" l="1"/>
  <c r="D232" i="8"/>
  <c r="E231" i="8"/>
  <c r="D231" i="8"/>
  <c r="E230" i="8"/>
  <c r="D230" i="8"/>
  <c r="E229" i="8"/>
  <c r="D229" i="8"/>
  <c r="E228" i="8"/>
  <c r="D228" i="8"/>
  <c r="E227" i="8"/>
  <c r="D227" i="8"/>
  <c r="E226" i="8"/>
  <c r="D226" i="8"/>
  <c r="E225" i="8"/>
  <c r="D225" i="8"/>
  <c r="E224" i="8"/>
  <c r="D224" i="8"/>
  <c r="E223" i="8"/>
  <c r="D223" i="8"/>
  <c r="E222" i="8"/>
  <c r="D222" i="8"/>
  <c r="E221" i="8"/>
  <c r="D221" i="8"/>
  <c r="E220" i="8"/>
  <c r="D220" i="8"/>
  <c r="E219" i="8"/>
  <c r="D219" i="8"/>
  <c r="E218" i="8"/>
  <c r="D218" i="8"/>
  <c r="E217" i="8"/>
  <c r="D217" i="8"/>
  <c r="E216" i="8"/>
  <c r="D216" i="8"/>
  <c r="E215" i="8"/>
  <c r="D215" i="8"/>
  <c r="E214" i="8"/>
  <c r="D214" i="8"/>
  <c r="E213" i="8"/>
  <c r="D213" i="8"/>
  <c r="E212" i="8"/>
  <c r="D212" i="8"/>
  <c r="E211" i="8"/>
  <c r="D211" i="8"/>
  <c r="E210" i="8"/>
  <c r="D210" i="8"/>
  <c r="E209" i="8"/>
  <c r="D209" i="8"/>
  <c r="E208" i="8"/>
  <c r="D208" i="8"/>
  <c r="E207" i="8"/>
  <c r="D207" i="8"/>
  <c r="E206" i="8"/>
  <c r="D206" i="8"/>
  <c r="E205" i="8"/>
  <c r="D205" i="8"/>
  <c r="E204" i="8"/>
  <c r="D204" i="8"/>
  <c r="E203" i="8"/>
  <c r="D203" i="8"/>
  <c r="E202" i="8"/>
  <c r="D202" i="8"/>
  <c r="E201" i="8"/>
  <c r="D201" i="8"/>
  <c r="E200" i="8"/>
  <c r="D200" i="8"/>
  <c r="E199" i="8"/>
  <c r="D199" i="8"/>
  <c r="E198" i="8"/>
  <c r="D198" i="8"/>
  <c r="E197" i="8"/>
  <c r="D197" i="8"/>
  <c r="E196" i="8"/>
  <c r="D196" i="8"/>
  <c r="E195" i="8"/>
  <c r="D195" i="8"/>
  <c r="E194" i="8"/>
  <c r="D194" i="8"/>
  <c r="E193" i="8"/>
  <c r="D193" i="8"/>
  <c r="E192" i="8"/>
  <c r="D192" i="8"/>
  <c r="E191" i="8"/>
  <c r="D191" i="8"/>
  <c r="E190" i="8"/>
  <c r="D190" i="8"/>
  <c r="E189" i="8"/>
  <c r="D189" i="8"/>
  <c r="E188" i="8"/>
  <c r="D188" i="8"/>
  <c r="E187" i="8"/>
  <c r="D187" i="8"/>
  <c r="E186" i="8"/>
  <c r="D186" i="8"/>
  <c r="E185" i="8"/>
  <c r="D185" i="8"/>
  <c r="E184" i="8"/>
  <c r="D184" i="8"/>
  <c r="E183" i="8"/>
  <c r="D183" i="8"/>
  <c r="E182" i="8"/>
  <c r="D182" i="8"/>
  <c r="E181" i="8"/>
  <c r="D181" i="8"/>
  <c r="E180" i="8"/>
  <c r="D180" i="8"/>
  <c r="E179" i="8"/>
  <c r="D179" i="8"/>
  <c r="E178" i="8"/>
  <c r="D178" i="8"/>
  <c r="E177" i="8"/>
  <c r="D177" i="8"/>
  <c r="E176" i="8"/>
  <c r="D176" i="8"/>
  <c r="E175" i="8"/>
  <c r="D175" i="8"/>
  <c r="E174" i="8"/>
  <c r="D174" i="8"/>
  <c r="E173" i="8"/>
  <c r="D173" i="8"/>
  <c r="E172" i="8"/>
  <c r="D172" i="8"/>
  <c r="E171" i="8"/>
  <c r="D171" i="8"/>
  <c r="E170" i="8"/>
  <c r="D170" i="8"/>
  <c r="E169" i="8"/>
  <c r="D169" i="8"/>
  <c r="E168" i="8"/>
  <c r="D168" i="8"/>
  <c r="E167" i="8"/>
  <c r="D167" i="8"/>
  <c r="E166" i="8"/>
  <c r="D166" i="8"/>
  <c r="E165" i="8"/>
  <c r="D165" i="8"/>
  <c r="E164" i="8"/>
  <c r="D164" i="8"/>
  <c r="E163" i="8"/>
  <c r="D163" i="8"/>
  <c r="E162" i="8"/>
  <c r="D162" i="8"/>
  <c r="E161" i="8"/>
  <c r="D161" i="8"/>
  <c r="E160" i="8"/>
  <c r="D160" i="8"/>
  <c r="E159" i="8"/>
  <c r="D159" i="8"/>
  <c r="E158" i="8"/>
  <c r="D158" i="8"/>
  <c r="E157" i="8"/>
  <c r="D157" i="8"/>
  <c r="E156" i="8"/>
  <c r="D156" i="8"/>
  <c r="E155" i="8"/>
  <c r="D155" i="8"/>
  <c r="E154" i="8"/>
  <c r="D154" i="8"/>
  <c r="E153" i="8"/>
  <c r="D153" i="8"/>
  <c r="E152" i="8"/>
  <c r="D152" i="8"/>
  <c r="E151" i="8"/>
  <c r="D151" i="8"/>
  <c r="E150" i="8"/>
  <c r="D150" i="8"/>
  <c r="E149" i="8"/>
  <c r="D149" i="8"/>
  <c r="E148" i="8"/>
  <c r="D148" i="8"/>
  <c r="E147" i="8"/>
  <c r="D147" i="8"/>
  <c r="E146" i="8"/>
  <c r="D146" i="8"/>
  <c r="E145" i="8"/>
  <c r="D145" i="8"/>
  <c r="E144" i="8"/>
  <c r="D144" i="8"/>
  <c r="E143" i="8"/>
  <c r="D143" i="8"/>
  <c r="E142" i="8"/>
  <c r="D142" i="8"/>
  <c r="E141" i="8"/>
  <c r="D141" i="8"/>
  <c r="E140" i="8"/>
  <c r="D140" i="8"/>
  <c r="E139" i="8"/>
  <c r="D139" i="8"/>
  <c r="E138" i="8"/>
  <c r="D138" i="8"/>
  <c r="E137" i="8"/>
  <c r="D137" i="8"/>
  <c r="E136" i="8"/>
  <c r="D136" i="8"/>
  <c r="E135" i="8"/>
  <c r="D135" i="8"/>
  <c r="E134" i="8"/>
  <c r="D134" i="8"/>
  <c r="E133" i="8"/>
  <c r="D133" i="8"/>
  <c r="E132" i="8"/>
  <c r="D132" i="8"/>
  <c r="E131" i="8"/>
  <c r="D131" i="8"/>
  <c r="E130" i="8"/>
  <c r="D130" i="8"/>
  <c r="E129" i="8"/>
  <c r="D129" i="8"/>
  <c r="E128" i="8"/>
  <c r="D128" i="8"/>
  <c r="E127" i="8"/>
  <c r="D127" i="8"/>
  <c r="E126" i="8"/>
  <c r="D126" i="8"/>
  <c r="E125" i="8"/>
  <c r="D125" i="8"/>
  <c r="E124" i="8"/>
  <c r="D124" i="8"/>
  <c r="E123" i="8"/>
  <c r="D123" i="8"/>
  <c r="E122" i="8"/>
  <c r="D122" i="8"/>
  <c r="E121" i="8"/>
  <c r="D121" i="8"/>
  <c r="E120" i="8"/>
  <c r="D120" i="8"/>
  <c r="E119" i="8"/>
  <c r="D119" i="8"/>
  <c r="E118" i="8"/>
  <c r="D118" i="8"/>
  <c r="E117" i="8"/>
  <c r="D117" i="8"/>
  <c r="E116" i="8"/>
  <c r="D116" i="8"/>
  <c r="E115" i="8"/>
  <c r="D115" i="8"/>
  <c r="E114" i="8"/>
  <c r="D114" i="8"/>
  <c r="E113" i="8"/>
  <c r="D113" i="8"/>
  <c r="E112" i="8"/>
  <c r="D112" i="8"/>
  <c r="E111" i="8"/>
  <c r="D111" i="8"/>
  <c r="E110" i="8"/>
  <c r="D110" i="8"/>
  <c r="E109" i="8"/>
  <c r="D109" i="8"/>
  <c r="E108" i="8"/>
  <c r="D108" i="8"/>
  <c r="E107" i="8"/>
  <c r="D107" i="8"/>
  <c r="E106" i="8"/>
  <c r="D106" i="8"/>
  <c r="E105" i="8"/>
  <c r="D105" i="8"/>
  <c r="E104" i="8"/>
  <c r="D104" i="8"/>
  <c r="E103" i="8"/>
  <c r="D103" i="8"/>
  <c r="E102" i="8"/>
  <c r="D102" i="8"/>
  <c r="E101" i="8"/>
  <c r="D101" i="8"/>
  <c r="E100" i="8"/>
  <c r="D100" i="8"/>
  <c r="E99" i="8"/>
  <c r="D99" i="8"/>
  <c r="E98" i="8"/>
  <c r="D98" i="8"/>
  <c r="E97" i="8"/>
  <c r="D97" i="8"/>
  <c r="E96" i="8"/>
  <c r="D96" i="8"/>
  <c r="E95" i="8"/>
  <c r="D95" i="8"/>
  <c r="E94" i="8"/>
  <c r="D94" i="8"/>
  <c r="E93" i="8"/>
  <c r="D93" i="8"/>
  <c r="E92" i="8"/>
  <c r="D92" i="8"/>
  <c r="E91" i="8"/>
  <c r="D91" i="8"/>
  <c r="E90" i="8"/>
  <c r="D90" i="8"/>
  <c r="E89" i="8"/>
  <c r="D89" i="8"/>
  <c r="E88" i="8"/>
  <c r="D88" i="8"/>
  <c r="E87" i="8"/>
  <c r="D87" i="8"/>
  <c r="E86" i="8"/>
  <c r="D86" i="8"/>
  <c r="E85" i="8"/>
  <c r="D85" i="8"/>
  <c r="E84" i="8"/>
  <c r="D84" i="8"/>
  <c r="E83" i="8"/>
  <c r="D83" i="8"/>
  <c r="E82" i="8"/>
  <c r="D82" i="8"/>
  <c r="E81" i="8"/>
  <c r="D81" i="8"/>
  <c r="E80" i="8"/>
  <c r="D80" i="8"/>
  <c r="E79" i="8"/>
  <c r="D79" i="8"/>
  <c r="E78" i="8"/>
  <c r="D78" i="8"/>
  <c r="E77" i="8"/>
  <c r="D77" i="8"/>
  <c r="E76" i="8"/>
  <c r="D76" i="8"/>
  <c r="E75" i="8"/>
  <c r="D75" i="8"/>
  <c r="E74" i="8"/>
  <c r="D74" i="8"/>
  <c r="E73" i="8"/>
  <c r="D73" i="8"/>
  <c r="E72" i="8"/>
  <c r="D72" i="8"/>
  <c r="E71" i="8"/>
  <c r="D71" i="8"/>
  <c r="E70" i="8"/>
  <c r="D70" i="8"/>
  <c r="E69" i="8"/>
  <c r="D69" i="8"/>
  <c r="E68" i="8"/>
  <c r="D68" i="8"/>
  <c r="E67" i="8"/>
  <c r="D67" i="8"/>
  <c r="E66" i="8"/>
  <c r="D66" i="8"/>
  <c r="E65" i="8"/>
  <c r="D65" i="8"/>
  <c r="E64" i="8"/>
  <c r="D64" i="8"/>
  <c r="E63" i="8"/>
  <c r="D63" i="8"/>
  <c r="E62" i="8"/>
  <c r="D62" i="8"/>
  <c r="E61" i="8"/>
  <c r="D61" i="8"/>
  <c r="E60" i="8"/>
  <c r="D60" i="8"/>
  <c r="E59" i="8"/>
  <c r="D59" i="8"/>
  <c r="E58" i="8"/>
  <c r="D58" i="8"/>
  <c r="E57" i="8"/>
  <c r="D57" i="8"/>
  <c r="E56" i="8"/>
  <c r="D56" i="8"/>
  <c r="E55" i="8"/>
  <c r="D55" i="8"/>
  <c r="E54" i="8"/>
  <c r="D54" i="8"/>
  <c r="E53" i="8"/>
  <c r="D53" i="8"/>
  <c r="E52" i="8"/>
  <c r="D52" i="8"/>
  <c r="E51" i="8"/>
  <c r="D51" i="8"/>
  <c r="E50" i="8"/>
  <c r="D50" i="8"/>
  <c r="E49" i="8"/>
  <c r="D49" i="8"/>
  <c r="E48" i="8"/>
  <c r="D48" i="8"/>
  <c r="E47" i="8"/>
  <c r="D47" i="8"/>
  <c r="E46" i="8"/>
  <c r="D46" i="8"/>
  <c r="E45" i="8"/>
  <c r="D45" i="8"/>
  <c r="E44" i="8"/>
  <c r="D44" i="8"/>
  <c r="E43" i="8"/>
  <c r="D43" i="8"/>
  <c r="E42" i="8"/>
  <c r="D42" i="8"/>
  <c r="E41" i="8"/>
  <c r="D41" i="8"/>
  <c r="E40" i="8"/>
  <c r="D40" i="8"/>
  <c r="E39" i="8"/>
  <c r="D39" i="8"/>
  <c r="E38" i="8"/>
  <c r="D38" i="8"/>
  <c r="E37" i="8"/>
  <c r="D37" i="8"/>
  <c r="E36" i="8"/>
  <c r="D36" i="8"/>
  <c r="E35" i="8"/>
  <c r="D35" i="8"/>
  <c r="E34" i="8"/>
  <c r="D34" i="8"/>
  <c r="E33" i="8"/>
  <c r="D33" i="8"/>
  <c r="E32" i="8"/>
  <c r="D32" i="8"/>
  <c r="E31" i="8"/>
  <c r="D31" i="8"/>
  <c r="E30" i="8"/>
  <c r="D30" i="8"/>
  <c r="E29" i="8"/>
  <c r="D29" i="8"/>
  <c r="E28" i="8"/>
  <c r="D28" i="8"/>
  <c r="E27" i="8"/>
  <c r="D27" i="8"/>
  <c r="E26" i="8"/>
  <c r="D26" i="8"/>
  <c r="E25" i="8"/>
  <c r="D25" i="8"/>
  <c r="E24" i="8"/>
  <c r="D24" i="8"/>
  <c r="E23" i="8"/>
  <c r="D23" i="8"/>
  <c r="E22" i="8"/>
  <c r="D22" i="8"/>
  <c r="E21" i="8"/>
  <c r="D21" i="8"/>
  <c r="E20" i="8"/>
  <c r="D20" i="8"/>
  <c r="E19" i="8"/>
  <c r="D19" i="8"/>
  <c r="E18" i="8"/>
  <c r="D18" i="8"/>
  <c r="E17" i="8"/>
  <c r="D17" i="8"/>
  <c r="E16" i="8"/>
  <c r="D16" i="8"/>
  <c r="E15" i="8"/>
  <c r="D15" i="8"/>
  <c r="E14" i="8"/>
  <c r="D14" i="8"/>
  <c r="E13" i="8"/>
  <c r="D13" i="8"/>
  <c r="E12" i="8"/>
  <c r="D12" i="8"/>
  <c r="E11" i="8"/>
  <c r="D11" i="8"/>
  <c r="E10" i="8"/>
  <c r="D10" i="8"/>
  <c r="E9" i="8"/>
  <c r="D9" i="8"/>
  <c r="E8" i="8"/>
  <c r="D8" i="8"/>
  <c r="E7" i="8"/>
  <c r="D7" i="8"/>
  <c r="E6" i="8"/>
  <c r="D6" i="8"/>
  <c r="E5" i="8"/>
  <c r="D5" i="8"/>
  <c r="E4" i="8"/>
  <c r="D4" i="8"/>
  <c r="E3" i="8"/>
  <c r="D3" i="8"/>
  <c r="E2" i="8"/>
  <c r="D2" i="8"/>
  <c r="D2" i="6"/>
  <c r="C2" i="6"/>
  <c r="I10" i="4"/>
  <c r="J203" i="3" l="1"/>
  <c r="J202" i="3"/>
  <c r="J201" i="3"/>
  <c r="G216" i="4" s="1"/>
  <c r="J200" i="3"/>
  <c r="J199" i="3"/>
  <c r="J198" i="3"/>
  <c r="J193" i="3"/>
  <c r="J192" i="3"/>
  <c r="J191" i="3"/>
  <c r="J190" i="3"/>
  <c r="G205" i="4" s="1"/>
  <c r="J189" i="3"/>
  <c r="G204" i="4" s="1"/>
  <c r="J159" i="3"/>
  <c r="J158" i="3"/>
  <c r="J157" i="3"/>
  <c r="J156" i="3"/>
  <c r="G169" i="4" s="1"/>
  <c r="J155" i="3"/>
  <c r="J154" i="3"/>
  <c r="J139" i="3"/>
  <c r="J138" i="3"/>
  <c r="J137" i="3"/>
  <c r="J136" i="3"/>
  <c r="J135" i="3"/>
  <c r="J132" i="3"/>
  <c r="J131" i="3"/>
  <c r="J130" i="3"/>
  <c r="J129" i="3"/>
  <c r="J128" i="3"/>
  <c r="J116" i="3"/>
  <c r="J115" i="3"/>
  <c r="J114" i="3"/>
  <c r="J113" i="3"/>
  <c r="J112" i="3"/>
  <c r="J111" i="3"/>
  <c r="J110" i="3"/>
  <c r="J109" i="3"/>
  <c r="J108" i="3"/>
  <c r="J90" i="3"/>
  <c r="J89" i="3"/>
  <c r="J88" i="3"/>
  <c r="J87" i="3"/>
  <c r="J86" i="3"/>
  <c r="J96" i="3"/>
  <c r="J95" i="3"/>
  <c r="J94" i="3"/>
  <c r="J93" i="3"/>
  <c r="J92" i="3"/>
  <c r="J91" i="3"/>
  <c r="J75" i="3"/>
  <c r="J74" i="3"/>
  <c r="J73" i="3"/>
  <c r="J72" i="3"/>
  <c r="J71" i="3"/>
  <c r="J70" i="3"/>
  <c r="J42" i="3"/>
  <c r="J41" i="3"/>
  <c r="J40" i="3"/>
  <c r="J39" i="3"/>
  <c r="J38" i="3"/>
  <c r="J222" i="3"/>
  <c r="J221" i="3"/>
  <c r="J220" i="3"/>
  <c r="J219" i="3"/>
  <c r="J218" i="3"/>
  <c r="J217" i="3"/>
  <c r="J209" i="3"/>
  <c r="J208" i="3"/>
  <c r="J207" i="3"/>
  <c r="J206" i="3"/>
  <c r="G221" i="4" s="1"/>
  <c r="J205" i="3"/>
  <c r="J204" i="3"/>
  <c r="J186" i="3"/>
  <c r="J185" i="3"/>
  <c r="J179" i="3"/>
  <c r="J178" i="3"/>
  <c r="G191" i="4" s="1"/>
  <c r="J166" i="3"/>
  <c r="J165" i="3"/>
  <c r="G178" i="4" s="1"/>
  <c r="J153" i="3"/>
  <c r="J152" i="3"/>
  <c r="J134" i="3"/>
  <c r="J133" i="3"/>
  <c r="J98" i="3"/>
  <c r="J97" i="3"/>
  <c r="J85" i="3"/>
  <c r="J84" i="3"/>
  <c r="J77" i="3"/>
  <c r="J76" i="3"/>
  <c r="G85" i="4" s="1"/>
  <c r="J65" i="3"/>
  <c r="J64" i="3"/>
  <c r="G73" i="4" s="1"/>
  <c r="J60" i="3"/>
  <c r="J59" i="3"/>
  <c r="J48" i="3"/>
  <c r="J47" i="3"/>
  <c r="J46" i="3"/>
  <c r="J45" i="3"/>
  <c r="J44" i="3"/>
  <c r="J43" i="3"/>
  <c r="J34" i="3"/>
  <c r="J33" i="3"/>
  <c r="J8" i="3"/>
  <c r="J7" i="3"/>
  <c r="J197" i="3"/>
  <c r="J196" i="3"/>
  <c r="J195" i="3"/>
  <c r="J194" i="3"/>
  <c r="G209" i="4" s="1"/>
  <c r="J177" i="3"/>
  <c r="J176" i="3"/>
  <c r="J175" i="3"/>
  <c r="J174" i="3"/>
  <c r="J163" i="3"/>
  <c r="J162" i="3"/>
  <c r="G175" i="4" s="1"/>
  <c r="J161" i="3"/>
  <c r="J160" i="3"/>
  <c r="J170" i="3"/>
  <c r="J169" i="3"/>
  <c r="J168" i="3"/>
  <c r="J167" i="3"/>
  <c r="J127" i="3"/>
  <c r="J126" i="3"/>
  <c r="J125" i="3"/>
  <c r="J124" i="3"/>
  <c r="J120" i="3"/>
  <c r="J119" i="3"/>
  <c r="J118" i="3"/>
  <c r="J117" i="3"/>
  <c r="J81" i="3"/>
  <c r="J80" i="3"/>
  <c r="J79" i="3"/>
  <c r="J78" i="3"/>
  <c r="G88" i="4" s="1"/>
  <c r="J32" i="3"/>
  <c r="J31" i="3"/>
  <c r="J30" i="3"/>
  <c r="J29" i="3"/>
  <c r="G36" i="4" s="1"/>
  <c r="J21" i="3"/>
  <c r="J20" i="3"/>
  <c r="J19" i="3"/>
  <c r="J18" i="3"/>
  <c r="J216" i="3"/>
  <c r="J215" i="3"/>
  <c r="G230" i="4" s="1"/>
  <c r="J214" i="3"/>
  <c r="J212" i="3"/>
  <c r="J211" i="3"/>
  <c r="J210" i="3"/>
  <c r="J184" i="3"/>
  <c r="J183" i="3"/>
  <c r="J182" i="3"/>
  <c r="J173" i="3"/>
  <c r="J172" i="3"/>
  <c r="J171" i="3"/>
  <c r="J151" i="3"/>
  <c r="J150" i="3"/>
  <c r="J149" i="3"/>
  <c r="J148" i="3"/>
  <c r="J147" i="3"/>
  <c r="J146" i="3"/>
  <c r="J145" i="3"/>
  <c r="J144" i="3"/>
  <c r="J143" i="3"/>
  <c r="J142" i="3"/>
  <c r="G155" i="4" s="1"/>
  <c r="J141" i="3"/>
  <c r="G154" i="4" s="1"/>
  <c r="J140" i="3"/>
  <c r="G153" i="4" s="1"/>
  <c r="J123" i="3"/>
  <c r="J122" i="3"/>
  <c r="J121" i="3"/>
  <c r="J107" i="3"/>
  <c r="J106" i="3"/>
  <c r="J105" i="3"/>
  <c r="J104" i="3"/>
  <c r="J103" i="3"/>
  <c r="J102" i="3"/>
  <c r="J101" i="3"/>
  <c r="J100" i="3"/>
  <c r="J99" i="3"/>
  <c r="J69" i="3"/>
  <c r="J68" i="3"/>
  <c r="J67" i="3"/>
  <c r="J63" i="3"/>
  <c r="J62" i="3"/>
  <c r="J61" i="3"/>
  <c r="J58" i="3"/>
  <c r="J57" i="3"/>
  <c r="J56" i="3"/>
  <c r="J55" i="3"/>
  <c r="J54" i="3"/>
  <c r="G63" i="4" s="1"/>
  <c r="J53" i="3"/>
  <c r="J52" i="3"/>
  <c r="J51" i="3"/>
  <c r="J50" i="3"/>
  <c r="J37" i="3"/>
  <c r="J36" i="3"/>
  <c r="J35" i="3"/>
  <c r="J28" i="3"/>
  <c r="J27" i="3"/>
  <c r="J26" i="3"/>
  <c r="J24" i="3"/>
  <c r="J23" i="3"/>
  <c r="J22" i="3"/>
  <c r="J17" i="3"/>
  <c r="J16" i="3"/>
  <c r="J15" i="3"/>
  <c r="J14" i="3"/>
  <c r="J13" i="3"/>
  <c r="J12" i="3"/>
  <c r="J11" i="3"/>
  <c r="J10" i="3"/>
  <c r="J9" i="3"/>
  <c r="J6" i="3"/>
  <c r="J5" i="3"/>
  <c r="J3" i="3"/>
  <c r="J4" i="3"/>
  <c r="J2" i="3"/>
  <c r="G2" i="4"/>
  <c r="F3" i="2" a="1"/>
  <c r="F3" i="2"/>
  <c r="F4" i="2" a="1"/>
  <c r="F4" i="2"/>
  <c r="F5" i="2" a="1"/>
  <c r="F5" i="2"/>
  <c r="F6" i="2" a="1"/>
  <c r="F6" i="2"/>
  <c r="H11" i="4" s="1"/>
  <c r="F7" i="2" a="1"/>
  <c r="F7" i="2"/>
  <c r="F8" i="2" a="1"/>
  <c r="F8" i="2"/>
  <c r="F9" i="2" a="1"/>
  <c r="F9" i="2"/>
  <c r="H23" i="4" s="1"/>
  <c r="F10" i="2" a="1"/>
  <c r="F10" i="2"/>
  <c r="H27" i="4" s="1"/>
  <c r="F11" i="2" a="1"/>
  <c r="F11" i="2"/>
  <c r="F12" i="2" a="1"/>
  <c r="F12" i="2"/>
  <c r="H65" i="4" s="1"/>
  <c r="F13" i="2" a="1"/>
  <c r="F13" i="2"/>
  <c r="H35" i="4" s="1"/>
  <c r="F14" i="2" a="1"/>
  <c r="F14" i="2"/>
  <c r="H36" i="4" s="1"/>
  <c r="F15" i="2" a="1"/>
  <c r="F15" i="2"/>
  <c r="F16" i="2" a="1"/>
  <c r="F16" i="2"/>
  <c r="F17" i="2" a="1"/>
  <c r="F17" i="2"/>
  <c r="H47" i="4" s="1"/>
  <c r="F18" i="2" a="1"/>
  <c r="F18" i="2"/>
  <c r="H52" i="4" s="1"/>
  <c r="F19" i="2" a="1"/>
  <c r="F19" i="2"/>
  <c r="F20" i="2" a="1"/>
  <c r="F20" i="2"/>
  <c r="H179" i="4" s="1"/>
  <c r="F21" i="2" a="1"/>
  <c r="F21" i="2"/>
  <c r="H71" i="4" s="1"/>
  <c r="F22" i="2" a="1"/>
  <c r="F22" i="2"/>
  <c r="H73" i="4" s="1"/>
  <c r="F23" i="2" a="1"/>
  <c r="F23" i="2"/>
  <c r="H76" i="4" s="1"/>
  <c r="F24" i="2" a="1"/>
  <c r="F24" i="2"/>
  <c r="H83" i="4" s="1"/>
  <c r="F25" i="2" a="1"/>
  <c r="F25" i="2"/>
  <c r="H85" i="4" s="1"/>
  <c r="F26" i="2" a="1"/>
  <c r="F26" i="2"/>
  <c r="H96" i="4" s="1"/>
  <c r="F27" i="2" a="1"/>
  <c r="F27" i="2"/>
  <c r="F28" i="2" a="1"/>
  <c r="F28" i="2"/>
  <c r="H131" i="4" s="1"/>
  <c r="F29" i="2" a="1"/>
  <c r="F29" i="2"/>
  <c r="H99" i="4" s="1"/>
  <c r="F30" i="2" a="1"/>
  <c r="F30" i="2"/>
  <c r="F31" i="2" a="1"/>
  <c r="F31" i="2"/>
  <c r="F32" i="2" a="1"/>
  <c r="F32" i="2"/>
  <c r="H191" i="4" s="1"/>
  <c r="F33" i="2" a="1"/>
  <c r="F33" i="2"/>
  <c r="H107" i="4" s="1"/>
  <c r="F34" i="2" a="1"/>
  <c r="F34" i="2"/>
  <c r="H109" i="4" s="1"/>
  <c r="F35" i="2" a="1"/>
  <c r="F35" i="2"/>
  <c r="H119" i="4" s="1"/>
  <c r="F36" i="2" a="1"/>
  <c r="F36" i="2"/>
  <c r="H120" i="4" s="1"/>
  <c r="F37" i="2" a="1"/>
  <c r="F37" i="2"/>
  <c r="H124" i="4" s="1"/>
  <c r="F38" i="2" a="1"/>
  <c r="F38" i="2"/>
  <c r="H125" i="4" s="1"/>
  <c r="F39" i="2" a="1"/>
  <c r="F39" i="2"/>
  <c r="F40" i="2" a="1"/>
  <c r="F40" i="2"/>
  <c r="H135" i="4" s="1"/>
  <c r="F41" i="2" a="1"/>
  <c r="F41" i="2"/>
  <c r="H143" i="4" s="1"/>
  <c r="F42" i="2" a="1"/>
  <c r="F42" i="2"/>
  <c r="F43" i="2" a="1"/>
  <c r="F43" i="2"/>
  <c r="F44" i="2" a="1"/>
  <c r="F44" i="2"/>
  <c r="F45" i="2" a="1"/>
  <c r="F45" i="2"/>
  <c r="F46" i="2" a="1"/>
  <c r="F46" i="2"/>
  <c r="H156" i="4" s="1"/>
  <c r="F47" i="2" a="1"/>
  <c r="F47" i="2"/>
  <c r="F48" i="2" a="1"/>
  <c r="F48" i="2"/>
  <c r="H155" i="4" s="1"/>
  <c r="F49" i="2" a="1"/>
  <c r="F49" i="2"/>
  <c r="H159" i="4" s="1"/>
  <c r="F50" i="2" a="1"/>
  <c r="F50" i="2"/>
  <c r="H167" i="4" s="1"/>
  <c r="F51" i="2" a="1"/>
  <c r="F51" i="2"/>
  <c r="F52" i="2" a="1"/>
  <c r="F52" i="2"/>
  <c r="H183" i="4" s="1"/>
  <c r="F53" i="2" a="1"/>
  <c r="F53" i="2"/>
  <c r="F54" i="2" a="1"/>
  <c r="F54" i="2"/>
  <c r="H193" i="4" s="1"/>
  <c r="F55" i="2" a="1"/>
  <c r="F55" i="2"/>
  <c r="F56" i="2" a="1"/>
  <c r="F56" i="2"/>
  <c r="H203" i="4" s="1"/>
  <c r="F57" i="2" a="1"/>
  <c r="F57" i="2"/>
  <c r="H215" i="4" s="1"/>
  <c r="F58" i="2" a="1"/>
  <c r="F58" i="2"/>
  <c r="H227" i="4" s="1"/>
  <c r="F59" i="2" a="1"/>
  <c r="F59" i="2"/>
  <c r="H232" i="4" s="1"/>
  <c r="F2" i="2" a="1"/>
  <c r="F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2" i="2"/>
  <c r="B2" i="4"/>
  <c r="H2" i="4"/>
  <c r="B3" i="4"/>
  <c r="H3" i="4"/>
  <c r="B4" i="4"/>
  <c r="H4" i="4"/>
  <c r="B5" i="4"/>
  <c r="H5" i="4"/>
  <c r="B6" i="4"/>
  <c r="H6" i="4"/>
  <c r="B7" i="4"/>
  <c r="H7" i="4"/>
  <c r="B8" i="4"/>
  <c r="H8" i="4"/>
  <c r="B9" i="4"/>
  <c r="H9" i="4"/>
  <c r="B10" i="4"/>
  <c r="H10" i="4"/>
  <c r="B11" i="4"/>
  <c r="B12" i="4"/>
  <c r="B13" i="4"/>
  <c r="H13" i="4"/>
  <c r="B14" i="4"/>
  <c r="H14" i="4"/>
  <c r="B15" i="4"/>
  <c r="H15" i="4"/>
  <c r="B16" i="4"/>
  <c r="H16" i="4"/>
  <c r="B17" i="4"/>
  <c r="H17" i="4"/>
  <c r="B18" i="4"/>
  <c r="H18" i="4"/>
  <c r="B19" i="4"/>
  <c r="H19" i="4"/>
  <c r="B20" i="4"/>
  <c r="H20" i="4"/>
  <c r="B21" i="4"/>
  <c r="H21" i="4"/>
  <c r="B22" i="4"/>
  <c r="H22" i="4"/>
  <c r="B23" i="4"/>
  <c r="B24" i="4"/>
  <c r="B25" i="4"/>
  <c r="B26" i="4"/>
  <c r="H26" i="4"/>
  <c r="B27" i="4"/>
  <c r="B28" i="4"/>
  <c r="B29" i="4"/>
  <c r="B30" i="4"/>
  <c r="H30" i="4"/>
  <c r="B31" i="4"/>
  <c r="H31" i="4"/>
  <c r="B32" i="4"/>
  <c r="H32" i="4"/>
  <c r="B33" i="4"/>
  <c r="H33" i="4"/>
  <c r="B34" i="4"/>
  <c r="H34" i="4"/>
  <c r="B35" i="4"/>
  <c r="B36" i="4"/>
  <c r="B37" i="4"/>
  <c r="B38" i="4"/>
  <c r="B39" i="4"/>
  <c r="B40" i="4"/>
  <c r="B41" i="4"/>
  <c r="H41" i="4"/>
  <c r="B42" i="4"/>
  <c r="B43" i="4"/>
  <c r="H43" i="4"/>
  <c r="B44" i="4"/>
  <c r="H44" i="4"/>
  <c r="B45" i="4"/>
  <c r="H45" i="4"/>
  <c r="B46" i="4"/>
  <c r="H46" i="4"/>
  <c r="B47" i="4"/>
  <c r="B48" i="4"/>
  <c r="B49" i="4"/>
  <c r="H49" i="4"/>
  <c r="B50" i="4"/>
  <c r="H50" i="4"/>
  <c r="B51" i="4"/>
  <c r="B52" i="4"/>
  <c r="B53" i="4"/>
  <c r="B54" i="4"/>
  <c r="H54" i="4"/>
  <c r="B55" i="4"/>
  <c r="H55" i="4"/>
  <c r="B56" i="4"/>
  <c r="H56" i="4"/>
  <c r="B57" i="4"/>
  <c r="H57" i="4"/>
  <c r="B58" i="4"/>
  <c r="H58" i="4"/>
  <c r="B59" i="4"/>
  <c r="B60" i="4"/>
  <c r="B61" i="4"/>
  <c r="H61" i="4"/>
  <c r="B62" i="4"/>
  <c r="H62" i="4"/>
  <c r="B63" i="4"/>
  <c r="B64" i="4"/>
  <c r="B65" i="4"/>
  <c r="B66" i="4"/>
  <c r="H66" i="4"/>
  <c r="B67" i="4"/>
  <c r="H67" i="4"/>
  <c r="B68" i="4"/>
  <c r="H68" i="4"/>
  <c r="B69" i="4"/>
  <c r="H69" i="4"/>
  <c r="B70" i="4"/>
  <c r="H70" i="4"/>
  <c r="B71" i="4"/>
  <c r="B72" i="4"/>
  <c r="B73" i="4"/>
  <c r="B74" i="4"/>
  <c r="H74" i="4"/>
  <c r="B75" i="4"/>
  <c r="B76" i="4"/>
  <c r="B77" i="4"/>
  <c r="B78" i="4"/>
  <c r="B79" i="4"/>
  <c r="B80" i="4"/>
  <c r="B81" i="4"/>
  <c r="H81" i="4"/>
  <c r="B82" i="4"/>
  <c r="H82" i="4"/>
  <c r="B83" i="4"/>
  <c r="B84" i="4"/>
  <c r="B85" i="4"/>
  <c r="B86" i="4"/>
  <c r="B87" i="4"/>
  <c r="B88" i="4"/>
  <c r="B89" i="4"/>
  <c r="H89" i="4"/>
  <c r="B90" i="4"/>
  <c r="H90" i="4"/>
  <c r="B91" i="4"/>
  <c r="H91" i="4"/>
  <c r="B92" i="4"/>
  <c r="H92" i="4"/>
  <c r="B93" i="4"/>
  <c r="H93" i="4"/>
  <c r="B94" i="4"/>
  <c r="H94" i="4"/>
  <c r="B95" i="4"/>
  <c r="H95" i="4"/>
  <c r="B96" i="4"/>
  <c r="B97" i="4"/>
  <c r="H97" i="4"/>
  <c r="B98" i="4"/>
  <c r="H98" i="4"/>
  <c r="B99" i="4"/>
  <c r="B100" i="4"/>
  <c r="B101" i="4"/>
  <c r="H101" i="4"/>
  <c r="B102" i="4"/>
  <c r="H102" i="4"/>
  <c r="B103" i="4"/>
  <c r="H103" i="4"/>
  <c r="B104" i="4"/>
  <c r="H104" i="4"/>
  <c r="B105" i="4"/>
  <c r="H105" i="4"/>
  <c r="B106" i="4"/>
  <c r="H106" i="4"/>
  <c r="B107" i="4"/>
  <c r="B108" i="4"/>
  <c r="B109" i="4"/>
  <c r="B110" i="4"/>
  <c r="H110" i="4"/>
  <c r="B111" i="4"/>
  <c r="B112" i="4"/>
  <c r="B113" i="4"/>
  <c r="B114" i="4"/>
  <c r="B115" i="4"/>
  <c r="H115" i="4"/>
  <c r="B116" i="4"/>
  <c r="H116" i="4"/>
  <c r="B117" i="4"/>
  <c r="H117" i="4"/>
  <c r="B118" i="4"/>
  <c r="H118" i="4"/>
  <c r="B119" i="4"/>
  <c r="B120" i="4"/>
  <c r="B121" i="4"/>
  <c r="B122" i="4"/>
  <c r="B123" i="4"/>
  <c r="B124" i="4"/>
  <c r="B125" i="4"/>
  <c r="B126" i="4"/>
  <c r="B127" i="4"/>
  <c r="H127" i="4"/>
  <c r="B128" i="4"/>
  <c r="H128" i="4"/>
  <c r="B129" i="4"/>
  <c r="H129" i="4"/>
  <c r="B130" i="4"/>
  <c r="H130" i="4"/>
  <c r="B131" i="4"/>
  <c r="B132" i="4"/>
  <c r="H132" i="4"/>
  <c r="B133" i="4"/>
  <c r="H133" i="4"/>
  <c r="B134" i="4"/>
  <c r="H134" i="4"/>
  <c r="B135" i="4"/>
  <c r="B136" i="4"/>
  <c r="B137" i="4"/>
  <c r="H137" i="4"/>
  <c r="B138" i="4"/>
  <c r="H138" i="4"/>
  <c r="B139" i="4"/>
  <c r="H139" i="4"/>
  <c r="B140" i="4"/>
  <c r="H140" i="4"/>
  <c r="B141" i="4"/>
  <c r="H141" i="4"/>
  <c r="B142" i="4"/>
  <c r="H142" i="4"/>
  <c r="B143" i="4"/>
  <c r="B144" i="4"/>
  <c r="B145" i="4"/>
  <c r="H145" i="4"/>
  <c r="B146" i="4"/>
  <c r="H146" i="4"/>
  <c r="B147" i="4"/>
  <c r="H147" i="4"/>
  <c r="B148" i="4"/>
  <c r="H148" i="4"/>
  <c r="B149" i="4"/>
  <c r="H149" i="4"/>
  <c r="B150" i="4"/>
  <c r="H150" i="4"/>
  <c r="B151" i="4"/>
  <c r="H151" i="4"/>
  <c r="B152" i="4"/>
  <c r="H152" i="4"/>
  <c r="B153" i="4"/>
  <c r="H153" i="4"/>
  <c r="B154" i="4"/>
  <c r="H154" i="4"/>
  <c r="B155" i="4"/>
  <c r="B156" i="4"/>
  <c r="B157" i="4"/>
  <c r="B158" i="4"/>
  <c r="H158" i="4"/>
  <c r="B159" i="4"/>
  <c r="B160" i="4"/>
  <c r="B161" i="4"/>
  <c r="B162" i="4"/>
  <c r="H162" i="4"/>
  <c r="B163" i="4"/>
  <c r="H163" i="4"/>
  <c r="B164" i="4"/>
  <c r="H164" i="4"/>
  <c r="B165" i="4"/>
  <c r="H165" i="4"/>
  <c r="B166" i="4"/>
  <c r="H166" i="4"/>
  <c r="B167" i="4"/>
  <c r="B168" i="4"/>
  <c r="B169" i="4"/>
  <c r="B170" i="4"/>
  <c r="B171" i="4"/>
  <c r="B172" i="4"/>
  <c r="B173" i="4"/>
  <c r="H173" i="4"/>
  <c r="B174" i="4"/>
  <c r="H174" i="4"/>
  <c r="B175" i="4"/>
  <c r="H175" i="4"/>
  <c r="B176" i="4"/>
  <c r="H176" i="4"/>
  <c r="B177" i="4"/>
  <c r="H177" i="4"/>
  <c r="B178" i="4"/>
  <c r="H178" i="4"/>
  <c r="B179" i="4"/>
  <c r="B180" i="4"/>
  <c r="H180" i="4"/>
  <c r="B181" i="4"/>
  <c r="H181" i="4"/>
  <c r="B182" i="4"/>
  <c r="H182" i="4"/>
  <c r="B183" i="4"/>
  <c r="B184" i="4"/>
  <c r="H184" i="4"/>
  <c r="B185" i="4"/>
  <c r="H185" i="4"/>
  <c r="B186" i="4"/>
  <c r="H186" i="4"/>
  <c r="B187" i="4"/>
  <c r="H187" i="4"/>
  <c r="B188" i="4"/>
  <c r="H188" i="4"/>
  <c r="B189" i="4"/>
  <c r="H189" i="4"/>
  <c r="B190" i="4"/>
  <c r="H190" i="4"/>
  <c r="B191" i="4"/>
  <c r="B192" i="4"/>
  <c r="H192" i="4"/>
  <c r="B193" i="4"/>
  <c r="B194" i="4"/>
  <c r="H194" i="4"/>
  <c r="B195" i="4"/>
  <c r="B196" i="4"/>
  <c r="H196" i="4"/>
  <c r="B197" i="4"/>
  <c r="H197" i="4"/>
  <c r="B198" i="4"/>
  <c r="H198" i="4"/>
  <c r="B199" i="4"/>
  <c r="H199" i="4"/>
  <c r="B200" i="4"/>
  <c r="H200" i="4"/>
  <c r="B201" i="4"/>
  <c r="H201" i="4"/>
  <c r="B202" i="4"/>
  <c r="H202" i="4"/>
  <c r="B203" i="4"/>
  <c r="B204" i="4"/>
  <c r="B205" i="4"/>
  <c r="H205" i="4"/>
  <c r="B206" i="4"/>
  <c r="H206" i="4"/>
  <c r="B207" i="4"/>
  <c r="B208" i="4"/>
  <c r="B209" i="4"/>
  <c r="H209" i="4"/>
  <c r="B210" i="4"/>
  <c r="H210" i="4"/>
  <c r="B211" i="4"/>
  <c r="H211" i="4"/>
  <c r="B212" i="4"/>
  <c r="H212" i="4"/>
  <c r="B213" i="4"/>
  <c r="H213" i="4"/>
  <c r="B214" i="4"/>
  <c r="H214" i="4"/>
  <c r="B215" i="4"/>
  <c r="B216" i="4"/>
  <c r="B217" i="4"/>
  <c r="H217" i="4"/>
  <c r="B218" i="4"/>
  <c r="H218" i="4"/>
  <c r="B219" i="4"/>
  <c r="B220" i="4"/>
  <c r="B221" i="4"/>
  <c r="B222" i="4"/>
  <c r="H222" i="4"/>
  <c r="B223" i="4"/>
  <c r="H223" i="4"/>
  <c r="B224" i="4"/>
  <c r="H224" i="4"/>
  <c r="B225" i="4"/>
  <c r="H225" i="4"/>
  <c r="B226" i="4"/>
  <c r="H226" i="4"/>
  <c r="B227" i="4"/>
  <c r="B228" i="4"/>
  <c r="B229" i="4"/>
  <c r="B230" i="4"/>
  <c r="H230" i="4"/>
  <c r="B231" i="4"/>
  <c r="B232" i="4"/>
  <c r="D4" i="4"/>
  <c r="G232" i="4"/>
  <c r="E232" i="4"/>
  <c r="D232" i="4"/>
  <c r="G231" i="4"/>
  <c r="E231" i="4"/>
  <c r="D231" i="4"/>
  <c r="E230" i="4"/>
  <c r="D230" i="4"/>
  <c r="G229" i="4"/>
  <c r="E229" i="4"/>
  <c r="D229" i="4"/>
  <c r="G228" i="4"/>
  <c r="E228" i="4"/>
  <c r="D228" i="4"/>
  <c r="G227" i="4"/>
  <c r="E227" i="4"/>
  <c r="D227" i="4"/>
  <c r="G226" i="4"/>
  <c r="E226" i="4"/>
  <c r="D226" i="4"/>
  <c r="G225" i="4"/>
  <c r="E225" i="4"/>
  <c r="D225" i="4"/>
  <c r="G224" i="4"/>
  <c r="E224" i="4"/>
  <c r="D224" i="4"/>
  <c r="G223" i="4"/>
  <c r="E223" i="4"/>
  <c r="D223" i="4"/>
  <c r="G222" i="4"/>
  <c r="E222" i="4"/>
  <c r="D222" i="4"/>
  <c r="E221" i="4"/>
  <c r="D221" i="4"/>
  <c r="G220" i="4"/>
  <c r="E220" i="4"/>
  <c r="D220" i="4"/>
  <c r="G219" i="4"/>
  <c r="E219" i="4"/>
  <c r="D219" i="4"/>
  <c r="G218" i="4"/>
  <c r="E218" i="4"/>
  <c r="D218" i="4"/>
  <c r="G217" i="4"/>
  <c r="E217" i="4"/>
  <c r="D217" i="4"/>
  <c r="E216" i="4"/>
  <c r="D216" i="4"/>
  <c r="G215" i="4"/>
  <c r="E215" i="4"/>
  <c r="D215" i="4"/>
  <c r="G214" i="4"/>
  <c r="E214" i="4"/>
  <c r="D214" i="4"/>
  <c r="G213" i="4"/>
  <c r="E213" i="4"/>
  <c r="D213" i="4"/>
  <c r="G212" i="4"/>
  <c r="E212" i="4"/>
  <c r="D212" i="4"/>
  <c r="G211" i="4"/>
  <c r="E211" i="4"/>
  <c r="D211" i="4"/>
  <c r="G210" i="4"/>
  <c r="E210" i="4"/>
  <c r="D210" i="4"/>
  <c r="E209" i="4"/>
  <c r="D209" i="4"/>
  <c r="G208" i="4"/>
  <c r="E208" i="4"/>
  <c r="D208" i="4"/>
  <c r="G207" i="4"/>
  <c r="E207" i="4"/>
  <c r="D207" i="4"/>
  <c r="G206" i="4"/>
  <c r="E206" i="4"/>
  <c r="D206" i="4"/>
  <c r="E205" i="4"/>
  <c r="D205" i="4"/>
  <c r="E204" i="4"/>
  <c r="D204" i="4"/>
  <c r="G203" i="4"/>
  <c r="E203" i="4"/>
  <c r="D203" i="4"/>
  <c r="G202" i="4"/>
  <c r="E202" i="4"/>
  <c r="D202" i="4"/>
  <c r="G201" i="4"/>
  <c r="E201" i="4"/>
  <c r="D201" i="4"/>
  <c r="G200" i="4"/>
  <c r="E200" i="4"/>
  <c r="D200" i="4"/>
  <c r="G199" i="4"/>
  <c r="E199" i="4"/>
  <c r="D199" i="4"/>
  <c r="G198" i="4"/>
  <c r="E198" i="4"/>
  <c r="D198" i="4"/>
  <c r="G197" i="4"/>
  <c r="E197" i="4"/>
  <c r="D197" i="4"/>
  <c r="G196" i="4"/>
  <c r="E196" i="4"/>
  <c r="D196" i="4"/>
  <c r="G195" i="4"/>
  <c r="E195" i="4"/>
  <c r="D195" i="4"/>
  <c r="G194" i="4"/>
  <c r="E194" i="4"/>
  <c r="D194" i="4"/>
  <c r="G193" i="4"/>
  <c r="E193" i="4"/>
  <c r="D193" i="4"/>
  <c r="G192" i="4"/>
  <c r="E192" i="4"/>
  <c r="D192" i="4"/>
  <c r="E191" i="4"/>
  <c r="D191" i="4"/>
  <c r="G190" i="4"/>
  <c r="E190" i="4"/>
  <c r="D190" i="4"/>
  <c r="G189" i="4"/>
  <c r="E189" i="4"/>
  <c r="D189" i="4"/>
  <c r="G188" i="4"/>
  <c r="E188" i="4"/>
  <c r="D188" i="4"/>
  <c r="G187" i="4"/>
  <c r="E187" i="4"/>
  <c r="D187" i="4"/>
  <c r="G186" i="4"/>
  <c r="E186" i="4"/>
  <c r="D186" i="4"/>
  <c r="G185" i="4"/>
  <c r="E185" i="4"/>
  <c r="D185" i="4"/>
  <c r="G184" i="4"/>
  <c r="E184" i="4"/>
  <c r="D184" i="4"/>
  <c r="G183" i="4"/>
  <c r="E183" i="4"/>
  <c r="D183" i="4"/>
  <c r="G182" i="4"/>
  <c r="E182" i="4"/>
  <c r="D182" i="4"/>
  <c r="G181" i="4"/>
  <c r="E181" i="4"/>
  <c r="D181" i="4"/>
  <c r="G180" i="4"/>
  <c r="E180" i="4"/>
  <c r="D180" i="4"/>
  <c r="G179" i="4"/>
  <c r="E179" i="4"/>
  <c r="D179" i="4"/>
  <c r="E178" i="4"/>
  <c r="D178" i="4"/>
  <c r="G177" i="4"/>
  <c r="E177" i="4"/>
  <c r="D177" i="4"/>
  <c r="G176" i="4"/>
  <c r="E176" i="4"/>
  <c r="D176" i="4"/>
  <c r="E175" i="4"/>
  <c r="D175" i="4"/>
  <c r="G174" i="4"/>
  <c r="E174" i="4"/>
  <c r="D174" i="4"/>
  <c r="G173" i="4"/>
  <c r="E173" i="4"/>
  <c r="D173" i="4"/>
  <c r="G172" i="4"/>
  <c r="E172" i="4"/>
  <c r="D172" i="4"/>
  <c r="G171" i="4"/>
  <c r="E171" i="4"/>
  <c r="D171" i="4"/>
  <c r="G170" i="4"/>
  <c r="E170" i="4"/>
  <c r="D170" i="4"/>
  <c r="E169" i="4"/>
  <c r="D169" i="4"/>
  <c r="G168" i="4"/>
  <c r="E168" i="4"/>
  <c r="D168" i="4"/>
  <c r="G167" i="4"/>
  <c r="E167" i="4"/>
  <c r="D167" i="4"/>
  <c r="G166" i="4"/>
  <c r="E166" i="4"/>
  <c r="D166" i="4"/>
  <c r="G165" i="4"/>
  <c r="E165" i="4"/>
  <c r="D165" i="4"/>
  <c r="G164" i="4"/>
  <c r="E164" i="4"/>
  <c r="D164" i="4"/>
  <c r="G163" i="4"/>
  <c r="E163" i="4"/>
  <c r="D163" i="4"/>
  <c r="G162" i="4"/>
  <c r="E162" i="4"/>
  <c r="D162" i="4"/>
  <c r="G161" i="4"/>
  <c r="E161" i="4"/>
  <c r="D161" i="4"/>
  <c r="G160" i="4"/>
  <c r="E160" i="4"/>
  <c r="D160" i="4"/>
  <c r="G159" i="4"/>
  <c r="E159" i="4"/>
  <c r="D159" i="4"/>
  <c r="G158" i="4"/>
  <c r="E158" i="4"/>
  <c r="D158" i="4"/>
  <c r="G157" i="4"/>
  <c r="E157" i="4"/>
  <c r="D157" i="4"/>
  <c r="G156" i="4"/>
  <c r="E156" i="4"/>
  <c r="D156" i="4"/>
  <c r="E155" i="4"/>
  <c r="D155" i="4"/>
  <c r="E154" i="4"/>
  <c r="D154" i="4"/>
  <c r="E153" i="4"/>
  <c r="D153" i="4"/>
  <c r="G152" i="4"/>
  <c r="E152" i="4"/>
  <c r="D152" i="4"/>
  <c r="G151" i="4"/>
  <c r="E151" i="4"/>
  <c r="D151" i="4"/>
  <c r="G150" i="4"/>
  <c r="E150" i="4"/>
  <c r="D150" i="4"/>
  <c r="G149" i="4"/>
  <c r="E149" i="4"/>
  <c r="D149" i="4"/>
  <c r="G148" i="4"/>
  <c r="E148" i="4"/>
  <c r="D148" i="4"/>
  <c r="G147" i="4"/>
  <c r="E147" i="4"/>
  <c r="D147" i="4"/>
  <c r="G146" i="4"/>
  <c r="E146" i="4"/>
  <c r="D146" i="4"/>
  <c r="G145" i="4"/>
  <c r="E145" i="4"/>
  <c r="D145" i="4"/>
  <c r="G144" i="4"/>
  <c r="E144" i="4"/>
  <c r="D144" i="4"/>
  <c r="G143" i="4"/>
  <c r="E143" i="4"/>
  <c r="D143" i="4"/>
  <c r="G142" i="4"/>
  <c r="E142" i="4"/>
  <c r="D142" i="4"/>
  <c r="G141" i="4"/>
  <c r="E141" i="4"/>
  <c r="D141" i="4"/>
  <c r="G140" i="4"/>
  <c r="E140" i="4"/>
  <c r="D140" i="4"/>
  <c r="G139" i="4"/>
  <c r="E139" i="4"/>
  <c r="D139" i="4"/>
  <c r="G138" i="4"/>
  <c r="E138" i="4"/>
  <c r="D138" i="4"/>
  <c r="G137" i="4"/>
  <c r="E137" i="4"/>
  <c r="D137" i="4"/>
  <c r="G136" i="4"/>
  <c r="E136" i="4"/>
  <c r="D136" i="4"/>
  <c r="G135" i="4"/>
  <c r="E135" i="4"/>
  <c r="D135" i="4"/>
  <c r="G134" i="4"/>
  <c r="E134" i="4"/>
  <c r="D134" i="4"/>
  <c r="G133" i="4"/>
  <c r="E133" i="4"/>
  <c r="D133" i="4"/>
  <c r="G132" i="4"/>
  <c r="E132" i="4"/>
  <c r="D132" i="4"/>
  <c r="G131" i="4"/>
  <c r="E131" i="4"/>
  <c r="D131" i="4"/>
  <c r="G130" i="4"/>
  <c r="E130" i="4"/>
  <c r="D130" i="4"/>
  <c r="G129" i="4"/>
  <c r="E129" i="4"/>
  <c r="D129" i="4"/>
  <c r="G128" i="4"/>
  <c r="E128" i="4"/>
  <c r="D128" i="4"/>
  <c r="G127" i="4"/>
  <c r="E127" i="4"/>
  <c r="D127" i="4"/>
  <c r="G126" i="4"/>
  <c r="E126" i="4"/>
  <c r="D126" i="4"/>
  <c r="G125" i="4"/>
  <c r="E125" i="4"/>
  <c r="D125" i="4"/>
  <c r="G124" i="4"/>
  <c r="E124" i="4"/>
  <c r="D124" i="4"/>
  <c r="G123" i="4"/>
  <c r="E123" i="4"/>
  <c r="D123" i="4"/>
  <c r="G122" i="4"/>
  <c r="E122" i="4"/>
  <c r="D122" i="4"/>
  <c r="G121" i="4"/>
  <c r="E121" i="4"/>
  <c r="D121" i="4"/>
  <c r="G120" i="4"/>
  <c r="E120" i="4"/>
  <c r="D120" i="4"/>
  <c r="G119" i="4"/>
  <c r="E119" i="4"/>
  <c r="D119" i="4"/>
  <c r="G118" i="4"/>
  <c r="E118" i="4"/>
  <c r="D118" i="4"/>
  <c r="G117" i="4"/>
  <c r="E117" i="4"/>
  <c r="D117" i="4"/>
  <c r="G116" i="4"/>
  <c r="E116" i="4"/>
  <c r="D116" i="4"/>
  <c r="G115" i="4"/>
  <c r="E115" i="4"/>
  <c r="D115" i="4"/>
  <c r="G114" i="4"/>
  <c r="E114" i="4"/>
  <c r="D114" i="4"/>
  <c r="G113" i="4"/>
  <c r="E113" i="4"/>
  <c r="D113" i="4"/>
  <c r="G112" i="4"/>
  <c r="E112" i="4"/>
  <c r="D112" i="4"/>
  <c r="G111" i="4"/>
  <c r="E111" i="4"/>
  <c r="D111" i="4"/>
  <c r="G110" i="4"/>
  <c r="E110" i="4"/>
  <c r="D110" i="4"/>
  <c r="G109" i="4"/>
  <c r="E109" i="4"/>
  <c r="D109" i="4"/>
  <c r="G108" i="4"/>
  <c r="E108" i="4"/>
  <c r="D108" i="4"/>
  <c r="G107" i="4"/>
  <c r="E107" i="4"/>
  <c r="D107" i="4"/>
  <c r="G106" i="4"/>
  <c r="E106" i="4"/>
  <c r="D106" i="4"/>
  <c r="G105" i="4"/>
  <c r="E105" i="4"/>
  <c r="D105" i="4"/>
  <c r="G104" i="4"/>
  <c r="E104" i="4"/>
  <c r="D104" i="4"/>
  <c r="G103" i="4"/>
  <c r="E103" i="4"/>
  <c r="D103" i="4"/>
  <c r="G102" i="4"/>
  <c r="E102" i="4"/>
  <c r="D102" i="4"/>
  <c r="G101" i="4"/>
  <c r="E101" i="4"/>
  <c r="D101" i="4"/>
  <c r="G100" i="4"/>
  <c r="E100" i="4"/>
  <c r="D100" i="4"/>
  <c r="G99" i="4"/>
  <c r="E99" i="4"/>
  <c r="D99" i="4"/>
  <c r="G98" i="4"/>
  <c r="E98" i="4"/>
  <c r="D98" i="4"/>
  <c r="G97" i="4"/>
  <c r="E97" i="4"/>
  <c r="D97" i="4"/>
  <c r="G96" i="4"/>
  <c r="E96" i="4"/>
  <c r="D96" i="4"/>
  <c r="G95" i="4"/>
  <c r="E95" i="4"/>
  <c r="D95" i="4"/>
  <c r="G94" i="4"/>
  <c r="E94" i="4"/>
  <c r="D94" i="4"/>
  <c r="G93" i="4"/>
  <c r="E93" i="4"/>
  <c r="D93" i="4"/>
  <c r="G92" i="4"/>
  <c r="E92" i="4"/>
  <c r="D92" i="4"/>
  <c r="G91" i="4"/>
  <c r="E91" i="4"/>
  <c r="D91" i="4"/>
  <c r="G90" i="4"/>
  <c r="E90" i="4"/>
  <c r="D90" i="4"/>
  <c r="G89" i="4"/>
  <c r="E89" i="4"/>
  <c r="D89" i="4"/>
  <c r="E88" i="4"/>
  <c r="D88" i="4"/>
  <c r="G87" i="4"/>
  <c r="E87" i="4"/>
  <c r="D87" i="4"/>
  <c r="G86" i="4"/>
  <c r="E86" i="4"/>
  <c r="D86" i="4"/>
  <c r="E85" i="4"/>
  <c r="D85" i="4"/>
  <c r="G84" i="4"/>
  <c r="E84" i="4"/>
  <c r="D84" i="4"/>
  <c r="G83" i="4"/>
  <c r="E83" i="4"/>
  <c r="D83" i="4"/>
  <c r="G82" i="4"/>
  <c r="E82" i="4"/>
  <c r="D82" i="4"/>
  <c r="G81" i="4"/>
  <c r="E81" i="4"/>
  <c r="D81" i="4"/>
  <c r="G80" i="4"/>
  <c r="E80" i="4"/>
  <c r="D80" i="4"/>
  <c r="G79" i="4"/>
  <c r="E79" i="4"/>
  <c r="D79" i="4"/>
  <c r="G78" i="4"/>
  <c r="E78" i="4"/>
  <c r="D78" i="4"/>
  <c r="G77" i="4"/>
  <c r="E77" i="4"/>
  <c r="D77" i="4"/>
  <c r="G76" i="4"/>
  <c r="E76" i="4"/>
  <c r="D76" i="4"/>
  <c r="G75" i="4"/>
  <c r="E75" i="4"/>
  <c r="D75" i="4"/>
  <c r="G74" i="4"/>
  <c r="E74" i="4"/>
  <c r="D74" i="4"/>
  <c r="E73" i="4"/>
  <c r="D73" i="4"/>
  <c r="G72" i="4"/>
  <c r="E72" i="4"/>
  <c r="D72" i="4"/>
  <c r="G71" i="4"/>
  <c r="E71" i="4"/>
  <c r="D71" i="4"/>
  <c r="G70" i="4"/>
  <c r="E70" i="4"/>
  <c r="D70" i="4"/>
  <c r="G69" i="4"/>
  <c r="E69" i="4"/>
  <c r="D69" i="4"/>
  <c r="G68" i="4"/>
  <c r="E68" i="4"/>
  <c r="D68" i="4"/>
  <c r="G67" i="4"/>
  <c r="E67" i="4"/>
  <c r="D67" i="4"/>
  <c r="G66" i="4"/>
  <c r="E66" i="4"/>
  <c r="D66" i="4"/>
  <c r="G65" i="4"/>
  <c r="E65" i="4"/>
  <c r="D65" i="4"/>
  <c r="G64" i="4"/>
  <c r="E64" i="4"/>
  <c r="D64" i="4"/>
  <c r="E63" i="4"/>
  <c r="D63" i="4"/>
  <c r="G62" i="4"/>
  <c r="E62" i="4"/>
  <c r="D62" i="4"/>
  <c r="G61" i="4"/>
  <c r="E61" i="4"/>
  <c r="D61" i="4"/>
  <c r="G60" i="4"/>
  <c r="E60" i="4"/>
  <c r="D60" i="4"/>
  <c r="G59" i="4"/>
  <c r="E59" i="4"/>
  <c r="D59" i="4"/>
  <c r="G58" i="4"/>
  <c r="E58" i="4"/>
  <c r="D58" i="4"/>
  <c r="G57" i="4"/>
  <c r="E57" i="4"/>
  <c r="D57" i="4"/>
  <c r="G56" i="4"/>
  <c r="E56" i="4"/>
  <c r="D56" i="4"/>
  <c r="G55" i="4"/>
  <c r="E55" i="4"/>
  <c r="D55" i="4"/>
  <c r="G54" i="4"/>
  <c r="E54" i="4"/>
  <c r="D54" i="4"/>
  <c r="G53" i="4"/>
  <c r="E53" i="4"/>
  <c r="D53" i="4"/>
  <c r="G52" i="4"/>
  <c r="E52" i="4"/>
  <c r="D52" i="4"/>
  <c r="G51" i="4"/>
  <c r="E51" i="4"/>
  <c r="D51" i="4"/>
  <c r="G50" i="4"/>
  <c r="E50" i="4"/>
  <c r="D50" i="4"/>
  <c r="G49" i="4"/>
  <c r="E49" i="4"/>
  <c r="D49" i="4"/>
  <c r="G48" i="4"/>
  <c r="E48" i="4"/>
  <c r="D48" i="4"/>
  <c r="G47" i="4"/>
  <c r="E47" i="4"/>
  <c r="D47" i="4"/>
  <c r="G46" i="4"/>
  <c r="E46" i="4"/>
  <c r="D46" i="4"/>
  <c r="G45" i="4"/>
  <c r="E45" i="4"/>
  <c r="D45" i="4"/>
  <c r="G44" i="4"/>
  <c r="E44" i="4"/>
  <c r="D44" i="4"/>
  <c r="G43" i="4"/>
  <c r="E43" i="4"/>
  <c r="D43" i="4"/>
  <c r="G42" i="4"/>
  <c r="E42" i="4"/>
  <c r="D42" i="4"/>
  <c r="G41" i="4"/>
  <c r="E41" i="4"/>
  <c r="D41" i="4"/>
  <c r="G40" i="4"/>
  <c r="E40" i="4"/>
  <c r="D40" i="4"/>
  <c r="G39" i="4"/>
  <c r="E39" i="4"/>
  <c r="D39" i="4"/>
  <c r="G38" i="4"/>
  <c r="E38" i="4"/>
  <c r="D38" i="4"/>
  <c r="G37" i="4"/>
  <c r="E37" i="4"/>
  <c r="D37" i="4"/>
  <c r="E36" i="4"/>
  <c r="D36" i="4"/>
  <c r="G35" i="4"/>
  <c r="E35" i="4"/>
  <c r="D35" i="4"/>
  <c r="G34" i="4"/>
  <c r="E34" i="4"/>
  <c r="D34" i="4"/>
  <c r="G33" i="4"/>
  <c r="E33" i="4"/>
  <c r="D33" i="4"/>
  <c r="G32" i="4"/>
  <c r="E32" i="4"/>
  <c r="D32" i="4"/>
  <c r="G31" i="4"/>
  <c r="E31" i="4"/>
  <c r="D31" i="4"/>
  <c r="G30" i="4"/>
  <c r="E30" i="4"/>
  <c r="D30" i="4"/>
  <c r="G29" i="4"/>
  <c r="E29" i="4"/>
  <c r="D29" i="4"/>
  <c r="G28" i="4"/>
  <c r="E28" i="4"/>
  <c r="D28" i="4"/>
  <c r="G27" i="4"/>
  <c r="E27" i="4"/>
  <c r="D27" i="4"/>
  <c r="G26" i="4"/>
  <c r="E26" i="4"/>
  <c r="D26" i="4"/>
  <c r="G25" i="4"/>
  <c r="E25" i="4"/>
  <c r="D25" i="4"/>
  <c r="G24" i="4"/>
  <c r="E24" i="4"/>
  <c r="D24" i="4"/>
  <c r="G23" i="4"/>
  <c r="E23" i="4"/>
  <c r="D23" i="4"/>
  <c r="G22" i="4"/>
  <c r="E22" i="4"/>
  <c r="D22" i="4"/>
  <c r="G21" i="4"/>
  <c r="E21" i="4"/>
  <c r="D21" i="4"/>
  <c r="G20" i="4"/>
  <c r="E20" i="4"/>
  <c r="D20" i="4"/>
  <c r="G19" i="4"/>
  <c r="E19" i="4"/>
  <c r="D19" i="4"/>
  <c r="G18" i="4"/>
  <c r="E18" i="4"/>
  <c r="D18" i="4"/>
  <c r="G17" i="4"/>
  <c r="E17" i="4"/>
  <c r="D17" i="4"/>
  <c r="G16" i="4"/>
  <c r="E16" i="4"/>
  <c r="D16" i="4"/>
  <c r="G15" i="4"/>
  <c r="E15" i="4"/>
  <c r="D15" i="4"/>
  <c r="G14" i="4"/>
  <c r="E14" i="4"/>
  <c r="D14" i="4"/>
  <c r="G13" i="4"/>
  <c r="E13" i="4"/>
  <c r="D13" i="4"/>
  <c r="G12" i="4"/>
  <c r="E12" i="4"/>
  <c r="D12" i="4"/>
  <c r="G11" i="4"/>
  <c r="E11" i="4"/>
  <c r="D11" i="4"/>
  <c r="G10" i="4"/>
  <c r="E10" i="4"/>
  <c r="D10" i="4"/>
  <c r="G9" i="4"/>
  <c r="E9" i="4"/>
  <c r="D9" i="4"/>
  <c r="G8" i="4"/>
  <c r="E8" i="4"/>
  <c r="D8" i="4"/>
  <c r="G7" i="4"/>
  <c r="E7" i="4"/>
  <c r="D7" i="4"/>
  <c r="G6" i="4"/>
  <c r="E6" i="4"/>
  <c r="D6" i="4"/>
  <c r="G5" i="4"/>
  <c r="E5" i="4"/>
  <c r="D5" i="4"/>
  <c r="G4" i="4"/>
  <c r="E4" i="4"/>
  <c r="G3" i="4"/>
  <c r="E3" i="4"/>
  <c r="D3" i="4"/>
  <c r="E2" i="4"/>
  <c r="D2" i="4"/>
  <c r="E3" i="5" l="1"/>
  <c r="I13" i="4"/>
  <c r="E2" i="5"/>
  <c r="H79" i="4"/>
  <c r="H42" i="4"/>
  <c r="H80" i="4"/>
  <c r="H126" i="4"/>
  <c r="I126" i="4" s="1"/>
  <c r="H114" i="4"/>
  <c r="H78" i="4"/>
  <c r="H221" i="4"/>
  <c r="I221" i="4" s="1"/>
  <c r="H161" i="4"/>
  <c r="I161" i="4" s="1"/>
  <c r="H113" i="4"/>
  <c r="I113" i="4" s="1"/>
  <c r="H77" i="4"/>
  <c r="I77" i="4" s="1"/>
  <c r="H53" i="4"/>
  <c r="I53" i="4" s="1"/>
  <c r="H29" i="4"/>
  <c r="I29" i="4" s="1"/>
  <c r="H220" i="4"/>
  <c r="I220" i="4" s="1"/>
  <c r="H208" i="4"/>
  <c r="I208" i="4" s="1"/>
  <c r="H172" i="4"/>
  <c r="I172" i="4" s="1"/>
  <c r="H160" i="4"/>
  <c r="I160" i="4" s="1"/>
  <c r="H136" i="4"/>
  <c r="I136" i="4" s="1"/>
  <c r="H112" i="4"/>
  <c r="I112" i="4" s="1"/>
  <c r="H100" i="4"/>
  <c r="I100" i="4" s="1"/>
  <c r="H88" i="4"/>
  <c r="I88" i="4" s="1"/>
  <c r="H64" i="4"/>
  <c r="I64" i="4" s="1"/>
  <c r="H40" i="4"/>
  <c r="I40" i="4" s="1"/>
  <c r="H28" i="4"/>
  <c r="I28" i="4" s="1"/>
  <c r="H231" i="4"/>
  <c r="I231" i="4" s="1"/>
  <c r="H219" i="4"/>
  <c r="H207" i="4"/>
  <c r="I207" i="4" s="1"/>
  <c r="H195" i="4"/>
  <c r="I195" i="4" s="1"/>
  <c r="H171" i="4"/>
  <c r="I171" i="4" s="1"/>
  <c r="H123" i="4"/>
  <c r="H111" i="4"/>
  <c r="I111" i="4" s="1"/>
  <c r="H87" i="4"/>
  <c r="I87" i="4" s="1"/>
  <c r="H75" i="4"/>
  <c r="I75" i="4" s="1"/>
  <c r="H63" i="4"/>
  <c r="I63" i="4" s="1"/>
  <c r="H51" i="4"/>
  <c r="I51" i="4" s="1"/>
  <c r="H39" i="4"/>
  <c r="I39" i="4" s="1"/>
  <c r="H170" i="4"/>
  <c r="I170" i="4" s="1"/>
  <c r="H122" i="4"/>
  <c r="I122" i="4" s="1"/>
  <c r="H86" i="4"/>
  <c r="I86" i="4" s="1"/>
  <c r="H38" i="4"/>
  <c r="H229" i="4"/>
  <c r="I229" i="4" s="1"/>
  <c r="H169" i="4"/>
  <c r="I169" i="4" s="1"/>
  <c r="H157" i="4"/>
  <c r="I157" i="4" s="1"/>
  <c r="H121" i="4"/>
  <c r="I121" i="4" s="1"/>
  <c r="H37" i="4"/>
  <c r="I37" i="4" s="1"/>
  <c r="H25" i="4"/>
  <c r="I25" i="4" s="1"/>
  <c r="H228" i="4"/>
  <c r="I228" i="4" s="1"/>
  <c r="H216" i="4"/>
  <c r="I216" i="4" s="1"/>
  <c r="H204" i="4"/>
  <c r="I204" i="4" s="1"/>
  <c r="H168" i="4"/>
  <c r="H144" i="4"/>
  <c r="I144" i="4" s="1"/>
  <c r="H108" i="4"/>
  <c r="H84" i="4"/>
  <c r="H72" i="4"/>
  <c r="I72" i="4" s="1"/>
  <c r="H60" i="4"/>
  <c r="H48" i="4"/>
  <c r="I48" i="4" s="1"/>
  <c r="H24" i="4"/>
  <c r="I24" i="4" s="1"/>
  <c r="H12" i="4"/>
  <c r="I12" i="4" s="1"/>
  <c r="H59" i="4"/>
  <c r="I59" i="4" s="1"/>
  <c r="I35" i="4"/>
  <c r="I107" i="4"/>
  <c r="I131" i="4"/>
  <c r="I203" i="4"/>
  <c r="I11" i="4"/>
  <c r="I179" i="4"/>
  <c r="I62" i="4"/>
  <c r="I14" i="4"/>
  <c r="I38" i="4"/>
  <c r="I47" i="4"/>
  <c r="I17" i="4"/>
  <c r="I27" i="4"/>
  <c r="I147" i="4"/>
  <c r="I65" i="4"/>
  <c r="I209" i="4"/>
  <c r="I49" i="4"/>
  <c r="I73" i="4"/>
  <c r="I101" i="4"/>
  <c r="I125" i="4"/>
  <c r="I173" i="4"/>
  <c r="I197" i="4"/>
  <c r="I43" i="4"/>
  <c r="I115" i="4"/>
  <c r="I19" i="4"/>
  <c r="I61" i="4"/>
  <c r="I85" i="4"/>
  <c r="I93" i="4"/>
  <c r="I117" i="4"/>
  <c r="I133" i="4"/>
  <c r="I141" i="4"/>
  <c r="I165" i="4"/>
  <c r="I181" i="4"/>
  <c r="I189" i="4"/>
  <c r="I205" i="4"/>
  <c r="I213" i="4"/>
  <c r="I139" i="4"/>
  <c r="I46" i="4"/>
  <c r="I70" i="4"/>
  <c r="I94" i="4"/>
  <c r="I102" i="4"/>
  <c r="I142" i="4"/>
  <c r="I166" i="4"/>
  <c r="I190" i="4"/>
  <c r="I222" i="4"/>
  <c r="I22" i="4"/>
  <c r="I163" i="4"/>
  <c r="I67" i="4"/>
  <c r="I45" i="4"/>
  <c r="I7" i="4"/>
  <c r="I31" i="4"/>
  <c r="I55" i="4"/>
  <c r="I79" i="4"/>
  <c r="I103" i="4"/>
  <c r="I110" i="4"/>
  <c r="I134" i="4"/>
  <c r="I158" i="4"/>
  <c r="I206" i="4"/>
  <c r="I145" i="4"/>
  <c r="I193" i="4"/>
  <c r="I127" i="4"/>
  <c r="I151" i="4"/>
  <c r="I95" i="4"/>
  <c r="I119" i="4"/>
  <c r="I143" i="4"/>
  <c r="I57" i="4"/>
  <c r="I9" i="4"/>
  <c r="I174" i="4"/>
  <c r="I198" i="4"/>
  <c r="I83" i="4"/>
  <c r="I227" i="4"/>
  <c r="I33" i="4"/>
  <c r="I212" i="4"/>
  <c r="I84" i="4"/>
  <c r="I128" i="4"/>
  <c r="I176" i="4"/>
  <c r="I200" i="4"/>
  <c r="I224" i="4"/>
  <c r="I42" i="4"/>
  <c r="I66" i="4"/>
  <c r="I90" i="4"/>
  <c r="I114" i="4"/>
  <c r="I138" i="4"/>
  <c r="I186" i="4"/>
  <c r="I210" i="4"/>
  <c r="I36" i="4"/>
  <c r="I167" i="4"/>
  <c r="I191" i="4"/>
  <c r="I215" i="4"/>
  <c r="I20" i="4"/>
  <c r="I4" i="4"/>
  <c r="I52" i="4"/>
  <c r="I76" i="4"/>
  <c r="I81" i="4"/>
  <c r="I124" i="4"/>
  <c r="I129" i="4"/>
  <c r="I148" i="4"/>
  <c r="I177" i="4"/>
  <c r="I196" i="4"/>
  <c r="I201" i="4"/>
  <c r="I225" i="4"/>
  <c r="I60" i="4"/>
  <c r="I180" i="4"/>
  <c r="I8" i="4"/>
  <c r="I116" i="4"/>
  <c r="F13" i="5"/>
  <c r="I80" i="4"/>
  <c r="I44" i="4"/>
  <c r="I32" i="4"/>
  <c r="I104" i="4"/>
  <c r="I96" i="4"/>
  <c r="I120" i="4"/>
  <c r="I168" i="4"/>
  <c r="I192" i="4"/>
  <c r="I92" i="4"/>
  <c r="I164" i="4"/>
  <c r="I188" i="4"/>
  <c r="I108" i="4"/>
  <c r="I156" i="4"/>
  <c r="I56" i="4"/>
  <c r="I152" i="4"/>
  <c r="I5" i="4"/>
  <c r="I34" i="4"/>
  <c r="I58" i="4"/>
  <c r="I82" i="4"/>
  <c r="I154" i="4"/>
  <c r="I178" i="4"/>
  <c r="I68" i="4"/>
  <c r="I140" i="4"/>
  <c r="I132" i="4"/>
  <c r="I15" i="4"/>
  <c r="I135" i="4"/>
  <c r="I159" i="4"/>
  <c r="I16" i="4"/>
  <c r="I184" i="4"/>
  <c r="I232" i="4"/>
  <c r="I2" i="4"/>
  <c r="I26" i="4"/>
  <c r="I50" i="4"/>
  <c r="I69" i="4"/>
  <c r="I74" i="4"/>
  <c r="I146" i="4"/>
  <c r="I6" i="4"/>
  <c r="I106" i="4"/>
  <c r="I149" i="4"/>
  <c r="I211" i="4"/>
  <c r="I230" i="4"/>
  <c r="I54" i="4"/>
  <c r="I78" i="4"/>
  <c r="I183" i="4"/>
  <c r="I202" i="4"/>
  <c r="I175" i="4"/>
  <c r="I218" i="4"/>
  <c r="I99" i="4"/>
  <c r="I199" i="4"/>
  <c r="I223" i="4"/>
  <c r="I30" i="4"/>
  <c r="I98" i="4"/>
  <c r="I130" i="4"/>
  <c r="I162" i="4"/>
  <c r="I194" i="4"/>
  <c r="I226" i="4"/>
  <c r="I3" i="4"/>
  <c r="I21" i="4"/>
  <c r="I71" i="4"/>
  <c r="I89" i="4"/>
  <c r="I153" i="4"/>
  <c r="I185" i="4"/>
  <c r="I217" i="4"/>
  <c r="I18" i="4"/>
  <c r="I118" i="4"/>
  <c r="I150" i="4"/>
  <c r="I182" i="4"/>
  <c r="I214" i="4"/>
  <c r="I23" i="4"/>
  <c r="I41" i="4"/>
  <c r="I91" i="4"/>
  <c r="I123" i="4"/>
  <c r="I155" i="4"/>
  <c r="I187" i="4"/>
  <c r="I219" i="4"/>
  <c r="I105" i="4"/>
  <c r="I137" i="4"/>
  <c r="E7" i="5"/>
  <c r="F7" i="5"/>
  <c r="I109" i="4"/>
  <c r="E13" i="5"/>
  <c r="E16" i="5"/>
  <c r="I97" i="4"/>
  <c r="E8" i="5"/>
  <c r="F14" i="5"/>
  <c r="E14" i="5"/>
  <c r="F10" i="5"/>
  <c r="F16" i="5"/>
  <c r="C7" i="6" s="1"/>
  <c r="F4" i="5"/>
  <c r="E5" i="5"/>
  <c r="E11" i="5"/>
  <c r="F5" i="5"/>
  <c r="F11" i="5"/>
  <c r="E6" i="5"/>
  <c r="E12" i="5"/>
  <c r="F6" i="5"/>
  <c r="F12" i="5"/>
  <c r="F8" i="5"/>
  <c r="E9" i="5"/>
  <c r="E15" i="5"/>
  <c r="F3" i="5"/>
  <c r="F9" i="5"/>
  <c r="F15" i="5"/>
  <c r="F2" i="5"/>
  <c r="E4" i="5"/>
  <c r="E10" i="5"/>
  <c r="G13" i="5" l="1"/>
  <c r="H13" i="5" s="1"/>
  <c r="G16" i="5"/>
  <c r="D7" i="6" s="1"/>
  <c r="E7" i="6" s="1"/>
  <c r="G2" i="5"/>
  <c r="H2" i="5" s="1"/>
  <c r="G15" i="5"/>
  <c r="H15" i="5" s="1"/>
  <c r="G12" i="5"/>
  <c r="H12" i="5" s="1"/>
  <c r="G10" i="5"/>
  <c r="H10" i="5" s="1"/>
  <c r="C3" i="6"/>
  <c r="C5" i="6"/>
  <c r="G5" i="5"/>
  <c r="H5" i="5" s="1"/>
  <c r="G11" i="5"/>
  <c r="H11" i="5" s="1"/>
  <c r="G14" i="5"/>
  <c r="H14" i="5" s="1"/>
  <c r="G3" i="5"/>
  <c r="H3" i="5" s="1"/>
  <c r="G7" i="5"/>
  <c r="H7" i="5" s="1"/>
  <c r="G8" i="5"/>
  <c r="H8" i="5" s="1"/>
  <c r="G4" i="5"/>
  <c r="H4" i="5" s="1"/>
  <c r="G9" i="5"/>
  <c r="H9" i="5" s="1"/>
  <c r="G6" i="5"/>
  <c r="H6" i="5" s="1"/>
  <c r="C6" i="6"/>
  <c r="C4" i="6"/>
  <c r="H16" i="5" l="1"/>
  <c r="E2" i="6"/>
  <c r="D6" i="6"/>
  <c r="E6" i="6" s="1"/>
  <c r="D4" i="6"/>
  <c r="E4" i="6" s="1"/>
  <c r="D3" i="6"/>
  <c r="E3" i="6" s="1"/>
  <c r="D5" i="6"/>
  <c r="E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tc={27BD2277-744D-4239-87A6-D10FCCA57D4E}</author>
    <author>tc={B069D835-3B36-4948-A410-A4A8E8872363}</author>
    <author>tc={9303B5DC-9298-4C6A-B870-EA02889341B1}</author>
    <author>tc={AED0774E-F65C-4A9D-869B-76E80C3BC1A0}</author>
    <author>tc={F0A1DB0C-732E-4B7E-A25B-CE4A3F15C761}</author>
  </authors>
  <commentList>
    <comment ref="J1" authorId="0" shapeId="0" xr:uid="{27BD2277-744D-4239-87A6-D10FCCA57D4E}">
      <text>
        <t>[Threaded comment]
Your version of Excel allows you to read this threaded comment; however, any edits to it will get removed if the file is opened in a newer version of Excel. Learn more: https://go.microsoft.com/fwlink/?linkid=870924
Comment:
    Valores referenciales modificables</t>
      </text>
    </comment>
    <comment ref="I26" authorId="1" shapeId="0" xr:uid="{B069D835-3B36-4948-A410-A4A8E8872363}">
      <text>
        <t>[Threaded comment]
Your version of Excel allows you to read this threaded comment; however, any edits to it will get removed if the file is opened in a newer version of Excel. Learn more: https://go.microsoft.com/fwlink/?linkid=870924
Comment:
    Condicional: Para una nueva instalación de relaves propuesta (podría ser ½  la ponderación en lugar de ⅓  dependiendo si la estructura es nueva, existente o si poseen ambas)</t>
      </text>
    </comment>
    <comment ref="I28" authorId="2" shapeId="0" xr:uid="{9303B5DC-9298-4C6A-B870-EA02889341B1}">
      <text>
        <t>[Threaded comment]
Your version of Excel allows you to read this threaded comment; however, any edits to it will get removed if the file is opened in a newer version of Excel. Learn more: https://go.microsoft.com/fwlink/?linkid=870924
Comment:
    Condicional: Para una nueva instalación de relaves propuesta (podría ser ½  la ponderación en lugar de ⅓  dependiendo si la estructura es nueva, existente o si poseen ambas)</t>
      </text>
    </comment>
    <comment ref="I70" authorId="3" shapeId="0" xr:uid="{AED0774E-F65C-4A9D-869B-76E80C3BC1A0}">
      <text>
        <t>[Threaded comment]
Your version of Excel allows you to read this threaded comment; however, any edits to it will get removed if the file is opened in a newer version of Excel. Learn more: https://go.microsoft.com/fwlink/?linkid=870924
Comment:
    Condicional: Para una nueva instalación de relaves propuesta (podría ser ⅓ la ponderación en lugar de ⅙ dependiendo si la estructura es nueva, existente o si poseen ambas)</t>
      </text>
    </comment>
    <comment ref="I73" authorId="4" shapeId="0" xr:uid="{F0A1DB0C-732E-4B7E-A25B-CE4A3F15C761}">
      <text>
        <t>[Threaded comment]
Your version of Excel allows you to read this threaded comment; however, any edits to it will get removed if the file is opened in a newer version of Excel. Learn more: https://go.microsoft.com/fwlink/?linkid=870924
Comment:
    Condicional: Para una nueva instalación de relaves propuesta (podría ser ⅓ la ponderación en lugar de ⅙ dependiendo si la estructura es nueva, existente o si poseen ambas)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<sst xmlns="http://schemas.openxmlformats.org/spreadsheetml/2006/main" count="4535" uniqueCount="1525">
  <si>
    <t>BD GISTM — Modelo por Principios (prototipo)</t>
  </si>
  <si>
    <t>Este archivo reestructura la base BD_GISTM.xlsx en un modelo relacional de 3 tablas para que el avance se calcule por Principio, permitiendo que un mismo documento aporte a varios Principios sin duplicar su información.</t>
  </si>
  <si>
    <t>Hoja</t>
  </si>
  <si>
    <t>Qué contiene / cómo se usa</t>
  </si>
  <si>
    <t>1. Documentos</t>
  </si>
  <si>
    <t>Un documento = una sola fila. Aquí editas estado, % avance, fechas, consultor, URL, etc. Nunca se repite.</t>
  </si>
  <si>
    <t>2. Criterios GISTM</t>
  </si>
  <si>
    <t>Catálogo fijo del estándar: Tema &gt; Principio &gt; Requisito &gt; Criterio, con su ponderación. No cambia por proyecto.</t>
  </si>
  <si>
    <t>3. Documento_x_Criterio</t>
  </si>
  <si>
    <t>Tabla puente: una fila por cada vínculo Documento-Criterio. Aquí es donde un documento puede aparecer varias veces si aporta a varios Principios. Incluye "% Contribución" para casos donde el documento cubre solo parcialmente un criterio.</t>
  </si>
  <si>
    <t>4. Avance por Principio</t>
  </si>
  <si>
    <r>
      <t>Calculado automáticamente con fórmulas (</t>
    </r>
    <r>
      <rPr>
        <sz val="10"/>
        <color rgb="FF0070C0"/>
        <rFont val="Arial"/>
        <family val="2"/>
      </rPr>
      <t>SUMIFS/SUMPRODUCT</t>
    </r>
    <r>
      <rPr>
        <sz val="10"/>
        <rFont val="Arial"/>
        <family val="2"/>
      </rPr>
      <t xml:space="preserve">) a partir de la tabla puente. </t>
    </r>
    <r>
      <rPr>
        <sz val="10"/>
        <color rgb="FFFF0000"/>
        <rFont val="Arial"/>
        <family val="2"/>
      </rPr>
      <t>No se edita a mano.</t>
    </r>
  </si>
  <si>
    <t>5. Avance por Tema</t>
  </si>
  <si>
    <t>Mismo cálculo agregado a nivel de Tema.</t>
  </si>
  <si>
    <t>Cómo agregar un documento nuevo que cubre 2 Principios</t>
  </si>
  <si>
    <t>1) Agrega UNA fila en "Documentos" con sus datos (estado, % avance, etc.) y un ID_Documento nuevo.</t>
  </si>
  <si>
    <t>2) En "Documento_x_Criterio" agrega las filas (una por cada criterio al que aporta), usando el mismo ID_Documento y el ID_Criterio correspondiente.</t>
  </si>
  <si>
    <t>3) "Avance por Principio" se actualiza solo, sin tocar fórmulas.</t>
  </si>
  <si>
    <t>ID_Documento</t>
  </si>
  <si>
    <t>Documento</t>
  </si>
  <si>
    <t>Tipo Documento</t>
  </si>
  <si>
    <t>Código</t>
  </si>
  <si>
    <t>Estado</t>
  </si>
  <si>
    <t>% Avance Individual</t>
  </si>
  <si>
    <t>Consultor</t>
  </si>
  <si>
    <t>Área Responsable</t>
  </si>
  <si>
    <t>Fecha Iniciado</t>
  </si>
  <si>
    <t>Fecha RevA</t>
  </si>
  <si>
    <t>Fecha RevB</t>
  </si>
  <si>
    <t>Fecha Rev0</t>
  </si>
  <si>
    <t>Frecuencia (meses)</t>
  </si>
  <si>
    <t>Caducidad</t>
  </si>
  <si>
    <t>URL</t>
  </si>
  <si>
    <t>Compañía</t>
  </si>
  <si>
    <t>Depósito</t>
  </si>
  <si>
    <t>Capacidad</t>
  </si>
  <si>
    <t>Vida Útil</t>
  </si>
  <si>
    <t>D001</t>
  </si>
  <si>
    <t>Compromiso de DDHH</t>
  </si>
  <si>
    <t>Política</t>
  </si>
  <si>
    <t>GA-DOC-01-2024</t>
  </si>
  <si>
    <t>Consultor 1</t>
  </si>
  <si>
    <t>Sustentabilidad</t>
  </si>
  <si>
    <t>https://drive.google.com/drive/folders/1IaEo6qPMz_Vb8OOQY3e1RIre4Fj4qXZL?usp=drive_link</t>
  </si>
  <si>
    <t>Mining Company</t>
  </si>
  <si>
    <t>Embalse N°1</t>
  </si>
  <si>
    <t>2000 M Ton</t>
  </si>
  <si>
    <t>20 años</t>
  </si>
  <si>
    <t>D002</t>
  </si>
  <si>
    <t>Informe de Proceso de Debida Diligencia</t>
  </si>
  <si>
    <t>Informe</t>
  </si>
  <si>
    <t>-</t>
  </si>
  <si>
    <t>D003</t>
  </si>
  <si>
    <t>Nota Técnica No Afectación Pueblos Indígenas</t>
  </si>
  <si>
    <t>Nota Técnica</t>
  </si>
  <si>
    <t>D004</t>
  </si>
  <si>
    <t>Informe de Identificación de Grupos Potenciales Afectados</t>
  </si>
  <si>
    <t>Consultor 3</t>
  </si>
  <si>
    <t>D005</t>
  </si>
  <si>
    <t>Procedimiento de Comunicación</t>
  </si>
  <si>
    <t>Procedimiento</t>
  </si>
  <si>
    <t>D006</t>
  </si>
  <si>
    <t>Informe de Contexto Social, Económico y Ambiental</t>
  </si>
  <si>
    <t>Medio Ambiente</t>
  </si>
  <si>
    <t>D007</t>
  </si>
  <si>
    <t>Informe de Caracterización del Sitio</t>
  </si>
  <si>
    <t>D008</t>
  </si>
  <si>
    <t>Informe Análisis de Rotura de Presa (DBA)</t>
  </si>
  <si>
    <t>D009</t>
  </si>
  <si>
    <t>Informe Exposición y Vulnerabilidad</t>
  </si>
  <si>
    <t>D010</t>
  </si>
  <si>
    <t>Informe de Hidrología y Evaporación con Cambio Climático</t>
  </si>
  <si>
    <t>D011</t>
  </si>
  <si>
    <t>Informe de Análisis de Alternativas</t>
  </si>
  <si>
    <t>D012</t>
  </si>
  <si>
    <t>Procedimiento de Mejora continua</t>
  </si>
  <si>
    <t>D013</t>
  </si>
  <si>
    <t>Informe de impactos sociales, medioambientales y económicos</t>
  </si>
  <si>
    <t>D014</t>
  </si>
  <si>
    <t>Procedimiento de Gestión del Cambio</t>
  </si>
  <si>
    <t>D015</t>
  </si>
  <si>
    <t>Informe Clasificación por Consecuencia</t>
  </si>
  <si>
    <t>Consultor 2</t>
  </si>
  <si>
    <t>Operaciones</t>
  </si>
  <si>
    <t>D016</t>
  </si>
  <si>
    <t>Informe de Bases de Diseño</t>
  </si>
  <si>
    <t>D017</t>
  </si>
  <si>
    <t>Nota Técnica Pérdida Incremental</t>
  </si>
  <si>
    <t>D018</t>
  </si>
  <si>
    <t>Nota Técnica Análisis Multicriterio en TMS</t>
  </si>
  <si>
    <t>D019</t>
  </si>
  <si>
    <t>Informe Anual de Desempeño del Depósito</t>
  </si>
  <si>
    <t>D020</t>
  </si>
  <si>
    <t>Balance Hídrico</t>
  </si>
  <si>
    <t>D021</t>
  </si>
  <si>
    <t>Análisis FMEA</t>
  </si>
  <si>
    <t>D022</t>
  </si>
  <si>
    <t>Plan de cierre</t>
  </si>
  <si>
    <t>D023</t>
  </si>
  <si>
    <t>Reporte ALARP</t>
  </si>
  <si>
    <t>D024</t>
  </si>
  <si>
    <t>Nota Técnica Comunidades Aledañas</t>
  </si>
  <si>
    <t>D025</t>
  </si>
  <si>
    <t>Reporte de Registro de Construcción (CRR)</t>
  </si>
  <si>
    <t>D026</t>
  </si>
  <si>
    <t>Informe Verificación construcción contra intención de diseño (CDIV)</t>
  </si>
  <si>
    <t>D027</t>
  </si>
  <si>
    <t>Manual Articulador TMS</t>
  </si>
  <si>
    <t>Manual</t>
  </si>
  <si>
    <t>D028</t>
  </si>
  <si>
    <t>Manual Operación, Mantención y Vigilancia (OMS)</t>
  </si>
  <si>
    <t>D029</t>
  </si>
  <si>
    <t>Manual Sistema Gestión Medioambiental y Social</t>
  </si>
  <si>
    <t>D030</t>
  </si>
  <si>
    <t>Programa QA/QC</t>
  </si>
  <si>
    <t>D031</t>
  </si>
  <si>
    <t>Plan de Capacitaciones</t>
  </si>
  <si>
    <t>D032</t>
  </si>
  <si>
    <t>Informe de responsabilidad ante desviaciones (DAR)</t>
  </si>
  <si>
    <t>D033</t>
  </si>
  <si>
    <t xml:space="preserve">Programa de Monitoreo Integrado
</t>
  </si>
  <si>
    <t>D034</t>
  </si>
  <si>
    <t>Informes periódicos del EoR</t>
  </si>
  <si>
    <t>D035</t>
  </si>
  <si>
    <t>Plan de Respuesta de Acción Desencadenante (TARPS)</t>
  </si>
  <si>
    <t>D036</t>
  </si>
  <si>
    <t>Firma del EoR e Ingeniero responsable</t>
  </si>
  <si>
    <t>Registro</t>
  </si>
  <si>
    <t>Consultor 5</t>
  </si>
  <si>
    <t>D037</t>
  </si>
  <si>
    <t xml:space="preserve">Política de Relaves </t>
  </si>
  <si>
    <t>D038</t>
  </si>
  <si>
    <t>Procedimiento de Pago de Incentivos</t>
  </si>
  <si>
    <t>D039</t>
  </si>
  <si>
    <t>Manual de Roles y Responsabilidades</t>
  </si>
  <si>
    <t>D040</t>
  </si>
  <si>
    <t>Plan de sucesión</t>
  </si>
  <si>
    <t>D041</t>
  </si>
  <si>
    <t>Carta de asignación ITRB</t>
  </si>
  <si>
    <t>D042</t>
  </si>
  <si>
    <t xml:space="preserve">Nota Técnica Términos de Referencia (ToR)
</t>
  </si>
  <si>
    <t>D043</t>
  </si>
  <si>
    <t>Carta / Declaración de no conflicto de intereses.</t>
  </si>
  <si>
    <t>D044</t>
  </si>
  <si>
    <t>Carta de Asignación EoR</t>
  </si>
  <si>
    <t>D045</t>
  </si>
  <si>
    <t xml:space="preserve">Nota Técnica Incorporación de EoR
</t>
  </si>
  <si>
    <t>D046</t>
  </si>
  <si>
    <t>Carta de asignación DoR</t>
  </si>
  <si>
    <t>D047</t>
  </si>
  <si>
    <t>Programa para la Ingeniería de Registro</t>
  </si>
  <si>
    <t>D048</t>
  </si>
  <si>
    <t>Matriz Evaluación de Riesgos</t>
  </si>
  <si>
    <t>D049</t>
  </si>
  <si>
    <t xml:space="preserve">Informe de auditoría Interna
</t>
  </si>
  <si>
    <t>D050</t>
  </si>
  <si>
    <t>Actualización Dam Safety Review (DSR)</t>
  </si>
  <si>
    <t>Consultor 4</t>
  </si>
  <si>
    <t>D051</t>
  </si>
  <si>
    <t>Informe de ITRB</t>
  </si>
  <si>
    <t>D052</t>
  </si>
  <si>
    <t>Procedimiento de Involucramiento del Personal</t>
  </si>
  <si>
    <t>D053</t>
  </si>
  <si>
    <t>Procedimiento de Gestión de Conocimiento</t>
  </si>
  <si>
    <t>D054</t>
  </si>
  <si>
    <t>Procedimiento Gestión de Denuncias</t>
  </si>
  <si>
    <t>D055</t>
  </si>
  <si>
    <t>Plan de Preparación y Respuesta ante Emergencia (EPRP)</t>
  </si>
  <si>
    <t>HSEC</t>
  </si>
  <si>
    <t>D056</t>
  </si>
  <si>
    <t>Plan de Recuperación a Largo Plazo</t>
  </si>
  <si>
    <t>D057</t>
  </si>
  <si>
    <t>Informe Recopilatorio de Divulgación Pública</t>
  </si>
  <si>
    <t>Relaciones Comunitarias</t>
  </si>
  <si>
    <t>D058</t>
  </si>
  <si>
    <t>Procedimiento Gestión de Información Pública</t>
  </si>
  <si>
    <t>ID_Criterio</t>
  </si>
  <si>
    <t>Tema</t>
  </si>
  <si>
    <t>Nombre Tema</t>
  </si>
  <si>
    <t>Principio</t>
  </si>
  <si>
    <t>Descripción Principio</t>
  </si>
  <si>
    <t>Requisito</t>
  </si>
  <si>
    <t>Descripción Requisito</t>
  </si>
  <si>
    <t>Criterio</t>
  </si>
  <si>
    <t>Descripción Criterio</t>
  </si>
  <si>
    <t>Ponderación</t>
  </si>
  <si>
    <t>C001</t>
  </si>
  <si>
    <t>I</t>
  </si>
  <si>
    <t>COMUNIDADES AFECTADAS</t>
  </si>
  <si>
    <t>Principio 01</t>
  </si>
  <si>
    <t>Respetar los derechos de las personas afectadas por el proyecto y lograr su participación significativa en todas las fases del ciclo de vida de las instalaciones de relaves, incluido su cierre.</t>
  </si>
  <si>
    <t>Requisito 01.1</t>
  </si>
  <si>
    <t>Requisito 01.1 Demostrar respeto por los derechos humanos en cumplimiento con los Principios Guía de las Naciones Unidas sobre Empresas, realizar la debida diligencia de los derechos humanos para informar las decisiones de gestión a lo largo del ciclo de vida de la instalación de relaves y abordar los riesgos de los derechos humanos en los escenarios de falla creíbles en la instalación de relaves. Para las instalaciones existentes, el Operador puede optar inicialmente por priorizar las cuestiones de los derechos humanos más importantes de acuerdo al UNGP.</t>
  </si>
  <si>
    <t xml:space="preserve"> 1.1 - A</t>
  </si>
  <si>
    <t xml:space="preserve"> 1.1 - A El Operador tiene una política de compromiso para respetar los derechos humanos de acuerdo al UNGP.</t>
  </si>
  <si>
    <t>C002</t>
  </si>
  <si>
    <t xml:space="preserve"> 1.1 - B</t>
  </si>
  <si>
    <t xml:space="preserve"> 1.1 - B El Operador ha realizado el proceso de diligencias de derechos humanos específicas al sitio para informarlas decisiones de gestión a través del ciclo de vida de los relaves.</t>
  </si>
  <si>
    <t>C003</t>
  </si>
  <si>
    <t xml:space="preserve"> 1.1 - C</t>
  </si>
  <si>
    <t xml:space="preserve"> 1.1 - C El Operador ha abordado los riesgos a los derechos humanos de los escenarios de falla creíbles de la instalación de relaves donde aquellos escenarios existan para tal instalación.</t>
  </si>
  <si>
    <t>C004</t>
  </si>
  <si>
    <t>Requisito 01.2</t>
  </si>
  <si>
    <t>Requisito 01.2 Donde una nueva instalación de relaves puede impactar los derechos de pueblos indígenas o tribales, incluida sus tierras y derechos a los recursos y su derecho a la libre determinación, trabajar para obtener y mantener un Consentimiento Libre, Previo e Informado (CLPI) al demostrar conformidad con la guía internacional y con el marco de las mejores prácticas reconocidas.</t>
  </si>
  <si>
    <t xml:space="preserve"> 1.2 - A</t>
  </si>
  <si>
    <t xml:space="preserve"> 1.2 - A El Operador ha identificado los grupos indígenas o tribales que puedan verse afectados por una nueva instalación de relaves, y entiende como los derechos de estas personas pueden verse impactados, incluyendo sus tierras y derechos a los recursos y su derecho a la libre determinación. </t>
  </si>
  <si>
    <t>C005</t>
  </si>
  <si>
    <t xml:space="preserve"> 1.2 - B</t>
  </si>
  <si>
    <t xml:space="preserve"> 1.2 - B El Operador trabaja para obtener y mantener el CLPI por parte de los grupos indígenas o tribales, en cumplimiento con la guía internacional y marco de las mejores prácticas reconocidas. </t>
  </si>
  <si>
    <t>C006</t>
  </si>
  <si>
    <t>Requisito 01.3</t>
  </si>
  <si>
    <t>Requisito 01.3 Demostrar que las personas afectadas por el proyecto participan de forma significativa a lo largo del ciclo de vida de la instalación de relaves en la construcción de la base de conocimientos que puedan influir en la seguridad pública e integridad de la instalación de relaves. El Operador deberá compartir información para respaldar este proceso</t>
  </si>
  <si>
    <t xml:space="preserve"> 1.3 - A</t>
  </si>
  <si>
    <t xml:space="preserve"> 1.3 - A El Operador ha identificado a los grupos afectados por el proyecto.</t>
  </si>
  <si>
    <t>C007</t>
  </si>
  <si>
    <t xml:space="preserve"> 1.3 - B</t>
  </si>
  <si>
    <t xml:space="preserve"> 1.3 - B El Operador ha asumido un compromiso significativo con los grupos afectados por el proyecto a través del ciclo de vida de la instalación de relaves para: - Compartir información relevante y accesible sobre la instalación de relaves; - Construir la base de conocimientos para la instalación de relaves, incluyendo el contexto social, medioambiental y económico local; y, - Buscar retroalimentación en las decisiones que pueden tener relación con la seguridad pública y la integridad de la instalación de relaves. </t>
  </si>
  <si>
    <t>C008</t>
  </si>
  <si>
    <t>Requisito 01.4</t>
  </si>
  <si>
    <t>Requisito 01.4 Establecer un mecanismo de reclamos no judicial eficaz a nivel operativo que aborde las quejas y agravios de las personas afectadas por el proyecto relacionado a la instalación de relaves, y proporcionar una solución acorde al UNGP</t>
  </si>
  <si>
    <t xml:space="preserve"> 1.4 - A</t>
  </si>
  <si>
    <t xml:space="preserve"> 1.4 - A Se desarrolló e implementó un mecanismo de reclamos accesible y eficaz a nivel operativo para personas afectadas por el proyecto. </t>
  </si>
  <si>
    <t>C009</t>
  </si>
  <si>
    <t>Requisito 01.5</t>
  </si>
  <si>
    <t>Requisito 01.5 Establecer un mecanismo de reclamos no judicial eficaz a nivel operativo que aborde las quejas y agravios de las personas afectadas por el proyecto relacionado a la instalación de relaves, y proporcionar una solución acorde al UNGP</t>
  </si>
  <si>
    <t xml:space="preserve"> 1.4 - B</t>
  </si>
  <si>
    <t xml:space="preserve"> 1.4 - B El mecanismo de reclamos abarca quejas y agravios de las personas afectadas por el proyecto relacionado a la instalación de relaves. </t>
  </si>
  <si>
    <t>C010</t>
  </si>
  <si>
    <t xml:space="preserve"> 1.4 - C</t>
  </si>
  <si>
    <t xml:space="preserve"> 1.4 - C El mecanismo de reclamos brinda soluciones de acuerdo a las UNGPs 29-31. </t>
  </si>
  <si>
    <t>C011</t>
  </si>
  <si>
    <t>II</t>
  </si>
  <si>
    <t>BASE DE CONOCIMIENTOS INTEGRADA</t>
  </si>
  <si>
    <t>Principio 02</t>
  </si>
  <si>
    <t xml:space="preserve"> Elaborar y mantener una base de conocimientos interdisciplinaria para respaldar la gestión de los relaves durante todo su ciclo de vida, incluido su cierre.</t>
  </si>
  <si>
    <t>Requisito 02.1</t>
  </si>
  <si>
    <t>Requisito 02.1 Desarrollar y documentar conocimientos sobre el contexto social, medioambiental y económico local de la instalación de relaves, utilizando métodos alineados con las mejores prácticas internacionales. Actualizar este conocimiento por lo menos cada cinco años, y cada vez haya un cambio material, ya sea en la instalación este conocimiento por lo menos cada cinco años, y cada vez haya un cambio material, ya sea en la instalación de relaves o en el contexto social, medioambiental o económico local. Este conocimiento debe capturar las incertidumbres debidas al cambio climático.</t>
  </si>
  <si>
    <t xml:space="preserve"> 2.1 - A</t>
  </si>
  <si>
    <t xml:space="preserve"> 2.1  - A El Operador ha documentado el contexto social, medioambiental y económico específico del sitio con respecto a su instalación de relaves. </t>
  </si>
  <si>
    <t>C012</t>
  </si>
  <si>
    <t xml:space="preserve"> 2.1 - B</t>
  </si>
  <si>
    <t xml:space="preserve"> 2.1  - B Evalúa las incertidumbres asociadas s al cambio climático que pueda impactar la seguridad de la instalación de relaves (véase también requisito GISTM 3.1) </t>
  </si>
  <si>
    <t>C013</t>
  </si>
  <si>
    <t xml:space="preserve"> 2.1 - C</t>
  </si>
  <si>
    <t xml:space="preserve"> 2.1  - C El Operador actualiza la información descrita arriba en un intervalo de por lo menos cinco años, y cada vez que haya un cambio material en la instalación de relaves o relacionado al contexto ambiental, social o económico. </t>
  </si>
  <si>
    <t>C014</t>
  </si>
  <si>
    <t>Requisito 02.2</t>
  </si>
  <si>
    <t>Requisito 02.2 Preparar, documentar y actualizar una caracterización del sitio detallada de la (las) instalación(es) de relaves que incluyan datos sobre el clima, geomorfología, geología, geoquímica, hidrología e hidrogeología (flujo y calidad de aguas superficiales y de subsuelo), geotécnicos y sísmicos. Las propiedades químicas y físicas del relave serán caracterizadas y actualizadas con regularidad para tomar en cuenta la variabilidad de las propiedades y procesamiento del mineral</t>
  </si>
  <si>
    <t xml:space="preserve"> 2.2 - A</t>
  </si>
  <si>
    <t xml:space="preserve"> 2.2 - A Existe una caracterización detallada1 del(los) sitio(s) de la instalación de relaves y se actualiza según se justifica a través del ciclo de vida, para reflejar los cambios materiales en las condiciones y nuevos conocimientos. </t>
  </si>
  <si>
    <t>C015</t>
  </si>
  <si>
    <t xml:space="preserve"> 2.2 - B</t>
  </si>
  <si>
    <t xml:space="preserve"> 2.2 - B La caracterización del sitio es respaldada por datos incluyendo datos en clima, geomorfología, geología, geoquímica, hidrología, hidrogeología (flujo y calidad de aguas superficiales y subsuelo), geotécnicos y sísmicos). </t>
  </si>
  <si>
    <t>C016</t>
  </si>
  <si>
    <t xml:space="preserve"> 2.2 - C</t>
  </si>
  <si>
    <t xml:space="preserve"> 2.2 - C Existe una caracterización de relaves, considerando las propiedades físicas y geoquímicas, y se actualizan a lo largo del ciclo de vida para tomar en cuenta la variabilidad en las propiedades y el procesamiento del mineral y la deposición de relaves. </t>
  </si>
  <si>
    <t>C017</t>
  </si>
  <si>
    <t>Requisito 02.3</t>
  </si>
  <si>
    <t xml:space="preserve">Requisito 02.3 Desarrollar y documentar un análisis de brechas para la instalación de relaves, utilizando una metodología que considere modelos de falla creíble, condiciones del sitio, y las propiedades de las lamas. Los resultados del análisis estimarán el área física impactada por una falla potencial. Cuando materiales fluidos (agua o sólidos licuables) estén presentes en una instalación de relaves con una Clasificación de Consecuencias "Altas", "Muy Altas" o "Extremas", los resultados deben incluir estimados del área física impactada por la falla potencial, tiempos de llegada de flujo, profundidad y velocidades, y profundidad de la deposición de material. Actualizar cuando se dé un cambio material, ya sea a la instalación de relaves o al área física impactada. </t>
  </si>
  <si>
    <t xml:space="preserve"> 2.3 - A</t>
  </si>
  <si>
    <t xml:space="preserve"> 2.3 - A Donde una instalación de relaves tiene un modelo/escenario de falla creíble1, hay un análisis de brecha documentado para la instalación de relaves, utilizando una metodología que considere los modelos de falla creíbles, condiciones del sitio y propiedades de los relaves. </t>
  </si>
  <si>
    <t>C018</t>
  </si>
  <si>
    <t xml:space="preserve"> 2.3 - B</t>
  </si>
  <si>
    <t xml:space="preserve"> 2.3 - B El área física potencialmente afectada por una falla es estimada y definida.</t>
  </si>
  <si>
    <t>C019</t>
  </si>
  <si>
    <t xml:space="preserve"> 2.3 - C</t>
  </si>
  <si>
    <t xml:space="preserve"> 2.3 - C Para las instalaciones con escenarios de falla creíbles involucrando materiales fluidos (agua y sólidos licuables) y con una clasificación de consecuencias de “Altas”, “Muy Altas” o “Extremas”, se estiman los tiempos de llegada de flujo, profundidades de flujo, velocidades de flujo y profundidad del material depositado. </t>
  </si>
  <si>
    <t>C020</t>
  </si>
  <si>
    <t xml:space="preserve"> 2.3 - D</t>
  </si>
  <si>
    <t xml:space="preserve"> 2.3 - D Para las instalaciones que cumplen con las condiciones a, b y c, el análisis de brecha se completa/ actualiza si se da un cambio material 1 en la instalación de relaves o a la base de conocimientos que resulte en un escenario de falla creíble que pueda llevar a una falla de flujo. </t>
  </si>
  <si>
    <t>C021</t>
  </si>
  <si>
    <t>Requisito 02.4</t>
  </si>
  <si>
    <t xml:space="preserve">Requisito 02.4 Para poder identificar los grupos de mayor riesgo, referirse al análisis de brechas actualizado de la instalación de relaves para evaluar y documentar la exposición y vulnerabilidad humana a los escenarios de falla creíble de la instalación de relaves. Actualizar la evaluación cuando se dé un cambio material, ya sea en la instalación de relaves o en la base del conocimiento </t>
  </si>
  <si>
    <t xml:space="preserve"> 2.4 - A</t>
  </si>
  <si>
    <t xml:space="preserve"> 2.4 - A Se identifican los grupos de mayor riesgo, considerando el análisis de brechas para aquellas instalaciones con escenarios de fallas creíbles según el Requisito 2.3. </t>
  </si>
  <si>
    <t>C022</t>
  </si>
  <si>
    <t xml:space="preserve"> 2.4 - B</t>
  </si>
  <si>
    <t xml:space="preserve"> 2.4 - B Se documenta la exposición y vulnerabilidad humana potencial de los escenarios de fallas creíbles de la instalación de relaves. </t>
  </si>
  <si>
    <t>C023</t>
  </si>
  <si>
    <t xml:space="preserve"> 2.4 - C</t>
  </si>
  <si>
    <t xml:space="preserve"> 2.4 - C La evaluación de la exposición y vulnerabilidad humana se actualiza si es que se da un cambio material 1 a la credibilidad de la falla de flujo potencial y su correspondiente análisis de brecha o base del conocimiento. </t>
  </si>
  <si>
    <t>C024</t>
  </si>
  <si>
    <t>Principio 03</t>
  </si>
  <si>
    <t>Utilizar los elementos de la base de conocimientos – sociales, ambientales, de la economía local y técnicos – con el fin de informar las decisiones durante el ciclo de vida de la instalación de relaves, incluido su cierre</t>
  </si>
  <si>
    <t>Requisito 03.1</t>
  </si>
  <si>
    <t xml:space="preserve">Requisito 03.1 Para mejorar la resistencia al cambio climático, evaluar, actualizar con regularidad y utilizar conocimientos del cambio climático a través del ciclo de vida de la instalación de relaves de acuerdo a los principios de la Gestión Adaptativa. </t>
  </si>
  <si>
    <t xml:space="preserve"> 3.1 - A</t>
  </si>
  <si>
    <t xml:space="preserve"> 3.1 - A Para mejorar la resistencia, se actualiza con regularidad el conocimiento sobre el cambio climático y se usa para evaluar los riesgos y oportunidades para el ciclo de vida de la instalación de relaves, en cumplimiento con los principios de gestión adaptativa, con la meta de mejorar la resistencia al cambio climático. </t>
  </si>
  <si>
    <t>C025</t>
  </si>
  <si>
    <t>Requisito 03.2</t>
  </si>
  <si>
    <t xml:space="preserve">Requisito 03.2 Para nuevas instalaciones de relaves, el Operador deberá utilizar la base de conocimientos y realizará un análisis de alternativas de criterio múltiple de todos los sitios, tecnologías y estrategias factibles para la gestión de relaves. El objetivo de este análisis será de: (i) seleccionar una alternativa que minimice los riesgos a las personas y medioambiente durante el ciclo de vida de la instalación de relaves, y (ii) minimiza el volumen de aguas y relaves colocados en instalaciones de relaves externas. Este análisis será un análisis objetivo de restricciones que será revisado por la Junta de Revisión Independiente de Relaves (ITRB) o un revisor técnico superior independiente. Para las instalaciones de relaves existentes, el Operador deberá revisar y refinar periódicamente las tecnologías y diseños de relaves, y las estrategias de gestión para minimizar riesgos y mejorar resultados medioambientales. Se aplicaría una excepción a las instalaciones que se demuestren estar en un estado de cierre seguro. </t>
  </si>
  <si>
    <t xml:space="preserve"> 3.2 - A</t>
  </si>
  <si>
    <t xml:space="preserve"> 3.2 A Para las nuevas instalaciones de relaves, un Análisis de Alternativas1 se realiza para examinar sitios, tecnologías y estrategias factibles para el tratamiento de relaves durante el ciclo de vida, que busca minimizar: - riesgos a las personas y medio ambiente; - volumen de relaves y aguas almacenados en instalaciones superficiales. </t>
  </si>
  <si>
    <t>C026</t>
  </si>
  <si>
    <t xml:space="preserve"> 3.2 - B</t>
  </si>
  <si>
    <t xml:space="preserve"> 3.2 B Para instalaciones existentes que no estén en un estado de cierre seguro, hay revisiones periódicas de las tecnologías, diseños y estrategias de tratamiento de relaves, y evaluaciones del potencial para implementar mejoras que surjan de las revisiones. </t>
  </si>
  <si>
    <t>C027</t>
  </si>
  <si>
    <t xml:space="preserve"> 3.2 - C</t>
  </si>
  <si>
    <t xml:space="preserve"> 3.2 C Para las nuevas instalaciones, el análisis es revisado por el ITRB o un revisor técnico superior independiente. </t>
  </si>
  <si>
    <t>C028</t>
  </si>
  <si>
    <t>Requisito 03.3</t>
  </si>
  <si>
    <t xml:space="preserve">Requisito 03.3 Para las nuevas instalaciones de relaves, utilizar la base de conocimientos, incluyendo la incertidumbre debida al cambio climático para evaluar los impactos sociales, medioambientales y económicos locales de la instalación de relaves y su falla potencial a lo largo de su ciclo de vida. Donde las evaluaciones de impacto predicen impactos materiales agudos o crónicos, el Operador deberá desarrollar, documentar e implementar planes de mitigación y gestión usando la jerarquía de mitigación. </t>
  </si>
  <si>
    <t xml:space="preserve"> 3.3 - A</t>
  </si>
  <si>
    <t xml:space="preserve"> 3.3 - A Se realizan las evaluaciones de impacto medioambiental, social y económico locales y se informan a la base de conocimiento existente. </t>
  </si>
  <si>
    <t>C029</t>
  </si>
  <si>
    <t xml:space="preserve"> 3.3 - B</t>
  </si>
  <si>
    <t xml:space="preserve"> 3.3 - B Las evaluaciones ambientales, sociales y económico locales demuestran que las incertidumbres son consideradas en la evaluación de la vida de los impactos de las instalaciones de relaves y si hay algún potencial para una falla creíble a lo largo del ciclo de vida de la instalación de relaves. </t>
  </si>
  <si>
    <t>C030</t>
  </si>
  <si>
    <t xml:space="preserve"> 3.3 - C</t>
  </si>
  <si>
    <t xml:space="preserve"> 3.3 - C Medidas y planes de mitigación y gestión son desarrollados, documentados e implementados para abarcar los impactos materiales crónicos y agudos. </t>
  </si>
  <si>
    <t>C031</t>
  </si>
  <si>
    <t xml:space="preserve"> 3.3 - D</t>
  </si>
  <si>
    <t xml:space="preserve"> 3.3 - D Los planes de gestión se basan en los principios y prácticas de una jerarquía de mitigación y planes de gestión para la instalación de relaves y se actualizan a lo largo del ciclo de vida de la instalación de relaves. </t>
  </si>
  <si>
    <t>C032</t>
  </si>
  <si>
    <t>Requisito 03.4</t>
  </si>
  <si>
    <t xml:space="preserve">Requisito 03.4 Actualizar la evaluación de los impactos sociales, medioambientales y económicos locales para reflejar un cambio material ya sea para la instalación de relaves o para el contexto social, medioambiental y económico local. Si nuevos datos indican que los impactos de la instalación de relaves han cambiado materialmente, incluso como el resultado de conocimiento del cambio climático o impactos a largo plazo, el Operador deberá actualizar la gestión de la instalación de relaves para reflejar los nuevos datos utilizando las mejores prácticas de Gestión Adaptativa. </t>
  </si>
  <si>
    <t xml:space="preserve"> 3.4 - A</t>
  </si>
  <si>
    <t xml:space="preserve"> 3.4 - A El cambio material como ha sido definido por el Operador es aplicado consistentemente para generar actualizaciones en las evaluaciones medioambientales, sociales y económicas de la instalación de relaves. </t>
  </si>
  <si>
    <t>C033</t>
  </si>
  <si>
    <t xml:space="preserve"> 3.4 - B</t>
  </si>
  <si>
    <t xml:space="preserve"> 3.4 - B Se actualiza la gestión de la instalación de relaves de acuerdo a las mejores prácticas de gestión adaptativa si nuevos datos (incluyendo conocimientos sobre cambio climático) indican que los impactos de la instalación de relaves han cambiado materialmente. </t>
  </si>
  <si>
    <t>C034</t>
  </si>
  <si>
    <t>III</t>
  </si>
  <si>
    <t>DISEÑO, CONSTRUCCIÓN, OPERACIÓN Y MONITOREO DE LAS INSTALACIONES DE RELAVES</t>
  </si>
  <si>
    <t>Principio 04</t>
  </si>
  <si>
    <t xml:space="preserve"> Desarrollar planes y criterios de diseño para la instalación de relaves con el fin de minimizar los riesgos para todas las fases del ciclo de vida, incluso el cierre y el post cierre.</t>
  </si>
  <si>
    <t>Requisito 04.1</t>
  </si>
  <si>
    <t xml:space="preserve">Requisito 04.1 Determinar la consecuencia de la clasificación de fallas de la instalación de relaves al evaluar las condiciones de aguas abajo documentadas en la base de conocimientos y seleccionar la clasificación correspondiente a la Clasificación de Consecuencias más elevada para cada categoría en el Anexo 2, Tabla 1. La evaluación y selección de la clasificación se hará en base a los modelos de falla creíbles, y debe ser defendible y documentado. </t>
  </si>
  <si>
    <t xml:space="preserve"> 4.1 - A</t>
  </si>
  <si>
    <t xml:space="preserve"> 4.1 - A Se determina la clasificación de consecuencias de fallas de instalaciones de relaves al evaluar las condiciones aguas abajo documentadas en la base de conocimientos y adopta: (i) la clasificación de consecuencias para el nivel más alto en cada categoría en el Anexo 2, Tabla 1, o (ii) un enfoque más conservador mediante la adopción de criterios de diseño de carga post-cierre “Extremos” en el Anexo 2. </t>
  </si>
  <si>
    <t>C035</t>
  </si>
  <si>
    <t xml:space="preserve"> 4.1 - B</t>
  </si>
  <si>
    <t xml:space="preserve"> 4.1 - B Para a(i) basar la evaluación y selección de la clasificación en modelos/escenarios de fallas creíbles. </t>
  </si>
  <si>
    <t>C036</t>
  </si>
  <si>
    <t xml:space="preserve"> 4.1 - C</t>
  </si>
  <si>
    <t xml:space="preserve"> 4.1 - C Documentar la evaluación y selección con evidencia defendible. </t>
  </si>
  <si>
    <t>C037</t>
  </si>
  <si>
    <t>Requisito 04.2</t>
  </si>
  <si>
    <t xml:space="preserve">Requisito 04.2 Con el objetivo de mantener flexibilidad en el desarrollo de una nueva instalación de relaves y optimizar costos mientras se da prioridad a la seguridad durante el ciclo de vida de la instalación de relaves.      a) Desarrollar diseños preliminares para la instalación de relaves con el criterio de carga de diseño externo consistente tanto con la clasificación de consecuencias de la falla en base a condiciones actuales y la Clasificación de Consecuencias mayor (incluyendo “Extrema”) -  b) Informado por la gama de requisitos definidos por los diseños preliminares, ya sea:  - Implementar el diseño para los criterios de carga de la Clasificación de Consecuencias “Extremas”; o  - Implementar el diseño para el criterio de Clasificación de Consecuencias actual o uno más elevado, y demostrar factibilidad, a nivel de prueba de concepto, para mejorar el diseño para que el criterio de clasificación “Extrema” se mantenga a lo largo del ciclo de vida de la instalación de relaves.  c) Si se implementa la opción B.2, revisar la clasificación de las consecuencias de la falla al momento de la Revisión de Seguridad de Represas (RSR) y por lo menos cada cinco años, o más pronto si se da un cambio material en el contexto social, medioambiental y económico local, y completar la actualización de la instalación de relaves acorde a la nueva Clasificación de Consecuencias según lo determinado por la RSR dentro de tres años. Esta revisión procederá hasta que la instalación de relaves haya sido cerrada de forma segura de acuerdo a este Estándar. d) El proceso descrito anteriormente será revisado por la Junta de Revisión de Relaves Independiente (ITRB) o el revisor técnico senior independiente, como sea adecuado para la Clasificación de Consecuencias de la instalación de relaves.     Sujeto al Requisito 4.7, los Requisitos 4.2c y 4.2 también serán aplicados a instalaciones de relaves existentes. </t>
  </si>
  <si>
    <t xml:space="preserve"> 4.2 - A</t>
  </si>
  <si>
    <t xml:space="preserve"> 4.2 - A Se preparan diseños preliminares para la instalación de relaves, con consideración de las etapas del ciclo de vida, utilizando criterios de carga de diseños externos consistentes con la clasificación de consecuencias de fallas basada en condiciones actuales y la Clasificación de Consecuencias mayor (incluyendo “Extrema”). </t>
  </si>
  <si>
    <t>C038</t>
  </si>
  <si>
    <t xml:space="preserve"> 4.2 - B</t>
  </si>
  <si>
    <t xml:space="preserve"> 4.2 - B Adoptar (i) los criterios de carga externa de la Clasificación de Consecuencias “Extrema”, o (ii) adoptar los criterios de carga de la Clasificación de Consecuencias actual o una mayor, y demostrar la factibilidad, a nivel de prueba de concepto, para mejorar el diseño para que el criterio de clasificación “Extremo” se mantenga a lo largo del ciclo de vida de la instalación de relaves. </t>
  </si>
  <si>
    <t>C039</t>
  </si>
  <si>
    <t xml:space="preserve"> 4.2 - C</t>
  </si>
  <si>
    <t xml:space="preserve"> 4.2 - C Si la opción b(ii) anterior es implementada, la Clasificación de Consecuencias es revisada al momento de la Revisión de Seguridad de Represas (DRS) 1 y por lo menos cada cinco años, o antes si se da algún cambio material en el contexto social, medioambiental o económico local, y completar la mejora de la instalación de relaves conforme a la nueva Clasificación de Consecuencias determinada por la DSR dentro de tres años. Esta revisión procederá hasta que la instalación de relaves haya sido cerrada de forma segura de acuerdo a este Estándar. </t>
  </si>
  <si>
    <t>C040</t>
  </si>
  <si>
    <t xml:space="preserve"> 4.2 - D</t>
  </si>
  <si>
    <t xml:space="preserve"> 4.2 - D El proceso descrito en a, b y c, deberá ser revisado por la Junta de Revisión de Relaves Independiente (ITRB) o el revisor técnico senior independiente, según sea apropiado para la Clasificación de Consecuencias de la instalación de relaves. </t>
  </si>
  <si>
    <t>C041</t>
  </si>
  <si>
    <t xml:space="preserve"> 4.2 - E</t>
  </si>
  <si>
    <t xml:space="preserve"> 4.2 - E Sujeto al Requisito 4.7, los Requisitos 4.2 c y 4.2 d deberán aplicarse también a instalaciones de relaves existentes. </t>
  </si>
  <si>
    <t>C042</t>
  </si>
  <si>
    <t>Requisito 04.3</t>
  </si>
  <si>
    <t xml:space="preserve">Requisito 04.3 El Ejecutivo Responsable deberá tomar la decisión de adoptar un diseño para el criterio actual de Clasificación de Consecuencias y para mantener la flexibilidad para actualizar el diseño al criterio de clasificación más elevado posteriormente en el ciclo de vida de la instalación de relaves. Esta decisión deberá ser documentada. </t>
  </si>
  <si>
    <t xml:space="preserve"> 4.3 - A</t>
  </si>
  <si>
    <t xml:space="preserve"> 4.3 - A Las cargas extremas ya están en su lugar.</t>
  </si>
  <si>
    <t>C043</t>
  </si>
  <si>
    <t xml:space="preserve"> 4.3 - B</t>
  </si>
  <si>
    <t xml:space="preserve"> 4.3 - B Si no se adopta el criterio de carga externo de Clasificación de Consecuencias Extremas, el Ejecutivo Responsable deberá tomar la decisión de adoptar un diseño para el criterio actual de Clasificación de Consecuencias y mantener la flexibilidad para actualizar el diseño para el criterio de clasificación más alto más adelante en el ciclo de vida de la instalación de relaves. </t>
  </si>
  <si>
    <t>C044</t>
  </si>
  <si>
    <t>Requisito 04.4</t>
  </si>
  <si>
    <t>Requisito 04.4 Seleccionar, identificar explícitamente y documentar todos los criterios de diseño que son adecuados para minimizar los riesgos de todos los modelos de falla creíbles para todas las fases del ciclo de vida de la instalación de relaves</t>
  </si>
  <si>
    <t xml:space="preserve"> 4.4 - A</t>
  </si>
  <si>
    <t xml:space="preserve"> 4.4 - A Seleccionar e identificar criterios de diseño que son adecuados para minimizar los riesgos para todos los modelos de falla creíbles durante cada fase del ciclo de vida de la instalación de relaves. </t>
  </si>
  <si>
    <t>C045</t>
  </si>
  <si>
    <t xml:space="preserve"> 4.4 - B</t>
  </si>
  <si>
    <t xml:space="preserve"> 4.4 - B Documentar el razonamiento detrás del criterio de diseño seleccionado para minimizar riesgos. </t>
  </si>
  <si>
    <t>C046</t>
  </si>
  <si>
    <t>Requisito 04.5</t>
  </si>
  <si>
    <t xml:space="preserve">Requisito 04.5 Aplicar criterios de diseño, tales como factores de seguridad para la estabilidad de taludes y el manejo de filtraciones, que consideren las propiedades estimadas de los materiales y el desempeño esperado de los elementos de diseño, y la calidad de la implementación de los sistemas de gestión de riesgos. Estos problemas </t>
  </si>
  <si>
    <t xml:space="preserve"> 4.5 - A</t>
  </si>
  <si>
    <t xml:space="preserve"> 4.5 - A Un desarrollo y aplicación de un criterio de diseño1 tales como factores de seguridad para la estabilidad de taludes y manejo de filtraciones, para cada fase del ciclo de vida que considere: las propiedades operativas2 estimadas de los materiales y desempeño esperado de los elementos de diseño  y la calidad de la implementación de los sistemas de gestión de riesgos. </t>
  </si>
  <si>
    <t>C047</t>
  </si>
  <si>
    <t xml:space="preserve"> 4.5 - B</t>
  </si>
  <si>
    <t xml:space="preserve"> 4.5 - B Tener en cuenta estos problemas de diseño e implementación en las evaluaciones que estén basadas en análisis de deformación. </t>
  </si>
  <si>
    <t>C048</t>
  </si>
  <si>
    <t>Requisito 04.6</t>
  </si>
  <si>
    <t xml:space="preserve">Requisito 04.6 Identificar y abarcar los modelos de falla frágil con un criterio de diseño conservador, independiente de mecanismos de activación, para minimizar su impacto en el desempeño de la instalación de relaves. </t>
  </si>
  <si>
    <t xml:space="preserve"> 4.6 - A</t>
  </si>
  <si>
    <t xml:space="preserve"> 4.6 - A Se documenta una evaluación del potencial del modelo de falla frágil y se abordan los análisis en el Reporte de Diseño Base (DBR). </t>
  </si>
  <si>
    <t>C049</t>
  </si>
  <si>
    <t>Requisito 04.7</t>
  </si>
  <si>
    <t xml:space="preserve">Requisito 04.7 Las Instalaciones de relaves existentes deben cumplir con los Requisitos bajo el Principio 4, a excepción de aquellos aspectos en los que el Ingeniero de Registro (EOR), con revisión por parte de la ITRB o un revisor técnico senior independiente, determine que la mejorar de una instalación de relaves existente no es viable o no se puede aplicar de forma retroactiva. En este caso el Ejecutivo Responsable deberá aprobar y documentar la implementación de las medidas para reducir tanto la probabilidad de, como las consecuencias de una falla de una instalación de relaves, para así reducir el riesgo a un nivel tan bajo como sea razonablemente factible (ALARP). La base y el tiempo para abordar la mejora de instalaciones de relaves existentes deberá estar informado sobre los riesgos y debe llevarse a cabo tan pronto como sea razonablemente posible. </t>
  </si>
  <si>
    <t xml:space="preserve"> 4.7 - A</t>
  </si>
  <si>
    <t xml:space="preserve"> 4.7 - A Que las instalaciones de relaves existentes deberán cumplir con los requisitos bajo el Principio 4, a excepción de aquellos aspectos donde el Ingeniero de Registro (EOR), con revisión de la ITRB o de un revisor técnico senior independiente, como sea adecuado, determine que una mejora de una instalación de relaves existente no es requerida, viable o no se puede aplicar de forma retroactiva. </t>
  </si>
  <si>
    <t>C050</t>
  </si>
  <si>
    <t xml:space="preserve"> 4.7 - B</t>
  </si>
  <si>
    <t xml:space="preserve"> 4.7 - B Que si la condición (a). de arriba aplica, el Ejecutivo Responsable deberá aprobar y documentar la implementación de medidas para reducir tanto la probabilidad de, como las consecuencias de una falla de una instalación de relaves para reducir el riesgo a un nivel tan bajo como sea razonablemente factible (ALARP). </t>
  </si>
  <si>
    <t>C051</t>
  </si>
  <si>
    <t xml:space="preserve"> 4.7 - C</t>
  </si>
  <si>
    <t xml:space="preserve"> 4.7 - C La base y tiempo para abordar la mejora de las instalaciones de relaves existentes deberá estar informado sobre los riesgos y debe llevarse a cabo tan pronto como sea razonablemente factible. </t>
  </si>
  <si>
    <t>C052</t>
  </si>
  <si>
    <t>Requisito 04.8</t>
  </si>
  <si>
    <t xml:space="preserve">Requisito 04.8 El EOR deberá preparar un Reporte de Base de Diseño (DBR) que detalle las hipótesis y criterios del diseño, incluyendo las restricciones de operación, y que proporcione una base para el diseño de todas las fases del ciclo de vida de la instalación de relaves. El DBR deberá ser revisado por la ITRB o por un revisor técnico senior independiente. El EOR deberá actualizar el DBR cada vez que haya un cambio material en las hipótesis de diseño, criterios de diseño, diseño o base de conocimiento y confirmar la consistencia entre estos elementos. </t>
  </si>
  <si>
    <t xml:space="preserve"> 4.8 - A</t>
  </si>
  <si>
    <t xml:space="preserve"> 4.8 - A Que el EOR preparará un Reporte de Base de Diseño (DBR) 1, 2, que detalle las hipótesis y criterios de diseño, incluyendo las restricciones de operación, y que proporcione la base para el diseño de todas las fases del ciclo de vida de la instalación de relaves. </t>
  </si>
  <si>
    <t>C053</t>
  </si>
  <si>
    <t xml:space="preserve"> 4.8 - B</t>
  </si>
  <si>
    <t xml:space="preserve"> 4.8 - B Que el DBR será revisado por la ITRB o el revisor técnico senior independiente. </t>
  </si>
  <si>
    <t>C054</t>
  </si>
  <si>
    <t xml:space="preserve"> 4.8 - C</t>
  </si>
  <si>
    <t xml:space="preserve"> 4.8 - C Que el EOR actualizará el DBR cada vez que haya un cambio material en las hipótesis del diseño, criterios del diseño, diseño o base de conocimiento y confirmar la consistencia interna entre estos elementos. </t>
  </si>
  <si>
    <t>C055</t>
  </si>
  <si>
    <t>Principio 05</t>
  </si>
  <si>
    <t xml:space="preserve"> Desarrollar un diseño sólido que integre la base de conocimientos y minimice el riesgo de falla que pueda afectar a las personas y el medio ambiente durante todas las fases del ciclo de vida de la instalación de relaves, incluso el cierre y post cierre.</t>
  </si>
  <si>
    <t>Requisito 05.1</t>
  </si>
  <si>
    <t xml:space="preserve">Requisito 05.1 Para las nuevas instalaciones de relaves, incorporar el resultado del análisis de alternativas de criterio múltiple incluyendo el uso de tecnologías de relaves en el diseño de la instalación de relaves. Para expansiones de instalaciones de relaves existentes, investigar el potencial para refinar las tecnologías de relaves y enfoques de diseño con el objetivo de minimizar los riesgos a las personas y medioambiente a lo largo del ciclo de vida de la instalación de relaves. </t>
  </si>
  <si>
    <t xml:space="preserve"> 5.1 - A</t>
  </si>
  <si>
    <t xml:space="preserve"> 5.1 - A Que, para las nuevas instalaciones de relaves, el diseño incorpora los resultados del análisis de alternativas1 (según el Requisito 3.2). </t>
  </si>
  <si>
    <t>C056</t>
  </si>
  <si>
    <t xml:space="preserve"> 5.1 - B</t>
  </si>
  <si>
    <t xml:space="preserve"> 5.1 - B Que, para las expansiones de instalaciones existentes, se evalúan los resultados de las revisiones periódicas de refinamientos potenciales de tecnologías de relaves y enfoques de diseño (según Requisito 3.2). </t>
  </si>
  <si>
    <t>C057</t>
  </si>
  <si>
    <t xml:space="preserve"> 5.1 - C</t>
  </si>
  <si>
    <t xml:space="preserve"> 5.1 - C Donde el diseño difiere del análisis de alternativas, hay una justificación que incorpora el objetivo de minimizar los riesgos a las personas y medioambiente a lo largo del ciclo de vida de la instalación de relaves. </t>
  </si>
  <si>
    <t>C058</t>
  </si>
  <si>
    <t>Requisito 05.2</t>
  </si>
  <si>
    <t xml:space="preserve">Requisito 05.2 Desarrollar un diseño robusto que considere el contexto técnico, social, medioambiental y económico local, la Clasificación de Consecuencias de una instalación de relaves, condiciones del sitio, gestión de aguas, operaciones de la planta minera, problemas operacionales y de construcción de relaves, y que demuestre la factibilidad de un cierre seguro de la instalación de relaves. El diseño debe ser revisado y actualizado conforme el desempeño y los datos de sitio lleguen a estar disponibles y en respuesta a los cambios materiales a la instalación de relaves o su desempeño. </t>
  </si>
  <si>
    <t xml:space="preserve"> 5.2 - A</t>
  </si>
  <si>
    <t xml:space="preserve"> 5.2 - A Que un diseño robusto1,2 considera: - El contexto técnico, social, medioambiental, y económico local de la instalación de relaves. - La Clasificación de Consecuencias, condiciones del sitio, gestión de aguas, operaciones de planta minera, y problemas operacionales y de construcción de relaves. - El diseño muestra la factibilidad del cierre seguro de la instalación de relaves. </t>
  </si>
  <si>
    <t>C059</t>
  </si>
  <si>
    <t xml:space="preserve"> 5.2 - B</t>
  </si>
  <si>
    <t xml:space="preserve"> 5.2 - B El diseño es revisado y actualizado a la vez que el desempeño y los datos desempeño de sitio lleguen a estar disponibles a través del ciclo de vida de la instalación de relaves y/o en respuesta a los cambios materiales. </t>
  </si>
  <si>
    <t>C060</t>
  </si>
  <si>
    <t>Requisito 05.3</t>
  </si>
  <si>
    <t xml:space="preserve">Requisito 05.3 Desarrollar, implementar y mantener un modelo de balance de aguas y planes de tratamiento de aguas asociados para la instalación de relaves, tomando en cuenta la base del conocimiento, incluyendo el cambio climático, las cuencas hidrológicas e hidrogeológicas aguas arriba y aguas abajo, el sitio de la mina, planificación minera y operaciones en general y la integridad de la instalación de relaves a lo largo de su ciclo de vida. El programa de tratamiento de aguas debe diseñarse para protegerse contra descargas involuntarias. </t>
  </si>
  <si>
    <t xml:space="preserve"> 5.3 - A</t>
  </si>
  <si>
    <t xml:space="preserve"> 5.3 - A Un plan de tratamiento de aguas1,3 que tome en consideración la base del conocimiento, el plan minero para el estado actual del ciclo de vida de la instalación de relaves, cuencas hidrológicas e hidrogeológicas aguas arriba y aguas abajo, y el potencial para el cambio climático. </t>
  </si>
  <si>
    <t>C061</t>
  </si>
  <si>
    <t xml:space="preserve"> 5.3 - B</t>
  </si>
  <si>
    <t xml:space="preserve"> 5.3 - B Un modelo de balance de aguas2,3 que considere el plan general de tratamiento de aguas. </t>
  </si>
  <si>
    <t>C062</t>
  </si>
  <si>
    <t xml:space="preserve"> 5.3 - C</t>
  </si>
  <si>
    <t xml:space="preserve"> 5.3 - C El plan de tratamiento de aguas y el balance de aguas abarcan la seguridad de la instalación de relaves y la prevención de descargas involuntarias. </t>
  </si>
  <si>
    <t>C063</t>
  </si>
  <si>
    <t>Requisito 05.4</t>
  </si>
  <si>
    <t>Requisito 05.4 Abarcar todos los modelos de falla potencial de la estructura, su fundación, estribos, reservorio (depósitos de relaves y poza de agua recuperada), borde del embalse y estructuras de apertura para minimizar el riesgo con ALARP. Se deben utilizar las evaluaciones de riegos para informar el diseño.</t>
  </si>
  <si>
    <t xml:space="preserve"> 5.4 - A</t>
  </si>
  <si>
    <t xml:space="preserve"> 5.4 - A Modelos de falla potencial a la estructura, su fundación, estribos, reservorio (depósitos de relaves y poza de agua recuperada)), Borde del embalse, y estructuras de apertura son identificadas y categorizadas por las evaluaciones de riesgos, y abarcadas a través de medidas preventivas incorporadas en el diseño y/o a través de controles operativos. </t>
  </si>
  <si>
    <t>C064</t>
  </si>
  <si>
    <t xml:space="preserve"> 5.4 - B</t>
  </si>
  <si>
    <t xml:space="preserve"> 5.4 - B Evaluaciones de riesgos son utilizadas para informar el diseño para minimizar el riesgo al ALARP. Evaluaciones de riesgo deben utilizarse para determinar si los modelos/escenarios de falla creíbles son fiables. </t>
  </si>
  <si>
    <t>C065</t>
  </si>
  <si>
    <t>Requisito 05.5</t>
  </si>
  <si>
    <t>Requisito 05.5 Desarrollar un diseño para cada etapa para la construcción de la instalación de relaves, incluyendo, pero no limitándose al inicio, levantamiento parcial y configuraciones internas, levantamiento final y todas las etapas de cierre.</t>
  </si>
  <si>
    <t xml:space="preserve"> 5.5 - A</t>
  </si>
  <si>
    <t xml:space="preserve"> 5.5 - A Se realizan diseños para cada etapa de construcción1 de la instalación de relaves, incluyendo, pero no limitándose al inicio, levantamiento parcial y configuraciones internas, levantamiento final, y todas las etapas de cierre previas a la construcción. El nivel de detalle del diseño debe ser acorde a la fase del ciclo de vida de la instalación de relaves. </t>
  </si>
  <si>
    <t>C066</t>
  </si>
  <si>
    <t>Requisito 05.6</t>
  </si>
  <si>
    <t>Requisito 05.6 Diseñar la fase de cierre de forma tal que cumpla con todos los Requisitos del Estándar con suficiente detalle para demostrar la factibilidad del escenario de cierre y permitir la implementación de los elementos del diseño durante la construcción y operación según sea adecuado. El diseño debe incluir el cierre progresivo y la recuperación durante operaciones.</t>
  </si>
  <si>
    <t xml:space="preserve"> 5.6 - A</t>
  </si>
  <si>
    <t xml:space="preserve"> 5.6 - A El diseño de cierre1 cumple con todos los Requisitos del Estándar con suficiente detalle para demostrar la factibilidad del escenario de cierre. </t>
  </si>
  <si>
    <t>C067</t>
  </si>
  <si>
    <t xml:space="preserve"> 5.6 - B</t>
  </si>
  <si>
    <t xml:space="preserve"> 5.6 - B El diseño de cierre permite la implementación del diseño de cierre durante la construcción y operación según sea adecuado. </t>
  </si>
  <si>
    <t>C068</t>
  </si>
  <si>
    <t xml:space="preserve"> 5.6 - C</t>
  </si>
  <si>
    <t xml:space="preserve"> 5.6 - C El diseño incluye el cierre progresivo y la recuperación durante operaciones. </t>
  </si>
  <si>
    <t>C069</t>
  </si>
  <si>
    <t>Requisito 05.7</t>
  </si>
  <si>
    <t xml:space="preserve">Requisito 05.7 Para una nueva instalación de relaves propuesta clasificada como "Alta", "Muy Alta" o "Extrema", el Ejecutivo Responsable deberá confirmar que el diseño cumpla con el ALARP y deberá aprobar pasos razonables adicionales que puedan tomarse aguas abajo, para poder reducir aún más las consecuencias potenciales hacia las personas y medioambiente. El Ejecutivo Responsable deberá explicar y documentar las decisiones con respecto al ALARP y las medidas de reducción de consecuencias adicionales. Para una instalación de relaves existente clasificada como "Alta", "Muy Alta" o "Extrema", el Ejecutivo Responsable, al momento de cada RSR o por lo menos cada cinco años, deberá confirmar que el diseño cumpla con el ALARP y deberá buscar identificar e implementar pasos adicionales razonables que puedan tomarse para poder reducir aún más las potenciales consecuencias hacia las personas y medioambiente. El Ejecutivo Responsable deberá explicar y documentar las decisiones con respecto al ALARP y las medidas de reducción de consecuencias adicionales, consultando con grupos externos de ser adecuado. </t>
  </si>
  <si>
    <t xml:space="preserve"> 5.7 - A</t>
  </si>
  <si>
    <t xml:space="preserve"> 5.7 - A Confirmar que el diseño cumpla con ALARP.</t>
  </si>
  <si>
    <t>C070</t>
  </si>
  <si>
    <t xml:space="preserve"> 5.7 - B</t>
  </si>
  <si>
    <t xml:space="preserve"> 5.7 - B Aprobar pasos adicionales razonables que se puedan tomar aguas abajo, para reducir aún más las consecuencias potenciales hacia las personas y medioambiente. </t>
  </si>
  <si>
    <t>C071</t>
  </si>
  <si>
    <t xml:space="preserve"> 5.7 - C</t>
  </si>
  <si>
    <t xml:space="preserve"> 5.7 - C Explicar y documentar las decisiones con respecto al ALARP y medidas de reducción de consecuencias adicionales. Para una instalación de relaves existente, el Ejecutivo Responsable, al momento de cada DSR o al menos cada cinco años, deberá: </t>
  </si>
  <si>
    <t>C072</t>
  </si>
  <si>
    <t xml:space="preserve"> 5.7 - D</t>
  </si>
  <si>
    <t xml:space="preserve"> 5.7 - D Confirmar que el diseño cumpla con ALARP. </t>
  </si>
  <si>
    <t>C073</t>
  </si>
  <si>
    <t xml:space="preserve"> 5.7 - E</t>
  </si>
  <si>
    <t xml:space="preserve"> 5.7 - E Buscar la identificación e implementación de pasos razonables adicionales que se puedan tomar para reducir aún más las consecuencias potenciales hacia las personas y medioambiente. </t>
  </si>
  <si>
    <t>C074</t>
  </si>
  <si>
    <t xml:space="preserve"> 5.7 - F</t>
  </si>
  <si>
    <t xml:space="preserve"> 5.7 - F Explicar y documentar las decisiones con respecto al ALARP y medidas de reducción de consecuencias adicionales, consultando con grupos externos de ser adecuado. </t>
  </si>
  <si>
    <t>C075</t>
  </si>
  <si>
    <t>Requisito 05.8</t>
  </si>
  <si>
    <t xml:space="preserve">Requisito 05.8 Al haberse agotado las medidas para reducir las consecuencias de un modelo de falla creíble de una instalación de relaves conforme al análisis de brechas, y al no poderse evitar un reasentamiento preventivo, el Operador deberá demostrar cumplimiento con los estándares internacionales respecto al reasentamiento involuntario. </t>
  </si>
  <si>
    <t xml:space="preserve"> 5.8 - A</t>
  </si>
  <si>
    <t xml:space="preserve"> 5.8 - A Los Operadores que poseen una instalación con un modelo de falla creíble, conforme al análisis de brecha, han agotado las medidas para reducir las consecuencias y no pueden evitar un reasentamiento preventivo. </t>
  </si>
  <si>
    <t>C076</t>
  </si>
  <si>
    <t xml:space="preserve"> 5.8 - B</t>
  </si>
  <si>
    <t xml:space="preserve"> 5.8 - B El Operador ha cumplido con los estándares internacionales para el reasentamiento involuntario. </t>
  </si>
  <si>
    <t>C077</t>
  </si>
  <si>
    <t>Principio 06</t>
  </si>
  <si>
    <t>Planificar, construir y operar la instalación de relaves para gestionar el riesgo en todas las fases de su ciclo de vida, incluidas la fase de cierre y el post cierre.</t>
  </si>
  <si>
    <t>Requisito 06.1</t>
  </si>
  <si>
    <t xml:space="preserve">Requisito 06.1 Construir, operar, monitorear y crear la instalación de relaves de acuerdo a la intención del diseño en todas las fases del ciclo de vida de la instalación de relaves, utilizando personal calificado y metodología, equipo y procedimientos adecuados, métodos de adquisición de datos, el Sistema de Tratamiento de Relaves (STR) y el Sistema de Gestión Medioambiental y Social (SGMS) general para la mina e infraestructura asociada. </t>
  </si>
  <si>
    <t xml:space="preserve"> 6.1 - A</t>
  </si>
  <si>
    <t xml:space="preserve"> 6.1 - A La intención del diseño, establecida en el DBR, es comprendida e implementada para la construcción, operación y cierre de cada fase del ciclo de vida de la instalación de relaves. </t>
  </si>
  <si>
    <t>C078</t>
  </si>
  <si>
    <t xml:space="preserve"> 6.1 - B</t>
  </si>
  <si>
    <t xml:space="preserve"> 6.1 - B El personal de construcción y operación asignado a las tareas relacionadas a los relaves están calificados en base a las cualidades definidas en el Sistema de Tratamiento de Relaves (TMS). </t>
  </si>
  <si>
    <t>C079</t>
  </si>
  <si>
    <t xml:space="preserve"> 6.1 - C</t>
  </si>
  <si>
    <t xml:space="preserve"> 6.1 - C A lo largo de las etapas del ciclo de vida de la instalación de relaves se utiliza la metodología, equipo y procedimientos1 adecuados, métodos de adquisición de datos son utilizados e incorporados dentro del TMS y en el Sistema de Gestión Medioambiental y Social (ESMS) para la mina e infraestructura asociada. </t>
  </si>
  <si>
    <t>C080</t>
  </si>
  <si>
    <t xml:space="preserve"> 6.1 - D</t>
  </si>
  <si>
    <t xml:space="preserve"> 6.1 - D El TMS y el ESMS son implementados durante la construcción, operación y cierre. </t>
  </si>
  <si>
    <t>C081</t>
  </si>
  <si>
    <t>Requisito 06.2</t>
  </si>
  <si>
    <t xml:space="preserve">Requisito 06.2 Gestionar la calidad y adecuación de los procesos de construcción y operación al implementar Control de Calidad, Aseguramiento de Calidad y Construcción frente a Verificación de Intención del Diseño (CDIV). El Operador utilizará el CDIV para asegurar que la intención del diseño se implemente y se siga cumpliendo si las condiciones del sitio difieren de las suposiciones del diseño. </t>
  </si>
  <si>
    <t xml:space="preserve"> 6.2 - A</t>
  </si>
  <si>
    <t xml:space="preserve"> 6.2 - A Programas de Control de Calidad1 (QC) y Aseguramiento de Calidad2 (QA) sean establecidos para supervisar la calidad y adecuación de los procesos de construcción2 y operación. </t>
  </si>
  <si>
    <t>C082</t>
  </si>
  <si>
    <t xml:space="preserve"> 6.2 - B</t>
  </si>
  <si>
    <t xml:space="preserve"> 6.2 - B Se cumple con un programa CDIV que confirme que se cumpla con la intención de diseño si las condiciones varían a las hipótesis de diseño. </t>
  </si>
  <si>
    <t>C083</t>
  </si>
  <si>
    <t>Requisito 06.3</t>
  </si>
  <si>
    <t>Requisito 06.3 Preparar un Reporte de Registros de Construcción (informe “según obra”) detallado cuando haya un cambio material en la instalación de relaves, su infraestructura o sistema de monitoreo. El EOR y el Ingeniero Responsable de la Instalación de Relaves (RTFE) deberán firmar este reporte.</t>
  </si>
  <si>
    <t xml:space="preserve"> 6.3 - A</t>
  </si>
  <si>
    <t xml:space="preserve"> 6.3 - A Los Reportes de Registros de Construcción (CRR) 1,2,3 están actualizados y listos para cuando haya un cambio material en la instalación de relaves, su infraestructura, o sistema de monitoreo. </t>
  </si>
  <si>
    <t>C084</t>
  </si>
  <si>
    <t xml:space="preserve"> 6.3 - B</t>
  </si>
  <si>
    <t xml:space="preserve"> 6.3 - B Los CRRs han sido firmados por el RTFE y el EOR. </t>
  </si>
  <si>
    <t>C085</t>
  </si>
  <si>
    <t>Requisito 06.4</t>
  </si>
  <si>
    <t xml:space="preserve">Requisito 06.4 Desarrollar, implementar, revisar anualmente y actualizar cuando es debido un Manual de Operación, Mantenimiento y Supervisión (OMS) que respalde la gestión efectiva de riesgos como parte de la TMS. El Manual de OMS debe seguir las mejores prácticas, proporcionar los contextos claros y controles fundamentales para las operaciones seguras y ser revisado para su efectividad. El RTFE debe proporcionar acceso al Manual de OMS y capacitación al personal en todos los niveles involucrados en el TMS con el respaldo del EOR. </t>
  </si>
  <si>
    <t xml:space="preserve"> 6.4 - A</t>
  </si>
  <si>
    <t xml:space="preserve"> 6.4 - A Se implementa un Manual de Operación, Mantenimiento y Supervisión (OMS), cubre todas las instalaciones de relaves e incluye los requisitos para las actividades del manual de OMS necesarias para la gestión eficaz de riesgos basadas en las mejores prácticas. </t>
  </si>
  <si>
    <t>C086</t>
  </si>
  <si>
    <t xml:space="preserve"> 6.4 - B</t>
  </si>
  <si>
    <t xml:space="preserve"> 6.4 - B El manual de OMS se revisa anualmente o más frecuentemente si hay alguna actualización debido a un cambio material según lo defina el Operador. </t>
  </si>
  <si>
    <t>C087</t>
  </si>
  <si>
    <t xml:space="preserve"> 6.4 - C</t>
  </si>
  <si>
    <t xml:space="preserve"> 6.4 - C El manual de OMS proporciona un contexto claro e incluye la inspección, mantenimiento y monitoreo de los requisitos identificados incluyendo los controles fundamentales para la operación segura y es revisado para su eficacia. </t>
  </si>
  <si>
    <t>C088</t>
  </si>
  <si>
    <t xml:space="preserve"> 6.4 - D</t>
  </si>
  <si>
    <t xml:space="preserve"> 6.4 - D El RTFE asegura que el personal involucrado en el TMS tiene acceso al Manual de OMS, </t>
  </si>
  <si>
    <t>C089</t>
  </si>
  <si>
    <t xml:space="preserve"> 6.4 - E</t>
  </si>
  <si>
    <t xml:space="preserve"> 6.4 - E El RTFE debe proporcionar acceso a la capacitación del personal en todos los niveles involucrados en el TMS </t>
  </si>
  <si>
    <t>C090</t>
  </si>
  <si>
    <t>Requisito 06.5</t>
  </si>
  <si>
    <t xml:space="preserve">Requisito 06.5 Implementar un sistema de gestión de cambio formal que desencadene en la evaluación, revisión, aprobación y documentación de cambios al diseño, construcción, operación o monitoreo durante el ciclo de vida de la instalación de relaves. El sistema de gestión de cambio también deberá incluir el requisito para que el EOR prepare un Reporte de Responsabilidad por Desviación (DAR por sus siglas en inglés) que proporcione una evaluación del impacto acumulativo de los cambios a nivel de riesgo de la instalación construida. El DAR deberá proporcionar recomendaciones para la gestión de riesgos, de ser necesario, y de cualquier actualización resultante al diseño, DBR, OMS, y al programa de monitoreo. El DAR deberá ser aprobado por el Ejecutivo Responsable. </t>
  </si>
  <si>
    <t xml:space="preserve"> 6.5 - A</t>
  </si>
  <si>
    <t xml:space="preserve"> 6.5 - A Se establece un Sistema de Gestión de Cambios. </t>
  </si>
  <si>
    <t>C091</t>
  </si>
  <si>
    <t xml:space="preserve"> 6.5 - B</t>
  </si>
  <si>
    <t xml:space="preserve"> 6.5 - B El Sistema de Gestión de Cambios incluye procesos para la identificación de cambios y procesos para la evaluación, revisión, aprobación y documentación de cambios a lo largo del ciclo de vida de la instalación. </t>
  </si>
  <si>
    <t>C092</t>
  </si>
  <si>
    <t xml:space="preserve"> 6.5 - C</t>
  </si>
  <si>
    <t xml:space="preserve"> 6.5 - C El Sistema de Gestión de Cambios abarca y documenta cambios materiales al diseño, construcción, operaciones o monitoreo. </t>
  </si>
  <si>
    <t>C093</t>
  </si>
  <si>
    <t xml:space="preserve"> 6.5 - D</t>
  </si>
  <si>
    <t xml:space="preserve"> 6.5 - D Un DAR es preparado y actualizado periódicamente por el EOR, el cual abarcar el impacto acumulativo de los cambios materiales a la instalación construida. </t>
  </si>
  <si>
    <t>C094</t>
  </si>
  <si>
    <t xml:space="preserve"> 6.5 - E</t>
  </si>
  <si>
    <t xml:space="preserve"> 6.5 - E Se han implementado recomendaciones del DAR a través de actualizaciones para la construcción, diseño, DBR, Manual de OMS y al programa de monitoreo. </t>
  </si>
  <si>
    <t>C095</t>
  </si>
  <si>
    <t xml:space="preserve"> 6.5 - F</t>
  </si>
  <si>
    <t xml:space="preserve"> 6.5 - F El Ejecutivo Responsable ha aprobado el DAR. </t>
  </si>
  <si>
    <t>C096</t>
  </si>
  <si>
    <t>Requisito 06.6</t>
  </si>
  <si>
    <t>Requisito 06.6 Incluir tecnologías y enfoques nuevos y emergentes y utilizar el conocimiento en evolución para la mejora del diseño, construcción y operación de la instalación de relaves.</t>
  </si>
  <si>
    <t xml:space="preserve"> 6.6 - A</t>
  </si>
  <si>
    <t xml:space="preserve"> 6.6 - A Revisiones de nuevas tecnologías y enfoques para el tratamiento de relaves se llevan a cabo considerando el ciclo de vida de la instalación de relaves. </t>
  </si>
  <si>
    <t>C097</t>
  </si>
  <si>
    <t xml:space="preserve"> 6.6 - B</t>
  </si>
  <si>
    <t xml:space="preserve"> 6.6 - B Los resultados materiales de las revisiones han sido incorporados en las mejoras del diseño, construcción y operación de la instalación. </t>
  </si>
  <si>
    <t>C098</t>
  </si>
  <si>
    <t>Principio 07</t>
  </si>
  <si>
    <t xml:space="preserve"> Diseñar, establecer y operar sistemas de monitoreo para la gestión de riesgos en todas las fases del ciclo de vida de la instalación de relaves, incluso su cierre.</t>
  </si>
  <si>
    <t>Requisito 07.1</t>
  </si>
  <si>
    <t xml:space="preserve">Requisito 07.1 Diseñar, implementar y operar un programa de monitoreo de desempeño completo e integrado para la instalación de relaves y sus estructuras correspondientes como parte del TMS y para aquellos aspectos del ESMS relacionados a la instalación de relaves en cumplimiento a los principios de Gestión Adaptativa. </t>
  </si>
  <si>
    <t xml:space="preserve"> 7.1 - A</t>
  </si>
  <si>
    <t xml:space="preserve"> 7.1 - A Se ha desarrollado un programa de monitoreo de desempeño integrado completo para la instalación de relaves y sus estructuras correspondientes y forma parte del TMS, e incluye actividades para la inspección, revisión, y requisitos de monitoreo en regla con la instalación del manual de OMS. </t>
  </si>
  <si>
    <t>C099</t>
  </si>
  <si>
    <t xml:space="preserve"> 7.1 - B</t>
  </si>
  <si>
    <t xml:space="preserve"> 7.1 - B Los aspectos del ESMS que están vinculados al monitoreo del desempeño de la instalación de relaves son identificados e incluidos en el programa de monitoreo de desempeño. </t>
  </si>
  <si>
    <t>C100</t>
  </si>
  <si>
    <t xml:space="preserve"> 7.1 - C</t>
  </si>
  <si>
    <t xml:space="preserve"> 7.1 - C El programa de monitoreo de desempeño es integrado y refleja otros programas tales como el manual de OMS y se actualiza manteniendo los principios de la Gestión Adaptativa. </t>
  </si>
  <si>
    <t>C101</t>
  </si>
  <si>
    <t>Requisito 07.2</t>
  </si>
  <si>
    <t xml:space="preserve">Requisito 07.2 Diseñar, implementar y operar un sistema de monitoreo de ingeniería completo e integrado que es adecuado para verificar hipótesis en el diseño y para monitores modelos de falla potenciales. Se adoptará una implementación completa del Método de Observación para los modelos de falla no frágiles. Los modelos de falla frágiles serán abordados con un criterio de diseño conservador. </t>
  </si>
  <si>
    <t xml:space="preserve"> 7.2 - A</t>
  </si>
  <si>
    <t xml:space="preserve"> 7.2 - A Un sistema de monitoreo de ingeniería completo e integrado1 ha sido diseñado y utilizado para verificar variables en el diseño y para monitorear modelos de falla potenciales. </t>
  </si>
  <si>
    <t>C102</t>
  </si>
  <si>
    <t xml:space="preserve"> 7.2 - B</t>
  </si>
  <si>
    <t xml:space="preserve"> 7.2 - B Los procedimientos de monitoreo para modelos de falla no frágiles son desarrollados e implementados para respaldar el Método de Observación. </t>
  </si>
  <si>
    <t>C103</t>
  </si>
  <si>
    <t xml:space="preserve"> 7.2 - C</t>
  </si>
  <si>
    <t xml:space="preserve"> 7.2 - C Los modelos de falla frágiles son abordados con un criterio de diseño conservador. </t>
  </si>
  <si>
    <t>C104</t>
  </si>
  <si>
    <t>Requisito 07.3</t>
  </si>
  <si>
    <t xml:space="preserve">Requisito 07.3 Establecer objetivos de desempeño, indicadores, criterios y parámetros de desempeño específicos y cuantificables e incluirlos en el diseño de los programas de monitoreo que midan el desempeño a lo largo del ciclo de vida de la instalación de relaves. Registrar y evaluar los datos en las frecuencias adecuadas. Basándose en los datos obtenidos, actualizar los programas de monitoreo a lo largo del ciclo de vida de la instalación de relaves para confirmar que se mantienen efectivos para gestionar los riesgos. </t>
  </si>
  <si>
    <t xml:space="preserve"> 7.3 - A</t>
  </si>
  <si>
    <t xml:space="preserve"> 7.3 - A Objetivos, indicadores y criterios de desempeño1 se establecen que miden el desempeño de la instalación de relaves. Estos son específicos y cuantificables y se incluyen en los programas de monitoreo. </t>
  </si>
  <si>
    <t>C105</t>
  </si>
  <si>
    <t xml:space="preserve"> 7.3 - B</t>
  </si>
  <si>
    <t xml:space="preserve"> 7.3 - B Se realizan inspecciones, monitoreos, pruebas, registros, evaluaciones y reportes de rutina y regulares de los datos de los programas de monitoreo de acuerdo con la frecuencia adecuada establecida. </t>
  </si>
  <si>
    <t>C106</t>
  </si>
  <si>
    <t xml:space="preserve"> 7.3 - C</t>
  </si>
  <si>
    <t xml:space="preserve"> 7.3 - C El programa de monitoreo es actualizado a lo largo del ciclo de vida de la instalación de relaves en base a la evaluación de los datos para confirmar que los objetivos, indicadores y criterios de desempeño se mantienen efectivos para gestionar riesgos. </t>
  </si>
  <si>
    <t>C107</t>
  </si>
  <si>
    <t>Requisito 07.4</t>
  </si>
  <si>
    <t xml:space="preserve">Requisito 07.4 Analizar datos de monitoreo técnico con la frecuencia recomendada por el EOR, y evaluar el desempeño de la instalación de relaves, identificando claramente y presentando evidencia de cualquier desviación sobre el desempeño esperado y cualquier deterioro del desempeño con el paso del tiempo. Presentar la evidencia al EOR con prontitud para la revisión y actualización de la evaluación y diseño de riesgo, de ser necesario. El desempeño fuera de los rangos esperados será abordado con prontitud a través de los Planes de Acción de Respuesta Desencadenada (TARPs, por sus siglas en inglés) </t>
  </si>
  <si>
    <t xml:space="preserve"> 7.4 - A</t>
  </si>
  <si>
    <t xml:space="preserve"> 7.4 - A El desempeño de la instalación de relaves se evalúa al analizar los datos técnicos de monitoreo con la frecuencia establecida por el EOR. </t>
  </si>
  <si>
    <t>C108</t>
  </si>
  <si>
    <t xml:space="preserve"> 7.4 - B</t>
  </si>
  <si>
    <t xml:space="preserve"> 7.4 - B El análisis de los datos técnicos de monitoreo de la instalación de relaves identifica claramente y presentan evidencia de las desviaciones de los objetivos de desempeño esperados y el deterioro del desempeño de la instalación de relaves con el paso del tiempo. </t>
  </si>
  <si>
    <t>C109</t>
  </si>
  <si>
    <t xml:space="preserve"> 7.4 - C</t>
  </si>
  <si>
    <t xml:space="preserve"> 7.4 - C Los resultados del análisis del monitoreo de desempeño de la instalación de relaves son reportados con prontitud al EOR. </t>
  </si>
  <si>
    <t>C110</t>
  </si>
  <si>
    <t xml:space="preserve"> 7.4 - D</t>
  </si>
  <si>
    <t xml:space="preserve"> 7.4 - D El EOR revisa con prontitud los resultados del análisis del monitoreo de desempeño de la instalación de relaves y si es requerido, indicará que se actualice la evaluación de riesgos y el diseño. </t>
  </si>
  <si>
    <t>C111</t>
  </si>
  <si>
    <t xml:space="preserve"> 7.4 - E</t>
  </si>
  <si>
    <t xml:space="preserve"> 7.4 - E Las expectativas de desempeño se incorporaron a los Planes de Acción de Respuesta Desencadenante o a los criterios fundamentales para indicar cuando una acción es o no necesaria. </t>
  </si>
  <si>
    <t>C112</t>
  </si>
  <si>
    <t>Requisito 07.5</t>
  </si>
  <si>
    <t xml:space="preserve">Requisito 07.5 Reportar los resultados de cada uno de los programas de monitoreo con la frecuencia requerida para cumplir con los requisitos reglamentarios y de la compañía y como mínimo anualmente. El RTFE y el EOR deberán revisar y aprobar los reportes técnicos de monitoreo. </t>
  </si>
  <si>
    <t xml:space="preserve"> 7.5 - A</t>
  </si>
  <si>
    <t xml:space="preserve"> 7.5 - A Los resultados de los programas de monitoreo se reportan con una frecuencia que cumpla las expectativas de la compañía y los requisitos reglamentarios y como mínimo que se complete anualmente. </t>
  </si>
  <si>
    <t>C113</t>
  </si>
  <si>
    <t xml:space="preserve"> 7.5 - B</t>
  </si>
  <si>
    <t xml:space="preserve"> 7.5 - B Los reportes de monitoreo técnicos son revisados y aprobados por el RTFE y el REO. </t>
  </si>
  <si>
    <t>C114</t>
  </si>
  <si>
    <t>IV</t>
  </si>
  <si>
    <t>GESTIÓN Y GOBERNANZA</t>
  </si>
  <si>
    <t>Principio 08</t>
  </si>
  <si>
    <t>Establecer las políticas, sistemas y rendiciones de cuenta (accountability) para respaldar la seguridad e integridad de las instalaciones de relaves.</t>
  </si>
  <si>
    <t>Requisito 08.1</t>
  </si>
  <si>
    <t>Requisito 08.1 La Junta de Directores deberá adoptar y publicar una política o compromiso sobre la gestión segura de instalaciones de relaves, a la preparación y respuesta frente a emergencias, y a la recuperación después de una falla.</t>
  </si>
  <si>
    <t xml:space="preserve"> 8.1 - A</t>
  </si>
  <si>
    <t xml:space="preserve"> 8.1 - A Una política corporativa de gestión de relaves documentada1 que comprometa al Operador al tratamiento seguro de relaves, desarrollo de planes de respuesta frente a emergencias, y mecanismos de recuperación después de fallas. Esto puede darse en forma de una política única o estar integrado en un documento que la Junta Directiva adopte. </t>
  </si>
  <si>
    <t>C115</t>
  </si>
  <si>
    <t xml:space="preserve"> 8.1 - B</t>
  </si>
  <si>
    <t xml:space="preserve"> 8.1 - B La política y su aprobación por parte de la Junta Directiva se encuentra por escrito y está disponible al público. </t>
  </si>
  <si>
    <t>C116</t>
  </si>
  <si>
    <t>Requisito 08.2</t>
  </si>
  <si>
    <t>Requisito 08.2 Establecer un marco de gobernanza de relaves y un TMS en base al desempeño para asegurar que el ESMS y otros sistemas fundamentales abarquen los aspectos relevantes de la gestión de la instalación de relaves.</t>
  </si>
  <si>
    <t xml:space="preserve"> 8.2 - A</t>
  </si>
  <si>
    <t xml:space="preserve"> 8.2 - A Un TMS en base al desempeño, sigue procesos Planificar-Hacer- Revisar-Actuar establecidos y es adecuado para la organización y sus instalaciones de relaves. </t>
  </si>
  <si>
    <t>C117</t>
  </si>
  <si>
    <t xml:space="preserve"> 8.2 - B</t>
  </si>
  <si>
    <t xml:space="preserve"> 8.2 - B Las responsabilidades y competencias asociadas para la implementación de ese marco que están definidas respaldan la identificación y gestión adecuada de los riesgos de la instalación de relaves. </t>
  </si>
  <si>
    <t>C118</t>
  </si>
  <si>
    <t xml:space="preserve"> 8.2 - C</t>
  </si>
  <si>
    <t xml:space="preserve"> 8.2 - C El marco de gobernanza respalda el TMS, sus sistemas fundamentales relevantes y otros ESMS relacionados. </t>
  </si>
  <si>
    <t>C119</t>
  </si>
  <si>
    <t xml:space="preserve"> 8.2 - D</t>
  </si>
  <si>
    <t xml:space="preserve"> 8.2 - D Los vínculos entre los TMS y otros sistemas como los ESMS son claros para asegurar una gestión integral eficaz de la instalación de relaves. </t>
  </si>
  <si>
    <t>C120</t>
  </si>
  <si>
    <t>Requisito 08.3</t>
  </si>
  <si>
    <t xml:space="preserve">Requisito 08.3 Para los roles con responsabilidad en las instalaciones de relaves, desarrollar mecanismos tales que los pagos de incentivos las revisiones de desempeño se basen, por lo menos en parte, en la seguridad pública y en la integridad de la instalación de relaves. Estos pagos de incentivos deberán reflejar el grado en el que la seguridad pública y la integridad de la instalación de relaves participan del rol. Los incentivos a largo plazo para los gerentes ejecutivos relevantes deben tomarse deben tomar en cuenta la gestión de relaves. </t>
  </si>
  <si>
    <t xml:space="preserve"> 8.3 - A</t>
  </si>
  <si>
    <t xml:space="preserve"> 8.3 - A Para las personas con responsabilidades sobre las instalaciones de relaves, sus revisiones de desempeño y o los pagos de incentivos estás basados en parte, en la seguridad pública y la integridad de las instalaciones de relaves. </t>
  </si>
  <si>
    <t>C121</t>
  </si>
  <si>
    <t xml:space="preserve"> 8.3 - B</t>
  </si>
  <si>
    <t xml:space="preserve"> 8.3 - B En donde se utilicen pagos de incentivos, estos se basan en el grado en el que la seguridad pública y la integridad de la instalación de relaves son un componente de ese rol. </t>
  </si>
  <si>
    <t>C122</t>
  </si>
  <si>
    <t xml:space="preserve"> 8.3 - C</t>
  </si>
  <si>
    <t xml:space="preserve"> 8.3 - C Los incentivos a largo plazo, como parte de una compensación administrativa, toman en cuenta la gestión de relaves, desempeño de la instalación y la seguridad pública. </t>
  </si>
  <si>
    <t>C123</t>
  </si>
  <si>
    <t>Requisito 08.4</t>
  </si>
  <si>
    <t xml:space="preserve">Requisito 08.4 Asignar uno o más Ejecutivos Responsables los cuales son directamente responsables al CEO en los asuntos relacionados a este Estándar. El (los) Ejecutivo(s) Responsable(s) deben ser responsables de la seguridad de las instalaciones de relaves y de evitar o minimizar las consecuencias sociales y ambientales de una falla de la instalación de relaves. El(los) Ejecutivo(s) Responsable(s) también deberán ser responsables de un programa de capacitación de tratamiento de relaves, y de preparación y respuesta a emergencias. El(los) Ejecutivo(s) Responsable(s) debe tener programada comunicaciones regulares con el EOR y la Junta Directiva, que pueden ser iniciadas por el(los) Ejecutivo(s) Responsable(s), y o la Junta. La Junta Directiva deberá documentar cómo el(los) Ejecutivos Responsable(s) rindieron cuentas. </t>
  </si>
  <si>
    <t xml:space="preserve"> 8.4 - A</t>
  </si>
  <si>
    <t xml:space="preserve"> 8.4 - A El(los) Ejecutivos Responsable(s) que es(son) directamente responsables al CEO han identificado y asignado los aspectos de seguridad de la instalación de relaves para prevenir o minimizar las consecuencias medioambientales o sociales de una falla de una instalación de relaves. </t>
  </si>
  <si>
    <t>C124</t>
  </si>
  <si>
    <t xml:space="preserve"> 8.4 - B</t>
  </si>
  <si>
    <t xml:space="preserve"> 8.4 - B La responsabilidad1 referida en (a) incluye desarrollar e implementar un programa de capacitación de tratamiento de relaves, y para preparación y respuesta frente a emergencias. </t>
  </si>
  <si>
    <t>C125</t>
  </si>
  <si>
    <t xml:space="preserve"> 8.4 - C</t>
  </si>
  <si>
    <t xml:space="preserve"> 8.4 - C El(los) Ejecutivo(s) Responsable(s) tienen comunicaciones regulares programadas con el EOR y Junta Directiva que puede ser iniciada ya sea por el Ejecutivo Responsable o la Junta. </t>
  </si>
  <si>
    <t>C126</t>
  </si>
  <si>
    <t xml:space="preserve"> 8.4 - D</t>
  </si>
  <si>
    <t xml:space="preserve"> 8.4 - D El proceso por el cual el(los) Ejecutivos Responsables rinden cuentas a la Junta Directiva. </t>
  </si>
  <si>
    <t>C127</t>
  </si>
  <si>
    <t>Requisito 08.5</t>
  </si>
  <si>
    <t xml:space="preserve">Requisito 08.5 Asignar un Ingeniero Responsable de la Instalación de Relaves (RTFE) específico al sitio quien es responsable de la integridad de la instalación de relaves, quien se involucra con el EOR y equipos internos como operaciones, planificación, asuntos reglamentarios, desempeño social, y medioambiente y tiene una comunicación bidireccional con el Ejecutivo Responsable. El RTFE debe estar familiarizado con el DBR, el reporte de diseño y la construcción y desempeño de la instalación de relaves. </t>
  </si>
  <si>
    <t xml:space="preserve"> 8.5 - A</t>
  </si>
  <si>
    <t xml:space="preserve"> 8.5 - A Un Ingeniero Responsable de la Instalación de Relaves (RTFE) 1 es asignado al rol. </t>
  </si>
  <si>
    <t>C128</t>
  </si>
  <si>
    <t xml:space="preserve"> 8.5 - B</t>
  </si>
  <si>
    <t xml:space="preserve"> 8.5 - B Los roles y responsabilidades son claramente definidos y documentados para la posición del RTFE incluyendo la responsabilidad con respecto a la integridad de la integridad de relaves. </t>
  </si>
  <si>
    <t>C129</t>
  </si>
  <si>
    <t xml:space="preserve"> 8.5 - C</t>
  </si>
  <si>
    <t xml:space="preserve"> 8.5 - C El RTFE se relaciona con el EOR y equipos internos. </t>
  </si>
  <si>
    <t>C130</t>
  </si>
  <si>
    <t xml:space="preserve"> 8.5 - D</t>
  </si>
  <si>
    <t xml:space="preserve"> 8.5 - D El RTFE debe estar familiarizado con el DBR, reportes de diseño relevantes, y la construcción y operaciones/desempeño de la instalación de relaves. </t>
  </si>
  <si>
    <t>C131</t>
  </si>
  <si>
    <t xml:space="preserve"> 8.5 - E</t>
  </si>
  <si>
    <t xml:space="preserve"> 8.5 - E Existe comunicación entre el RTFE y el Ejecutivo Responsable o su designado. </t>
  </si>
  <si>
    <t>C132</t>
  </si>
  <si>
    <t>Requisito 08.6</t>
  </si>
  <si>
    <t xml:space="preserve">Requisito 08.6 Identificar calificaciones y requisitos de experiencia adecuados para todo el personal que juegan roles de seguridad fundamentales de una instalación de relaves, incluyendo, pero no limitándose al RTFE, el EOR, y el Ejecutivo Responsable. Asegurarse que los titulares de estos roles tengan las calificaciones y experiencias identificadas, y desarrollar un plan de sucesión para este personal. </t>
  </si>
  <si>
    <t xml:space="preserve"> 8.6 - A</t>
  </si>
  <si>
    <t xml:space="preserve"> 8.6 - A Los requisitos de calificación y experiencia para todo el personal con roles fundamentales en la seguridad están claramente definidos y son apropiados al nivel de responsabilidad de la posición. Esto incluye, pero no se limita a roles fundamentales tales como el RTFE, EOR, y Ejecutivos Responsables. </t>
  </si>
  <si>
    <t>C133</t>
  </si>
  <si>
    <t xml:space="preserve"> 8.6 - B</t>
  </si>
  <si>
    <t xml:space="preserve"> 8.6 - B Se desarrollan planes de sucesión para los roles fundamentales en la seguridad. </t>
  </si>
  <si>
    <t>C134</t>
  </si>
  <si>
    <t>Requisito 08.7</t>
  </si>
  <si>
    <t xml:space="preserve">Requisito 08.7 Para las instalaciones de relaves con Clasificación de Consecuencias "Muy Altas" o "Extremas", nombrar una Junta Independiente de Revisión de Relaves (ITRB por sus siglas en inglés). Para el resto de instalaciones, el Operador puede nombrar a un revisor técnico senior independiente. La ITRB o el revisor serán nombrados a comienzos del proceso de desarrollo del proyecto, reportados al Ejecutivo Responsable y certificarán por escrito que seguirán las mejores prácticas para ingenieros para evitar conflictos de intereses. </t>
  </si>
  <si>
    <t xml:space="preserve"> 8.7 - A</t>
  </si>
  <si>
    <t xml:space="preserve"> 8.7 - A Para las instalaciones de relaves con clasificación de consecuencias de falla “Muy Altas” a “Extremas”, el Operador ha nombrado una Junta Independiente de Revisión de Relaves (ITRB). </t>
  </si>
  <si>
    <t>C135</t>
  </si>
  <si>
    <t xml:space="preserve"> 8.7 - B</t>
  </si>
  <si>
    <t xml:space="preserve"> 8.7 - B Para una instalación de relaves con una clasificación de consecuencias de falla de “Altas” o menor, en la ausencia de una ITRB, el Operador ha nombrado a un revisor técnico senior independiente. </t>
  </si>
  <si>
    <t>C136</t>
  </si>
  <si>
    <t xml:space="preserve"> 8.7 - C</t>
  </si>
  <si>
    <t xml:space="preserve"> 8.7 - C La ITRB o revisor técnico senior independiente informa al Ejecutivo Responsable o delegado de la instalación de relaves. </t>
  </si>
  <si>
    <t>C137</t>
  </si>
  <si>
    <t xml:space="preserve"> 8.7 - D</t>
  </si>
  <si>
    <t xml:space="preserve"> 8.7 - D La ITRB o revisor técnico senior independiente es nombrado durante las fases iniciales de la investigación del sitio y ingeniería de diseño de la instalación de relaves. (prefactibilidad sugerida) </t>
  </si>
  <si>
    <t>C138</t>
  </si>
  <si>
    <t xml:space="preserve"> 8.7 - E</t>
  </si>
  <si>
    <t xml:space="preserve"> 8.7 - E Los miembros de la ITRB y un revisor técnico senior independiente han certificado por escrito la ausencia de un conflicto de intereses con la instalación de relaves como se define en las mejores prácticas. </t>
  </si>
  <si>
    <t>C139</t>
  </si>
  <si>
    <t>Principio 09</t>
  </si>
  <si>
    <t xml:space="preserve"> Nombrar y dotar de facultades a un ingeniero de registro.</t>
  </si>
  <si>
    <t>Requisito 09.1</t>
  </si>
  <si>
    <t xml:space="preserve">Requisito 09.1 Contratar una empresa de ingeniería con conocimientos y experiencia en el diseño y construcción de instalación de relaves de complejidad comparable para proporcionar servicios de EOR para operar la instalación de relaves y para instalaciones cerradas con Clasificación de Consecuencias "Altas", "Muy Altas" o "Extremas", que se encuentren en la fase de cierre activo. Solicitar que la empresa nombre un ingeniero superior, aprobado por el Operador, para representar a la empresa como el EOR, y verificar que el individuo tiene la experiencia, habilidades y tiempo necesario para cumplir con ese rol. Alternativamente, el Operador puede nombrar a un ingeniero interno con experiencia y conocimientos en instalaciones comparables como el EOR. En esta instancia, el EOR puede delegar el diseño a una empresa ("Diseñador de Registro") pero deberá mantenerse familiarizado a fondo con el diseño llevando a cabo sus responsabilidades como el EOR. Ya sea que el EOR o DOR sean internos o externos, deben ser competentes y tener la experiencia adecuada a la Clasificación de Consecuencias y complejidad de la instalación de relaves. </t>
  </si>
  <si>
    <t xml:space="preserve"> 9.1 - A</t>
  </si>
  <si>
    <t xml:space="preserve"> 9.1 - A Para todas las instalaciones de relaves operativas, y para las instalaciones cerradas con categorías de consecuencias “Altas”, “Muy Altas” o “Extremas” una empresa de ingeniería que tienen los conocimientos de diseño y construcción para instalaciones de relaves de complejidad comparable ha sido contratada. </t>
  </si>
  <si>
    <t>C140</t>
  </si>
  <si>
    <t xml:space="preserve"> 9.1 - B</t>
  </si>
  <si>
    <t xml:space="preserve"> 9.1 - B El Ingeniero de Registro (EOR) 1 nombrado tiene la experiencia y conocimientos acordes a la complejidad de la instalación de relaves y la clase de consecuencias y el nombramiento ha sido aprobado por el Operador. </t>
  </si>
  <si>
    <t>C141</t>
  </si>
  <si>
    <t xml:space="preserve"> 9.1 - C</t>
  </si>
  <si>
    <t xml:space="preserve"> 9.1 - C Un DOR1, de ser apropiado debido a la selección de un EOR interno u otras circunstancias, es nombrado que cumpla con las calificaciones y requisitos esenciales del EOR. </t>
  </si>
  <si>
    <t>C142</t>
  </si>
  <si>
    <t>Requisito 09.2</t>
  </si>
  <si>
    <t xml:space="preserve">Requisito 09.2 Empoderar al EOR a través de un acuerdo escrito que describa claramente su autoridad, rol y responsabilidades a lo largo del ciclo de vida de la instalación de relaves, y durante el cambio de titularidad de propiedades mineras. El acuerdo escrito debe describir claramente las obligaciones del Operador con el EOR, para respaldar el desempeño efectivo del EOR. </t>
  </si>
  <si>
    <t xml:space="preserve"> 9.2 - A</t>
  </si>
  <si>
    <t xml:space="preserve"> 9.2 - A Se designa y establece un EOR a lo largo del ciclo de vida de la instalación de relaves. El EOR nombrado puede cambiar durante el ciclo de vida de la instalación de relaves. </t>
  </si>
  <si>
    <t>C143</t>
  </si>
  <si>
    <t xml:space="preserve"> 9.2 - B</t>
  </si>
  <si>
    <t xml:space="preserve"> 9.2 - B El EOR es nombrado a través de un acuerdo escrito que indica claramente su autoridad, rol y responsabilidades a lo largo del ciclo de vida de la instalación de relaves, y durante el cambio de titularidad de las propiedades mineras. </t>
  </si>
  <si>
    <t>C144</t>
  </si>
  <si>
    <t xml:space="preserve"> 9.2 - C</t>
  </si>
  <si>
    <t xml:space="preserve"> 9.2 - C El acuerdo escrito describe claramente las obligaciones del Operador con el EOR, para respaldar el desempeño1 eficaz del EOR durante el ciclo de vida de la instalación de relaves. </t>
  </si>
  <si>
    <t>C145</t>
  </si>
  <si>
    <t>Requisito 09.3</t>
  </si>
  <si>
    <t xml:space="preserve">Requisito 09.3 Establecer e implementar un programa para gestionar la calidad de todo el trabajo de ingeniería, las interacciones entre el RTFE y el Ejecutivo Responsable, y su participación en el ciclo de vida de la instalación de relaves conforme sea necesario para confirmar que se cumplan con la implementación del diseño y con la intención del diseño. </t>
  </si>
  <si>
    <t xml:space="preserve"> 9.3 - A</t>
  </si>
  <si>
    <t xml:space="preserve"> 9.3 - A Se establece un programa para gestionar la calidad de todo trabajo de ingeniería e interacciones entre el EOR, el RTFE y el Ejecutivo Responsable. </t>
  </si>
  <si>
    <t>C146</t>
  </si>
  <si>
    <t xml:space="preserve"> 9.3 - B</t>
  </si>
  <si>
    <t xml:space="preserve"> 9.3 - B El programa establecido es implementado para gestionar la calidad de todo el trabajo de ingeniería e interacciones entre el EOR, el RTFE y el Ejecutivo Responsable. </t>
  </si>
  <si>
    <t>C147</t>
  </si>
  <si>
    <t xml:space="preserve"> 9.3 - C</t>
  </si>
  <si>
    <t xml:space="preserve"> 9.3 - C El Programa, desarrollado por el Operador, abarca el compromiso del EOR, del RTFE y del Ejecutivo Responsable en el ciclo de vida de la instalación de relaves conforme sea necesario para confirmar que se cumpla tanto con la implementación del diseño y con la intención del diseño. </t>
  </si>
  <si>
    <t>C148</t>
  </si>
  <si>
    <t>Requisito 09.4</t>
  </si>
  <si>
    <t>Requisito 09.4 Dado su impacto potencial en los riesgos asociados con la instalación de relaves, la selección del EOR debe ser debe ser tomada por el Ejecutivo Responsable e informada, pero no tomada, por el personal de adquisiciones.</t>
  </si>
  <si>
    <t xml:space="preserve"> 9.4 - A</t>
  </si>
  <si>
    <t xml:space="preserve"> 9.4 - A Los riesgos asociados a los impactos potenciales de la instalación de relaves son considerados por el Ejecutivo Responsable al seleccionar al EOR. </t>
  </si>
  <si>
    <t>C149</t>
  </si>
  <si>
    <t xml:space="preserve"> 9.4 - B</t>
  </si>
  <si>
    <t xml:space="preserve"> 9.4 - B La selección de EOR deberá ser decidida por el Ejecutivo Responsable e informada1, pero no decidida, por el personal de adquisiciones. </t>
  </si>
  <si>
    <t>C150</t>
  </si>
  <si>
    <t xml:space="preserve"> 9.4 - C</t>
  </si>
  <si>
    <t xml:space="preserve"> 9.4 - C La selección del EOR es consistente con el Requisito 9.1 </t>
  </si>
  <si>
    <t>C151</t>
  </si>
  <si>
    <t>Requisito 09.5</t>
  </si>
  <si>
    <t>Requisito 09.5 Donde sea necesario cambiar al EOR (ya sea una empresa o empleado interno), desarrollar un plan detallado para la transferencia integral de datos, información, conocimiento y experiencia con los procedimientos y materiales de construcción.</t>
  </si>
  <si>
    <t xml:space="preserve"> 9.5 - A</t>
  </si>
  <si>
    <t xml:space="preserve"> 9.5 - A Se tiene un plan de sucesión cuando sea necesario cambiar el EOR1 (ya sea una empresa, dentro de una empresa, o un empleado interno) </t>
  </si>
  <si>
    <t>C152</t>
  </si>
  <si>
    <t xml:space="preserve"> 9.5 - B</t>
  </si>
  <si>
    <t xml:space="preserve"> 9.5 - B El plan de sucesión2 incluye la transferencia integral de datos, información, conocimiento y experiencia con los procedimientos de construcción y materiales. </t>
  </si>
  <si>
    <t>C153</t>
  </si>
  <si>
    <t>Principio 10</t>
  </si>
  <si>
    <t>Establecer e implementar niveles de revisión como parte de un sistema de gestión de riesgos y de calidad sólido para todas las fases del ciclo de vida de la instalación de relaves, incluido su cierre.</t>
  </si>
  <si>
    <t>Requisito 10.1</t>
  </si>
  <si>
    <t xml:space="preserve">Requisito 10.1 Realizar y actualizar evaluaciones de riesgos con un equipo multidisciplinario calificado utilizando las metodologías de las mejores prácticas como mínimo cada tres años y más frecuentemente si se da un cambio material ya sea a la instalación de relaves o al contexto social, medioambiental o económico local. Enviar las evaluaciones de riesgos a la ITRB o al revisor técnico senior independiente para su revisión, y abordar con urgencia todos los riesgos inaceptables para la instalación de relaves. </t>
  </si>
  <si>
    <t xml:space="preserve"> 10.1 - A</t>
  </si>
  <si>
    <t xml:space="preserve"> 10.1 - A Existe un proceso de evaluación de riesgos para la instalación de relaves y está basado en una base de conocimiento actualizada para la instalación de relaves. </t>
  </si>
  <si>
    <t>C154</t>
  </si>
  <si>
    <t xml:space="preserve"> 10.1 - B</t>
  </si>
  <si>
    <t xml:space="preserve"> 10.1 - B La evaluación de riesgos es actualizada por lo menos cada tres años y más frecuentemente cada vez que haya un cambio material ya sea a la instalación de relaves o al contexto social, medioambiente y económico local. </t>
  </si>
  <si>
    <t>C155</t>
  </si>
  <si>
    <t xml:space="preserve"> 10.1 - C</t>
  </si>
  <si>
    <t xml:space="preserve"> 10.1 - C El alcance de la evaluación de riesgos incluye el área de influencia potencial completa de la instalación de relaves, e incorporar activamente la experiencia de la industria en la evaluación de riesgos. </t>
  </si>
  <si>
    <t>C156</t>
  </si>
  <si>
    <t xml:space="preserve"> 10.1 - D</t>
  </si>
  <si>
    <t xml:space="preserve"> 10.1 - D Las fuentes de riesgo son identificadas, evaluadas y gestionadas con regularidad a lo largo del ciclo de vida de la instalación de relaves, incluyendo impactos de cambio climático proyectados bajo un rango de escenarios climáticos futuros creíbles. </t>
  </si>
  <si>
    <t>C157</t>
  </si>
  <si>
    <t xml:space="preserve"> 10.1 - E</t>
  </si>
  <si>
    <t xml:space="preserve"> 10.1 - E Un equipo multidisciplinario es calificado para realizar una evaluación de riesgos específica a la fase del ciclo de vida de la instalación de relaves (por ejemplo, construcción, operación, suspensión, expansión, cierre) y tiene la habilidad de aplicar la metodología de las mejores prácticas de una forma multifuncional. </t>
  </si>
  <si>
    <t>C158</t>
  </si>
  <si>
    <t xml:space="preserve"> 10.1 - F</t>
  </si>
  <si>
    <t xml:space="preserve"> 10.1 - F Siguiendo la revisión por parte de la ITRB o del revisor técnico senior independiente, se preparan, implementan y reportan cuando las evaluaciones de riesgos identifican riesgos inaceptables para la instalación de relaves. </t>
  </si>
  <si>
    <t>C159</t>
  </si>
  <si>
    <t>Requisito 10.2</t>
  </si>
  <si>
    <t xml:space="preserve">Requisito 10.2 Realizar revisiones regulares del TMS y de los componentes del ESMS que hagan referencia de la instalación de relaves para garantizar la eficacia de los sistemas de gestión. Documentar y reportar los resultados al Ejecutivo Responsable, Junta Directiva y personas afectadas por el proyecto. La revisión deberá ser realizada por revisores técnicos con las calificaciones, experiencia y recursos adecuados. Para las instalaciones de relaves con Clasificación de Consecuencia "Alta", "Muy Alta" o "Extrema", realizar la revisión por lo menos cada tres años. </t>
  </si>
  <si>
    <t xml:space="preserve"> 10.2 - A</t>
  </si>
  <si>
    <t xml:space="preserve"> 10.2 - A El TMS y componentes del ESMS son revisados con suficiente frecuencia para asegurar que el sistema de gestión de la instalación de relaves sea efectivo y aplicable para los riesgos a lo largo del ciclo de vida completo de la instalación. </t>
  </si>
  <si>
    <t>C160</t>
  </si>
  <si>
    <t xml:space="preserve"> 10.2 - B</t>
  </si>
  <si>
    <t xml:space="preserve"> 10.2 - B Los resultados de las revisiones del TMS y ESMS son documentados y reportados al Ejecutivo Responsable, Junta Directiva y personas afectadas por el proyecto. </t>
  </si>
  <si>
    <t>C161</t>
  </si>
  <si>
    <t xml:space="preserve"> 10.2 - C</t>
  </si>
  <si>
    <t xml:space="preserve"> 10.2 - C La revisión será realizada por revisores técnicos superiores con las calificaciones, experiencias y recursos adecuados. </t>
  </si>
  <si>
    <t>C162</t>
  </si>
  <si>
    <t xml:space="preserve"> 10.2 - D</t>
  </si>
  <si>
    <t xml:space="preserve"> 10.2 - D Para las instalaciones de relaves con Clasificación de Consecuencia “Alta”, “Muy Alta” o “Extrema”, la revisión se realizará por lo menos cada tres años. </t>
  </si>
  <si>
    <t>C163</t>
  </si>
  <si>
    <t>Requisito 10.3</t>
  </si>
  <si>
    <t>Requisito 10.3 Realizar auditorías internas para verificar la implementación consistente de los procedimientos, guías y requisitos de gobernanza de la compañía consistentes con el TMS y aspectos del ESMS desarrollado para gestionar los riesgos de la instalación de relaves.</t>
  </si>
  <si>
    <t xml:space="preserve"> 10.3 - A</t>
  </si>
  <si>
    <t xml:space="preserve"> 10.3 - A Las auditorías internas se completan a una frecuencia que garantiza la implementación coherente de los requisitos establecidos relacionados con los procedimientos, guías de la compañía y requisitos de gobernanza corporativa1 que son consistentes con el TMS y aspectos del ESMS relacionados a los riesgos de la instalación de relaves. </t>
  </si>
  <si>
    <t>C164</t>
  </si>
  <si>
    <t>Requisito 10.4</t>
  </si>
  <si>
    <t>Requisito 10.4 El EOR o revisor técnico independiente deberá realizar una revisión de construcción y desempeño para la instalación de relaves anualmente o más frecuentemente, de ser necesario.</t>
  </si>
  <si>
    <t xml:space="preserve"> 10.4 - A</t>
  </si>
  <si>
    <t xml:space="preserve"> 10.4 - A Se realiza una revisión1 anual de la instalación de relaves a lo largo de los períodos de construcción y de operación para evaluar la condición y el desempeño. Las revisiones son realizadas por el EOR o el revisor técnico senior independiente, el que sea asignado a la instalación de relaves y que la revisión sea documentada. </t>
  </si>
  <si>
    <t>C165</t>
  </si>
  <si>
    <t xml:space="preserve"> 10.4 - B</t>
  </si>
  <si>
    <t xml:space="preserve"> 10.4 - B Las revisiones pueden ser realizadas con más frecuencia si es requerido debido a problemas identificados o a la implementación de medidas correctivas necesarias. </t>
  </si>
  <si>
    <t>C166</t>
  </si>
  <si>
    <t>Requisito 10.5</t>
  </si>
  <si>
    <t xml:space="preserve">Requisito 10.5 Realizar una DSR independiente por lo menos cada cinco años para instalaciones de relaves con Clasificaciones de Consecuencias "Muy Altas" o "Extremas" y por lo menos cada diez años para el resto de las instalaciones. Para instalaciones de relaves con condiciones o desempeños complejos, la ITRB puede recomendar DSRs más frecuentes. La DSR deberá incluir aspectos técnicos, operativos y de gobernanza para toda la instalación de relaves y deberá ser completada de acuerdo a las mejores prácticas. El contratista de DSR no puede realizar DSRs consecutivas en la misma instalación de relaves y deberá certificar por escrito que seguirá las mejores prácticas para ingenieros para la prevención de conflictos de interés. </t>
  </si>
  <si>
    <t xml:space="preserve"> 10.5 - A</t>
  </si>
  <si>
    <t xml:space="preserve"> 10.5 - A Se realizan y documentan las DSRs: - cada cinco años para instalaciones de relaves con Clasificaciones de Consecuencias “Muy Altas” o “Extremas”; - cada diez años para todas las otras instalaciones, o, - más seguido de ser recomendado por la ITRB. </t>
  </si>
  <si>
    <t>C167</t>
  </si>
  <si>
    <t xml:space="preserve"> 10.5 - B</t>
  </si>
  <si>
    <t xml:space="preserve"> 10.5 - B Las DSRs incluyen aspectos técnicos3, operativos4 y de gobernanza5 de la instalación de relaves y deberán ser completados de acuerdo a las mejores prácticas2. </t>
  </si>
  <si>
    <t>C168</t>
  </si>
  <si>
    <t xml:space="preserve"> 10.5 - C</t>
  </si>
  <si>
    <t xml:space="preserve"> 10.5 - C Los individuos de DSR no pueden realizar DSRs consecutivas en la misma instalación de relaves. </t>
  </si>
  <si>
    <t>C169</t>
  </si>
  <si>
    <t xml:space="preserve"> 10.5 - D</t>
  </si>
  <si>
    <t xml:space="preserve"> 10.5 - D Los individuos de DSR certifican por escrito que siguen las mejores prácticas para ingenieros en la prevención de conflictos de interés. </t>
  </si>
  <si>
    <t>C170</t>
  </si>
  <si>
    <t>Requisito 10.6</t>
  </si>
  <si>
    <t xml:space="preserve">Requisito 10.6 Para instalaciones de relaves con Clasificaciones de Consecuencias "Muy Altas" o "Extremas", la ITRB, reportando al Ejecutivo Responsable deberá otorgar une revisión independiente continua superior de la planificación, emplazamiento, diseño, construcción, operación, balance de aguas y masa, mantenimiento, monitoreo, desempeño y gestión de riesgos en los intervalos apropiados a lo largo de todas las fases del ciclo de vida de la instalación de relaves. Para las instalaciones de relaves con otras Clasificaciones de Consecuencias, esta revisión puede ser realizada por un revisor técnico senior independiente. </t>
  </si>
  <si>
    <t xml:space="preserve"> 10.6 - A</t>
  </si>
  <si>
    <t xml:space="preserve"> 10.6 - A Para instalaciones de relaves con Clasificaciones de Consecuencias “Muy Altas” o “Extremas”, la ITRB1, reportando al Ejecutivo Responsable proporciona una revisión técnica senior independiente de la planificación, emplazamiento, diseño, construcción, operación, balance de aguas y masa, mantenimiento, monitoreo, gestión de desempeño y riesgo a los intervalos adecuados a lo largo de todas las fases del ciclo de vida de la instalación de relaves. </t>
  </si>
  <si>
    <t>C171</t>
  </si>
  <si>
    <t xml:space="preserve"> 10.6 - B</t>
  </si>
  <si>
    <t xml:space="preserve"> 10.6 - B Para las instalaciones de relaves con otras Clasificaciones de Consecuencias, esta revisión puede ser realizada alternativamente por un revisor técnico senior independiente. </t>
  </si>
  <si>
    <t>C172</t>
  </si>
  <si>
    <t xml:space="preserve"> 10.6 - C</t>
  </si>
  <si>
    <t xml:space="preserve"> 10.6 - C Las revisiones continuas son realizadas a los intervalos adecuados a lo largo de todas las fases del ciclo de vida de la instalación de relaves. </t>
  </si>
  <si>
    <t>C173</t>
  </si>
  <si>
    <t>Requisito 10.7</t>
  </si>
  <si>
    <t xml:space="preserve">Requisito 10.7 El monto de costos estimados para el cierre planificado, cierre anticipado, recuperación, y post-cierre de la instalación de relaves y sus estructuras correspondientes deberá ser revisado periódicamente para confirmar que la capacidad económica adecuada (incluyendo seguro, en la medida que sea comercialmente razonable) esté disponible para tales propósitos a lo largo del ciclo de vida de la instalación de relaves, y las conclusiones de la revisión serán divulgados anualmente. La divulgación puede ser hecha en declaraciones financieras auditadas o en archivos reglamentarios públicos. Sujeto a las disposiciones de las regulaciones locales o nacionales en el asunto. Los Operadores harán todo lo posible para evaluar y tomar en cuenta la capacidad de un adquiriente de cualquiera de sus activos que involucre una instalación de relaves (mediante una fusión, adquisición, u otro cambio de titularidad) para mantener este Estándar durante el ciclo de vida de la instalación de relaves. </t>
  </si>
  <si>
    <t xml:space="preserve"> 10.7 - A</t>
  </si>
  <si>
    <t xml:space="preserve"> 10.7 - A Un proceso y mecanismos de gobernanza han sido establecidos para la planificación y estimación de costos del cierre. </t>
  </si>
  <si>
    <t>C174</t>
  </si>
  <si>
    <t xml:space="preserve"> 10.7 - B</t>
  </si>
  <si>
    <t xml:space="preserve"> 10.7 - B Un plan de cierre1 para la instalación de relaves ha sido establecido y se han preparado estimaciones de costos asociados al cierre. </t>
  </si>
  <si>
    <t>C175</t>
  </si>
  <si>
    <t xml:space="preserve"> 10.7 - C</t>
  </si>
  <si>
    <t xml:space="preserve"> 10.7 - C Los estimados de costos asociados al cierre1 son revisados periódicamente y se realiza declaración pública2 anualmente para confirmar que la capacidad económica (incluyendo el seguro, en la medida que sea comercialmente razonable) esté disponible para cumplir con los requisitos de cierre y plazo esperado para la instalación de relaves en su estado actual. </t>
  </si>
  <si>
    <t>C176</t>
  </si>
  <si>
    <t xml:space="preserve"> 10.7 - D</t>
  </si>
  <si>
    <t xml:space="preserve"> 10.7 - D Si uno de los activos del Operador que involucra una instalación de relaves sufre un cambio de Titularidad desde la última revisión, el Operador debe proporcionar documentación de que evaluaron y tomaron en consideración la capacidad de un adquiriente para mantener este Estándar (sujetos a las provisiones de las regulaciones locales/nacionales) </t>
  </si>
  <si>
    <t>C177</t>
  </si>
  <si>
    <t>Principio 11</t>
  </si>
  <si>
    <t xml:space="preserve"> Desarrollar una cultura organizacional que promueva el aprendizaje, la comunicación y el reconocimiento temprano de los problemas.</t>
  </si>
  <si>
    <t>Requisito 11.1</t>
  </si>
  <si>
    <t>Requisito 11.1 Educar al personal que tienen un rol en cualquier fase del ciclo de vida de la instalación de relaves sobre cómo los procedimientos y responsabilidades de su trabajo están relacionados a la prevención de una falla.</t>
  </si>
  <si>
    <t xml:space="preserve"> 11.1 - A</t>
  </si>
  <si>
    <t xml:space="preserve"> 11.1 - A El Operador ha desarrollado un programa educativo que incluye procedimientos y responsabilidades para prevención de fallas. </t>
  </si>
  <si>
    <t>C178</t>
  </si>
  <si>
    <t xml:space="preserve"> 11.1 - B</t>
  </si>
  <si>
    <t xml:space="preserve"> 11.1 - B Aquellos con roles de prevención de fallas en cualquier fase del ciclo de vida de la instalación de relaves son incluidos en el programa de educación. </t>
  </si>
  <si>
    <t>C179</t>
  </si>
  <si>
    <t>Requisito 11.2</t>
  </si>
  <si>
    <t>Requisito 11.2 Establecer mecanismos que incorporen el conocimiento basado en la experiencia del trabajador en la planificación, diseño y operación de todas las fases del ciclo de vida de la instalación de relaves.</t>
  </si>
  <si>
    <t xml:space="preserve"> 11.2 - A</t>
  </si>
  <si>
    <t xml:space="preserve"> 11.2 - A Se han establecido mecanismos que incorporan el conocimiento basado en la experiencia del trabajador en la planificación, diseño y operación de todas las fases del ciclo de vida de la instalación de relaves. </t>
  </si>
  <si>
    <t>C180</t>
  </si>
  <si>
    <t>Requisito 11.3</t>
  </si>
  <si>
    <t xml:space="preserve">Requisito 11.3 Establecer mecanismos que promuevan la colaboración multifuncional para asegurar el intercambio de datos y conocimiento, comunicación e implementación de medidas de gestión eficaces para respaldar la seguridad pública y la integridad de la instalación de relaves. </t>
  </si>
  <si>
    <t xml:space="preserve"> 11.3 - A</t>
  </si>
  <si>
    <t xml:space="preserve"> 11.3 - A El Operador ha establecido mecanismos que promueven la colaboración multifuncional para respaldar la seguridad pública y la integridad de la instalación de relaves a través de: - intercambio eficaz de datos y conocimiento; - comunicación eficaz, e - implementación de medidas de gestión. </t>
  </si>
  <si>
    <t>C181</t>
  </si>
  <si>
    <t>Requisito 11.4</t>
  </si>
  <si>
    <t>Requisito 11.4 Identificar e implementar lecciones de investigaciones de incidentes internos y reportes de incidentes externos relevantes, prestando especial atención a los factores humanos y organizacionales.</t>
  </si>
  <si>
    <t xml:space="preserve"> 11.4 - A</t>
  </si>
  <si>
    <t xml:space="preserve"> 11.4 - A El Operador ha identificado e implementado lecciones de investigaciones de incidentes internos. </t>
  </si>
  <si>
    <t>C182</t>
  </si>
  <si>
    <t xml:space="preserve"> 11.4 - B</t>
  </si>
  <si>
    <t xml:space="preserve"> 11.4 - B El Operador ha identificado e implementado lecciones de reportes de incidentes externos relevantes. </t>
  </si>
  <si>
    <t>C183</t>
  </si>
  <si>
    <t xml:space="preserve"> 11.4 - C</t>
  </si>
  <si>
    <t xml:space="preserve"> 11.4 - C Las lecciones de incidentes internos y externos aprendidas prestan especial atención a los factores humanos y organizativos. </t>
  </si>
  <si>
    <t>C184</t>
  </si>
  <si>
    <t>Requisito 11.5</t>
  </si>
  <si>
    <t xml:space="preserve">Requisito 11.5 Establecer mecanismos que reconozcan, recompensen y protejan frente a represalias, a los empleados y contratistas que reporten problemas o identifiquen oportunidades para la mejora de la gestión de la instalación de relaves. Responder de manera oportuna y comunicar las acciones tomadas y sus resultados. </t>
  </si>
  <si>
    <t xml:space="preserve"> 11.5 - A</t>
  </si>
  <si>
    <t xml:space="preserve"> 11.5 - A El Operador ha establecido un mecanismo1 documentado que reconoce, recompensa y protege a los empleados y contratistas que reportan problemas o identifican oportunidades para la mejora de la gestión de la instalación de relaves. </t>
  </si>
  <si>
    <t>C185</t>
  </si>
  <si>
    <t>Desarrollar una cultura organizacional que promueva el aprendizaje, la comunicación y el reconocimiento temprano de los problemas.</t>
  </si>
  <si>
    <t xml:space="preserve"> 11.5 - B</t>
  </si>
  <si>
    <t xml:space="preserve"> 11.5 - B El Operador ha respondido de manera oportuna, y comunicado a los empleados y contratistas las acciones tomadas en respuesta a las preocupaciones y oportunidades presentadas. </t>
  </si>
  <si>
    <t>C186</t>
  </si>
  <si>
    <t>Principio 12</t>
  </si>
  <si>
    <t>Establecer un proceso para informar y abordar las preocupaciones e implementar protecciones para los denunciantes.</t>
  </si>
  <si>
    <t>Requisito 12.1</t>
  </si>
  <si>
    <t xml:space="preserve">Requisito 12.1 El Ejecutivo Responsable deberá establecer un proceso, formal, confidencial y por escrito para recibir, investigar y abordar con prontitud las inquietudes de empleados y contratistas sobre posibles violaciones de permisos u otros asuntos relacionados al cumplimiento reglamentario, seguridad pública, integridad de la instalación de relaves o el medio ambiente. </t>
  </si>
  <si>
    <t xml:space="preserve"> 12.1 - A</t>
  </si>
  <si>
    <t xml:space="preserve"> 12.1 - A El Ejecutivo Responsable ha establecido un proceso formal, confidencial y por escrito para recibir, investigar y abordar con prontitud las inquietudes de empleados y contratistas relacionadas a la instalación de relaves, incluyendo posibles violaciones de permisos u otros asuntos relaciones al cumplimiento reglamentario, seguridad pública, integridad de la instalación de relaves o al medio ambiente. </t>
  </si>
  <si>
    <t>C187</t>
  </si>
  <si>
    <t>Requisito 12.2</t>
  </si>
  <si>
    <t xml:space="preserve">Requisito 12.2 De acuerdo a las mejores prácticas internaciones para la protección a denunciantes, el Operador no deberá descargar, discriminar en contra de, o de lo contrario tomar represaliar de ninguna manera contra un denunciante quien, de buena fe, ha reportado posibles violaciones de permisos u otros asuntos relacionados al cumplimiento reglamentario, seguridad pública, integridad de la instalación de relaves o el medioambiente. </t>
  </si>
  <si>
    <t xml:space="preserve"> 12.2 - A</t>
  </si>
  <si>
    <t xml:space="preserve"> 12.2 - A El Operador mantiene prácticas de protección al denunciante que no descargan, discriminan o toman represalias contra un denunciante quien, en buena fe, reporta posibles violaciones relacionadas al cumplimiento reglamentario, seguridad pública, integridad de la instalación de relaves o el medio ambiente. </t>
  </si>
  <si>
    <t>C188</t>
  </si>
  <si>
    <t>V</t>
  </si>
  <si>
    <t>RESPUESTA ANTE EMERGENCIAS Y RECUPERACIÓN A LARGO PLAZO</t>
  </si>
  <si>
    <t>Principio 13</t>
  </si>
  <si>
    <t>Estar preparado para la respuesta ante emergencias en caso de falla en las instalaciones de relave.</t>
  </si>
  <si>
    <t>Requisito 13.1</t>
  </si>
  <si>
    <t xml:space="preserve">Requisito 13.1 Como parte del TMS, usar las mejores prácticas y experiencia de respuesta frente a emergencias para preparar e implementar un Plan de Preparación y Respuesta frente a Emergencias (EPRP) específico del sitio de la instalación de relaves basado en escenarios de falla de flujo creíbles y en la evaluación de las consecuencias potenciales. Evaluar y actualizar el EPRP en todas las fases del ciclo de vida de la instalación de relaves en la frecuencia establecida en el plan, o más frecuentemente si es activada por un cambio material en la instalación de relaves o en el contexto social, medioambiental o económico local. Comprometerse significativamente con los empleados y contratistas para informar al EPRP, y codesarrollar medidas de preparación a emergencias enfocadas a la comunidad con las personas afectadas por el proyecto. </t>
  </si>
  <si>
    <t xml:space="preserve"> 13.1 - A</t>
  </si>
  <si>
    <t xml:space="preserve"> 13.1 - A El Sistema de Gestión de Relaves (TMS) incluye un Plan de Preparación y Respuesta frente a Emergencias (EPRP) específico al sitio de la instalación de relaves. El EPRP incluye acciones específicas tanto para preparar, como para manejar un evento creciente, y para responder después que un evento ha ocurrido. </t>
  </si>
  <si>
    <t>C189</t>
  </si>
  <si>
    <t xml:space="preserve"> 13.1 - B</t>
  </si>
  <si>
    <t xml:space="preserve"> 13.1 - B El EPRP de la instalación de relaves es responsivo a los escenarios de falla de flujo creíbles y a la evaluación de las consecuencias potenciales, e identifica claramente las áreas potencialmente afectadas y el grado potencial de las consecuencias esperadas. </t>
  </si>
  <si>
    <t>C190</t>
  </si>
  <si>
    <t xml:space="preserve"> 13.1 - C</t>
  </si>
  <si>
    <t xml:space="preserve"> 13.1 - C El EPRP fue desarrollado con aportes de experiencia apropiada en respuesta frente a emergencias, operaciones de sitio y de personas afectadas por el proyecto utilizando las mejores prácticas. </t>
  </si>
  <si>
    <t>C191</t>
  </si>
  <si>
    <t xml:space="preserve"> 13.1 - D</t>
  </si>
  <si>
    <t xml:space="preserve"> 13.1 - D El EPRP de la instalación de relaves para las instalaciones operativas son evaluados y revisados sobre el proceso y frecuencia especificados en el plan, cada 3 años, o más frecuentemente si es activado por un cambio material a la instalación de relaves o al contexto social, medioambiental o económico. Referencia R 13.2 y R. 13.3. </t>
  </si>
  <si>
    <t>C192</t>
  </si>
  <si>
    <t xml:space="preserve"> 13.1 - E</t>
  </si>
  <si>
    <t xml:space="preserve"> 13.1 - E El desarrollo y actualizaciones del EPRP involucran compromisos importantes de empleados, contratistas, proveedores de respuesta frente a emergencia comunitarios, y las personas afectadas por el proyecto son involucradas para codesarrollar preparación frente a emergencias enfocadas en la comunidad y comunicación de plan a las personas afectadas por el proyecto. </t>
  </si>
  <si>
    <t>C193</t>
  </si>
  <si>
    <t>Requisito 13.2</t>
  </si>
  <si>
    <t xml:space="preserve">Requisito 13.2 Participar con agencias del sector público, entidades de primera línea, autoridades locales e instituciones y tomar pasos razonables para evaluar la habilidad de los servicios de respuesta de emergencia para abordar los riesgos identificados en el EPRP de la instalación de relaves, identificar las carencias en la capacidad y utilizar esta información para respaldar el desarrollo de un plan colaborativo para mejorar la preparación. </t>
  </si>
  <si>
    <t xml:space="preserve"> 13.2 - A</t>
  </si>
  <si>
    <t xml:space="preserve"> 13.2 - A En base a la naturaleza de la preparación frente a emergencias y requisitos de respuesta para una instalación dada, siguiendo el cumplimiento con el Requisito 13.1, se demuestra lo siguiente: </t>
  </si>
  <si>
    <t>C194</t>
  </si>
  <si>
    <t xml:space="preserve"> 13.2 - B</t>
  </si>
  <si>
    <t xml:space="preserve"> 13.2 - B El Operador a identificado agencias del sector público, entidades de primera línea, autoridades locales e instituciones que participarían en cualquier respuesta de emergencia a una falla de una instalación de relaves. </t>
  </si>
  <si>
    <t>C195</t>
  </si>
  <si>
    <t xml:space="preserve"> 13.2 - C</t>
  </si>
  <si>
    <t xml:space="preserve"> 13.2 - C El Operador se ha involucrado con las organizaciones identificadas. </t>
  </si>
  <si>
    <t>C196</t>
  </si>
  <si>
    <t xml:space="preserve"> 13.2 - D</t>
  </si>
  <si>
    <t xml:space="preserve"> 13.2 - D El Operador ha tomado pasos razonables para evaluar la habilidad de las organizaciones identificadas para abordar los riesgos identificados en el EPRP de la instalación de relaves, para identificar las carencias en la capacidad, y para utilizar esta información para respaldar el desarrollo de un plan colaborativo para mejorar la preparación si se identifican carencias. </t>
  </si>
  <si>
    <t>C197</t>
  </si>
  <si>
    <t>Requisito 13.3</t>
  </si>
  <si>
    <t xml:space="preserve">Requisito 13.3 Considerando las medidas enfocadas en la comunidad y la capacidad del sector público, el Operador deberá tomar todos los pasos razonables para mantener un estado compartido de preparación para los escenarios de falla de flujo creíble de la instalación de relaves al asegurar los recursos y llevar a cabo capacitaciones y ejercicios anuales. El Operador deberá llevar a cabo simulaciones de respuesta frente a emergencias a una frecuencia establecida en el EPRP pero por lo menos cada 3 años para instalaciones de relaves con pérdida de vida potencial. </t>
  </si>
  <si>
    <t xml:space="preserve"> 13.3 - A</t>
  </si>
  <si>
    <t xml:space="preserve"> 13.3 - A El Operador incorpora el conocimiento de las medidas enfocadas a la comunidad y la capacidad del sector público al establecer un estado de preparación en el EPRP. </t>
  </si>
  <si>
    <t>C198</t>
  </si>
  <si>
    <t xml:space="preserve"> 13.3 - B</t>
  </si>
  <si>
    <t xml:space="preserve"> 13.3 - B El Operador ha tomado todos los pasos razonables para mantener un estado de preparación compartido al involucrarse con las agencias del sector público, entidades de primera línea, autoridades locales, instituciones, que responderían frente una emergencia (como se identificó en 13.2). </t>
  </si>
  <si>
    <t>C199</t>
  </si>
  <si>
    <t xml:space="preserve"> 13.3 - C</t>
  </si>
  <si>
    <t xml:space="preserve"> 13.3 - C El Operador aseguró y mantiene recursos en un estado de preparación para responder a escenarios de falla de flujo creíble de una instalación de relaves si aplica a su instalación. </t>
  </si>
  <si>
    <t>C200</t>
  </si>
  <si>
    <t xml:space="preserve"> 13.3 - D</t>
  </si>
  <si>
    <t xml:space="preserve"> 13.3 - D d. Se realizan capacitaciones internas y enfocadas en la comunidad y ejercicios sobre el EPRP. </t>
  </si>
  <si>
    <t>C201</t>
  </si>
  <si>
    <t xml:space="preserve"> 13.3 - E</t>
  </si>
  <si>
    <t xml:space="preserve"> 13.3 - E El Operador tiene un programa para realizar simulaciones de respuesta a emergencias con proveedores de servicios de emergencias, y personas afectadas por el proyecto a una frecuencia definida por el EPRP. </t>
  </si>
  <si>
    <t>C202</t>
  </si>
  <si>
    <t xml:space="preserve"> 13.3 - F</t>
  </si>
  <si>
    <t xml:space="preserve"> 13.3 - F Para las instalaciones con escenarios de falla de flujo creíble el Operador llevó a cabo una respuesta de emergencia, las simulaciones se llevan a cabo por lo menos cada 3 años para aquellas instalaciones de relaves con escenarios de falla de flujo creíble, que pueden resultar en muertes. Las simulaciones pueden variar desde ejercicios de mesa hasta ejercicios de campo de una emergencia y pueden incluir la evaluación de múltiples escenarios de falla de flujo creíbles. </t>
  </si>
  <si>
    <t>C203</t>
  </si>
  <si>
    <t>Requisito 13.4</t>
  </si>
  <si>
    <t>Requisito 13.4 En el caso de una falla catastrófica en una instalación de relaves, proporcionar respuesta inmediata para salvar vidas, otorgar ayuda humanitaria y minimizar el daño medioambiental.</t>
  </si>
  <si>
    <t xml:space="preserve"> 13.4 - A</t>
  </si>
  <si>
    <t xml:space="preserve"> 13.4 - A El EPRP incluye acciones específicas para responder inmediatamente si ha ocurrido una falla catastrófica de una instalación de relaves (refiérase a los Requisitos en 13.1). </t>
  </si>
  <si>
    <t>C204</t>
  </si>
  <si>
    <t xml:space="preserve"> 13.4 - B</t>
  </si>
  <si>
    <t xml:space="preserve"> 13.4 - B La respuesta inmediata en el evento de una falla catastrófica de una instalación de relaves claramente prioriza la salvación de vidas, provisión de ayuda humanitaria y minimización de daño medioambiental. </t>
  </si>
  <si>
    <t>C205</t>
  </si>
  <si>
    <t>Principio 14</t>
  </si>
  <si>
    <t>Prepararse para una recuperación a largo plazo en el caso de una falla catastrófica.</t>
  </si>
  <si>
    <t>Requisito 14.1</t>
  </si>
  <si>
    <t xml:space="preserve">Requisito 14.1 Basado en los escenarios de falla de flujo creíbles de la instalación de relaves y la evaluación de consecuencias potenciales, tomar los pasos razonables para comprometerse de forma significativa con agencias del sector público y otras organizaciones que fueran a participar en estrategias de respuesta sociales y medioambientales de mediano y largo plazo. </t>
  </si>
  <si>
    <t xml:space="preserve"> 14.1 - A</t>
  </si>
  <si>
    <t xml:space="preserve"> 14.1 - A El Operador ha identificado agencias del sector público y otras organizaciones que participarían en estrategias sociales y medioambientales de mediano y largo plazo posteriores a la falla. </t>
  </si>
  <si>
    <t>C206</t>
  </si>
  <si>
    <t xml:space="preserve"> 14.1 - B</t>
  </si>
  <si>
    <t xml:space="preserve"> 14.1 - B El Operador ha tomado pasos razonables para involucrarse significativamente con tales organizaciones. </t>
  </si>
  <si>
    <t>C207</t>
  </si>
  <si>
    <t>Requisito 14.2</t>
  </si>
  <si>
    <t xml:space="preserve">Requisito 14.2 En el evento de una falla catastrófica de una instalación de relaves, evaluar los impactos sociales, medioambientales y económico locales lo más pronto posible una vez las personas estén seguras y se hayan cumplido con las necesidades de supervivencia a corto plazo. </t>
  </si>
  <si>
    <t xml:space="preserve"> 14.2 - A</t>
  </si>
  <si>
    <t xml:space="preserve"> 14.2 - A El Operador ha realizado una evaluación de impacto posterior al incidente que aborda los impactos sociales, medioambientales y económicos locales. </t>
  </si>
  <si>
    <t>C208</t>
  </si>
  <si>
    <t xml:space="preserve"> 14.2 - B</t>
  </si>
  <si>
    <t xml:space="preserve"> 14.2 - B La evaluación de impacto posterior al incidente ha sido realizada tan rápido como ha sido posible una vez las personas estén seguras y se hayan cumplido con las necesidades de supervivencia a corto plazo. </t>
  </si>
  <si>
    <t>C209</t>
  </si>
  <si>
    <t>Requisito 14.3</t>
  </si>
  <si>
    <t xml:space="preserve">Requisito 14.3 En el evento de una falla catastrófica de una instalación de relaves, trabajar con las agencias del sector público y otras partes interesadas para desarrollar e implementar planes de reconstrucción, restauración y recuperación que aborden los impactos sociales, medioambientales y económicos locales a medio y largo plazo de la falla. Los planes serán divulgados de ser permitidos por las autoridades públicas. </t>
  </si>
  <si>
    <t xml:space="preserve"> 14.3 - A</t>
  </si>
  <si>
    <t xml:space="preserve"> 14.3 - A El Operador, ha desarrollado planes en conjunto con agencias del sector público y otras partes interesadas para abordar los impactos sociales, medioambientales y económicos locales a medio y largo de la falla. </t>
  </si>
  <si>
    <t>C210</t>
  </si>
  <si>
    <t xml:space="preserve"> 14.3 - B</t>
  </si>
  <si>
    <t xml:space="preserve"> 14.3 - B El Operador ha proporcionado para la divulgación de los planes de reconstrucción, restauración y recuperación de ser permitido por las autoridades públicas. </t>
  </si>
  <si>
    <t>C211</t>
  </si>
  <si>
    <t xml:space="preserve"> 14.3 - C</t>
  </si>
  <si>
    <t xml:space="preserve"> 14.3 - C El Operador ha implementado los planes en colaboración con agencias del sector público y otras partes interesadas. </t>
  </si>
  <si>
    <t>C212</t>
  </si>
  <si>
    <t>Requisito 14.4</t>
  </si>
  <si>
    <t>Requisito 14.4 En el evento de una falla catastrófica en una instalación de relaves, habilitar la participación de las personas afectadas en las obras de reconstrucción, restauración y recuperación y actividades de monitoreo continuas.</t>
  </si>
  <si>
    <t xml:space="preserve"> 14.4 - A</t>
  </si>
  <si>
    <t xml:space="preserve"> 14.4 - A El Operador ha establecido la participación de las personas afectadas en las obras de reconstrucción, restauración y recuperación y actividades de monitoreo continuas. </t>
  </si>
  <si>
    <t>C213</t>
  </si>
  <si>
    <t>Requisito 14.5</t>
  </si>
  <si>
    <t xml:space="preserve">Requisito 14.5 Facilitar el seguimiento y reportes públicos de los resultados posteriores a la falla que están en regla con los umbrales e indicadores descritos en los planes de reconstrucción, restauración y recuperación y adaptar las actividades en respuesta a los resultados y observaciones. </t>
  </si>
  <si>
    <t xml:space="preserve"> 14.5 - A</t>
  </si>
  <si>
    <t xml:space="preserve"> 14.5 - A El Operador facilita el seguimiento y los informes públicos de los resultados posteriores a la falla. </t>
  </si>
  <si>
    <t>C214</t>
  </si>
  <si>
    <t xml:space="preserve"> 14.5 - B</t>
  </si>
  <si>
    <t xml:space="preserve"> 14.5 - B El seguimiento e informes públicos de los resultados posteriores a la falla están en regla con los umbrales e indicadores descritos en los planes de reconstrucción, restauración y recuperación. </t>
  </si>
  <si>
    <t>C215</t>
  </si>
  <si>
    <t xml:space="preserve"> 14.5 - C</t>
  </si>
  <si>
    <t xml:space="preserve"> 14.5 - C Las actividades de seguimiento e informes públicos posteriores a la falla se adaptan en respuesta a los resultados y observaciones. </t>
  </si>
  <si>
    <t>C216</t>
  </si>
  <si>
    <t>VI</t>
  </si>
  <si>
    <t>DIVULGACIÓN PÚBLICA Y ACCESO A LA INFORMACIÓN</t>
  </si>
  <si>
    <t>Principio 15</t>
  </si>
  <si>
    <t>Hacer pública y permitir el acceso a la información sobre instalaciones de relaves para respaldar la rendición de cuentas al público general.</t>
  </si>
  <si>
    <t>Requisito 15.1</t>
  </si>
  <si>
    <t xml:space="preserve">Requisito 15.1 Publicar y actualizar información con regularidad sobre el compromiso del Operador con la seguridad de la gestión de la instalación de relaves, implementación de un marco de gobernanza de relaves, políticas a nivel de organización, estándares o enfoques al diseño, construcción, monitoreo y cierre de las instalaciones de relaves. a) Para nuevas instalaciones de relaves para las cuales el proceso de autorización reglamentaria ha comenzado, o son de otra manera aprobadas por el Operador, el Operador deberá publicar y actualizar, en cumplimiento con el Principio 21 del UNGP la siguiente información: 1.Un resumen en lenguaje sencillo1 de la justificación para la base del diseño y sitio seleccionado según los análisis de criterio múltiple, evaluaciones de impacto, y planes de mitigación (la información se puede obtener de la emisión de múltiples Requisitos, incluyendo, pero no limitándose a, Requisitos 3.2, 3.3, 5.1, 5.3, 6.4, 6.6, 7.1 y 10.1); y  2. La Clasificación de Consecuencias. (Requisito 4.1).    b) Para cada instalación de relaves existente en cumplimiento con el Principio 21 del UNGP, el Operador deberá publicar y actualizar por lo menos de forma anual, la siguiente información:      1. Una descripción de la instalación de relaves (se puede obtener información de la emisión de los Requisitos 5.5 y 6.4);    3. Un resumen de los hallazgos en la evaluación de riesgos relevantes a la instalación de relaves (la información se puede obtener de la emisión del Requisito 10.1);   4. Un resumen de la exposición y vulnerabilidad humana en los escenarios de falla de flujo creíble en instalaciones de relaves. (se puede obtener información de la emisión del Requisito 2.4);    5. Una descripción del diseño para todas las fases del ciclo de vida de la instalación de relaves incluyendo la actual y la del apogeo final (se puede obtener información de la emisión del Requisito 5.5);      6. Un resumen de los hallazgos materiales de las revisiones de desempeño anual y la revisión de seguridad de represas (DSR), incluyendo la implementación de medidas de mitigación para reducir los riesgos al ALARP (Se puede obtener la información de la emisión de los Requisitos 10.4 y 10.5);    7. Un resumen de hallazgos materiales del programa de monitoreo medioambiental y social incluyendo la implementación de medidas de mitigación (Requisito 7.5);    8. Una versión resumida del EPRP da la instalación de relaves para instalaciones que tienen un(os) modelo(s) de falla de flujo creíble(s) que pudieran conducir a un evento de falla de flujo que: (i) informado por escenarios de falla de flujo creíbles del análisis de brecha de la instalación de relaves; (ii) incluya medida de respuesta frente a emergencias que apliquen a las personas afectadas por el proyecto identificadas en el análisis de brecha de la instalación de relaves e involucren la cooperación de las agencias del sector público: y (iii) excluye detalles de medidas de preparación frente a emergencias que apliquen a los activos del Operador, o información confidencial (Requisitos 13.1 y 13.2);   9. Fechas de las revisiones independientes más recientes y de las siguientes (Requisito 10.5); y   10. Confirmación anual que el Operador tiene la capacidad financiera adecuada (incluyendo seguro, en la medida de lo comercialmente razonable) para cubrir los costos estimados del cierre planificado, cierre temprano, recuperación, y post-cierre de la instalación de relaves y sus estructuras correspondientes (Requisito 10.7).        Tales divulgaciones deberán hacerse directamente, a menos que estén sujetas a limitaciones impuestas por las autoridades reguladoras.    c) Proporcionar a las autoridades locales y servicios de emergencia con información suficiente derivada del análisis de brecha para permitir una planificación de gestión de desastres eficaz (la información puede ser obtenida de la emisión del Requisito 2.3). </t>
  </si>
  <si>
    <t xml:space="preserve"> 15.1 - A</t>
  </si>
  <si>
    <t xml:space="preserve"> 15.1 - A Todas las divulgaciones especificadas en 15.1 (A) y (B) son abordadas. </t>
  </si>
  <si>
    <t>C217</t>
  </si>
  <si>
    <t xml:space="preserve"> 15.1 - B</t>
  </si>
  <si>
    <t xml:space="preserve"> 15.1 - B Las divulgaciones especificadas en 15.1(C) son abordadas. </t>
  </si>
  <si>
    <t>C218</t>
  </si>
  <si>
    <t>Requisito 15.2</t>
  </si>
  <si>
    <t xml:space="preserve">Requisito 15.2 Responder de forma sistemática y oportuno a las solicitudes de las partes involucradas interesadas y afectadas para material de información adicional sobre la seguridad pública e integridad de la instalación de relaves. Cuando la solicitud de información sea denegada, proporcionar información a la parte interesada solicitante. </t>
  </si>
  <si>
    <t xml:space="preserve"> 15.2 - A</t>
  </si>
  <si>
    <t xml:space="preserve"> 15.2 - A El Operador mantiene un enfoque sistemático y oportuno a la respuesta de solicitudes de material 1 informativo de seguridad pública e integridad de la instalación de relaves por parte de personas afectadas por el proyecto. </t>
  </si>
  <si>
    <t>C219</t>
  </si>
  <si>
    <t xml:space="preserve"> 15.2 - B</t>
  </si>
  <si>
    <t xml:space="preserve"> 15.2 - B En las instancias que tales solicitudes son denegadas por el Operador, se deberá proporcionar una explicación a las personas afectadas por el proyecto dentro de un plazo razonable y se mantendrán registros de las explicaciones brindadas relevantes a las personas afectadas por el proyecto solicitantes. </t>
  </si>
  <si>
    <t>C220</t>
  </si>
  <si>
    <t>Requisito 15.3</t>
  </si>
  <si>
    <t xml:space="preserve">Requisito 15.3 Comprometerse para cooperar en iniciativas de transparencia global fiables para crear bases de datos, inventarios u otros depósitos de información sobre la seguridad e integridad de las instalaciones de relaves estandarizados, independientes, a nivel de industria y de acceso público. </t>
  </si>
  <si>
    <t xml:space="preserve"> 15.3 - A</t>
  </si>
  <si>
    <t xml:space="preserve"> 15.3 - A Contribuye con información a las iniciativas de transparencia global relacionadas a la seguridad e integridad de instalaciones de relaves. </t>
  </si>
  <si>
    <t>C221</t>
  </si>
  <si>
    <t xml:space="preserve"> 15.3 - B</t>
  </si>
  <si>
    <t xml:space="preserve"> 15.3 - B Actualizar periódicamente la información divulgada relacionada a la seguridad e integridad de instalaciones de relaves, como mínimo de acuerdo a los requisitos en 15.1 </t>
  </si>
  <si>
    <t>% Contribución</t>
  </si>
  <si>
    <t>Ponderación Criterio</t>
  </si>
  <si>
    <t>% Avance Documento</t>
  </si>
  <si>
    <t>Avance Ponderado Efectivo</t>
  </si>
  <si>
    <t>Rango de páginas</t>
  </si>
  <si>
    <t>Fragmentos</t>
  </si>
  <si>
    <t>120-130</t>
  </si>
  <si>
    <t>120-131</t>
  </si>
  <si>
    <t>120-132</t>
  </si>
  <si>
    <t>120-133</t>
  </si>
  <si>
    <t>120-134</t>
  </si>
  <si>
    <t>120-135</t>
  </si>
  <si>
    <t>120-136</t>
  </si>
  <si>
    <t>120-137</t>
  </si>
  <si>
    <t>120-138</t>
  </si>
  <si>
    <t>120-139</t>
  </si>
  <si>
    <t>120-140</t>
  </si>
  <si>
    <t>120-141</t>
  </si>
  <si>
    <t>120-142</t>
  </si>
  <si>
    <t>120-143</t>
  </si>
  <si>
    <t>120-144</t>
  </si>
  <si>
    <t>120-145</t>
  </si>
  <si>
    <t>120-146</t>
  </si>
  <si>
    <t>120-147</t>
  </si>
  <si>
    <t>120-148</t>
  </si>
  <si>
    <t>120-149</t>
  </si>
  <si>
    <t>120-150</t>
  </si>
  <si>
    <t>120-151</t>
  </si>
  <si>
    <t>120-152</t>
  </si>
  <si>
    <t>120-153</t>
  </si>
  <si>
    <t>120-154</t>
  </si>
  <si>
    <t>120-155</t>
  </si>
  <si>
    <t>120-156</t>
  </si>
  <si>
    <t>120-157</t>
  </si>
  <si>
    <t>120-158</t>
  </si>
  <si>
    <t>120-159</t>
  </si>
  <si>
    <t>120-160</t>
  </si>
  <si>
    <t>120-161</t>
  </si>
  <si>
    <t>120-162</t>
  </si>
  <si>
    <t>120-163</t>
  </si>
  <si>
    <t>120-164</t>
  </si>
  <si>
    <t>120-165</t>
  </si>
  <si>
    <t>120-166</t>
  </si>
  <si>
    <t>120-167</t>
  </si>
  <si>
    <t>120-168</t>
  </si>
  <si>
    <t>120-169</t>
  </si>
  <si>
    <t>120-170</t>
  </si>
  <si>
    <t>120-171</t>
  </si>
  <si>
    <t>120-172</t>
  </si>
  <si>
    <t>120-173</t>
  </si>
  <si>
    <t>120-174</t>
  </si>
  <si>
    <t>120-175</t>
  </si>
  <si>
    <t>120-176</t>
  </si>
  <si>
    <t>120-177</t>
  </si>
  <si>
    <t>120-178</t>
  </si>
  <si>
    <t>120-179</t>
  </si>
  <si>
    <t>120-180</t>
  </si>
  <si>
    <t>120-181</t>
  </si>
  <si>
    <t>120-182</t>
  </si>
  <si>
    <t>120-183</t>
  </si>
  <si>
    <t>120-184</t>
  </si>
  <si>
    <t>120-185</t>
  </si>
  <si>
    <t>120-186</t>
  </si>
  <si>
    <t>120-187</t>
  </si>
  <si>
    <t>120-188</t>
  </si>
  <si>
    <t>120-189</t>
  </si>
  <si>
    <t>120-190</t>
  </si>
  <si>
    <t>120-191</t>
  </si>
  <si>
    <t>120-192</t>
  </si>
  <si>
    <t>120-193</t>
  </si>
  <si>
    <t>120-194</t>
  </si>
  <si>
    <t>120-195</t>
  </si>
  <si>
    <t>120-196</t>
  </si>
  <si>
    <t>120-197</t>
  </si>
  <si>
    <t>120-198</t>
  </si>
  <si>
    <t>120-199</t>
  </si>
  <si>
    <t>120-200</t>
  </si>
  <si>
    <t>120-201</t>
  </si>
  <si>
    <t>120-202</t>
  </si>
  <si>
    <t>120-203</t>
  </si>
  <si>
    <t>120-204</t>
  </si>
  <si>
    <t>120-205</t>
  </si>
  <si>
    <t>120-206</t>
  </si>
  <si>
    <t>120-207</t>
  </si>
  <si>
    <t>120-208</t>
  </si>
  <si>
    <t>120-209</t>
  </si>
  <si>
    <t>120-210</t>
  </si>
  <si>
    <t>120-211</t>
  </si>
  <si>
    <t>120-212</t>
  </si>
  <si>
    <t>120-213</t>
  </si>
  <si>
    <t>120-214</t>
  </si>
  <si>
    <t>120-215</t>
  </si>
  <si>
    <t>120-216</t>
  </si>
  <si>
    <t>120-217</t>
  </si>
  <si>
    <t>120-218</t>
  </si>
  <si>
    <t>120-219</t>
  </si>
  <si>
    <t>120-220</t>
  </si>
  <si>
    <t>120-221</t>
  </si>
  <si>
    <t>120-222</t>
  </si>
  <si>
    <t>120-223</t>
  </si>
  <si>
    <t>120-224</t>
  </si>
  <si>
    <t>120-225</t>
  </si>
  <si>
    <t>120-226</t>
  </si>
  <si>
    <t>120-227</t>
  </si>
  <si>
    <t>120-228</t>
  </si>
  <si>
    <t>120-229</t>
  </si>
  <si>
    <t>120-230</t>
  </si>
  <si>
    <t>120-231</t>
  </si>
  <si>
    <t>120-232</t>
  </si>
  <si>
    <t>120-233</t>
  </si>
  <si>
    <t>120-234</t>
  </si>
  <si>
    <t>120-235</t>
  </si>
  <si>
    <t>120-236</t>
  </si>
  <si>
    <t>120-237</t>
  </si>
  <si>
    <t>120-238</t>
  </si>
  <si>
    <t>120-239</t>
  </si>
  <si>
    <t>120-240</t>
  </si>
  <si>
    <t>120-241</t>
  </si>
  <si>
    <t>120-242</t>
  </si>
  <si>
    <t>120-243</t>
  </si>
  <si>
    <t>120-244</t>
  </si>
  <si>
    <t>120-245</t>
  </si>
  <si>
    <t>120-246</t>
  </si>
  <si>
    <t>120-247</t>
  </si>
  <si>
    <t>120-248</t>
  </si>
  <si>
    <t>120-249</t>
  </si>
  <si>
    <t>120-250</t>
  </si>
  <si>
    <t>120-251</t>
  </si>
  <si>
    <t>120-252</t>
  </si>
  <si>
    <t>120-253</t>
  </si>
  <si>
    <t>120-254</t>
  </si>
  <si>
    <t>120-255</t>
  </si>
  <si>
    <t>120-256</t>
  </si>
  <si>
    <t>120-257</t>
  </si>
  <si>
    <t>120-258</t>
  </si>
  <si>
    <t>120-259</t>
  </si>
  <si>
    <t>120-260</t>
  </si>
  <si>
    <t>120-261</t>
  </si>
  <si>
    <t>120-262</t>
  </si>
  <si>
    <t>120-263</t>
  </si>
  <si>
    <t>120-264</t>
  </si>
  <si>
    <t>120-265</t>
  </si>
  <si>
    <t>120-266</t>
  </si>
  <si>
    <t>120-267</t>
  </si>
  <si>
    <t>120-268</t>
  </si>
  <si>
    <t>120-269</t>
  </si>
  <si>
    <t>120-270</t>
  </si>
  <si>
    <t>120-271</t>
  </si>
  <si>
    <t>120-272</t>
  </si>
  <si>
    <t>120-273</t>
  </si>
  <si>
    <t>120-274</t>
  </si>
  <si>
    <t>120-275</t>
  </si>
  <si>
    <t>120-276</t>
  </si>
  <si>
    <t>120-277</t>
  </si>
  <si>
    <t>120-278</t>
  </si>
  <si>
    <t>120-279</t>
  </si>
  <si>
    <t>120-280</t>
  </si>
  <si>
    <t>120-281</t>
  </si>
  <si>
    <t>120-282</t>
  </si>
  <si>
    <t>120-283</t>
  </si>
  <si>
    <t>120-284</t>
  </si>
  <si>
    <t>120-285</t>
  </si>
  <si>
    <t>120-286</t>
  </si>
  <si>
    <t>120-287</t>
  </si>
  <si>
    <t>120-288</t>
  </si>
  <si>
    <t>120-289</t>
  </si>
  <si>
    <t>120-290</t>
  </si>
  <si>
    <t>120-291</t>
  </si>
  <si>
    <t>120-292</t>
  </si>
  <si>
    <t>120-293</t>
  </si>
  <si>
    <t>120-294</t>
  </si>
  <si>
    <t>120-295</t>
  </si>
  <si>
    <t>120-296</t>
  </si>
  <si>
    <t>120-297</t>
  </si>
  <si>
    <t>120-298</t>
  </si>
  <si>
    <t>120-299</t>
  </si>
  <si>
    <t>120-300</t>
  </si>
  <si>
    <t>120-301</t>
  </si>
  <si>
    <t>120-302</t>
  </si>
  <si>
    <t>120-303</t>
  </si>
  <si>
    <t>120-304</t>
  </si>
  <si>
    <t>120-305</t>
  </si>
  <si>
    <t>120-306</t>
  </si>
  <si>
    <t>120-307</t>
  </si>
  <si>
    <t>120-308</t>
  </si>
  <si>
    <t>120-309</t>
  </si>
  <si>
    <t>120-310</t>
  </si>
  <si>
    <t>120-311</t>
  </si>
  <si>
    <t>120-312</t>
  </si>
  <si>
    <t>120-313</t>
  </si>
  <si>
    <t>120-314</t>
  </si>
  <si>
    <t>120-315</t>
  </si>
  <si>
    <t>120-316</t>
  </si>
  <si>
    <t>120-317</t>
  </si>
  <si>
    <t>120-318</t>
  </si>
  <si>
    <t>120-319</t>
  </si>
  <si>
    <t>120-320</t>
  </si>
  <si>
    <t>120-321</t>
  </si>
  <si>
    <t>120-322</t>
  </si>
  <si>
    <t>120-323</t>
  </si>
  <si>
    <t>120-324</t>
  </si>
  <si>
    <t>120-325</t>
  </si>
  <si>
    <t>120-326</t>
  </si>
  <si>
    <t>120-327</t>
  </si>
  <si>
    <t>120-328</t>
  </si>
  <si>
    <t>120-329</t>
  </si>
  <si>
    <t>120-330</t>
  </si>
  <si>
    <t>120-331</t>
  </si>
  <si>
    <t>120-332</t>
  </si>
  <si>
    <t>120-333</t>
  </si>
  <si>
    <t>120-334</t>
  </si>
  <si>
    <t>120-335</t>
  </si>
  <si>
    <t>120-336</t>
  </si>
  <si>
    <t>120-337</t>
  </si>
  <si>
    <t>120-338</t>
  </si>
  <si>
    <t>120-339</t>
  </si>
  <si>
    <t>120-340</t>
  </si>
  <si>
    <t>120-341</t>
  </si>
  <si>
    <t>120-342</t>
  </si>
  <si>
    <t>120-343</t>
  </si>
  <si>
    <t>120-344</t>
  </si>
  <si>
    <t>120-345</t>
  </si>
  <si>
    <t>120-346</t>
  </si>
  <si>
    <t>120-347</t>
  </si>
  <si>
    <t>120-348</t>
  </si>
  <si>
    <t>120-349</t>
  </si>
  <si>
    <t>120-350</t>
  </si>
  <si>
    <t>120-351</t>
  </si>
  <si>
    <t>120-352</t>
  </si>
  <si>
    <t>120-353</t>
  </si>
  <si>
    <t>120-354</t>
  </si>
  <si>
    <t>120-355</t>
  </si>
  <si>
    <t>120-356</t>
  </si>
  <si>
    <t>120-357</t>
  </si>
  <si>
    <t>120-358</t>
  </si>
  <si>
    <t>120-359</t>
  </si>
  <si>
    <t>120-360</t>
  </si>
  <si>
    <t>N° Documentos Vinculados</t>
  </si>
  <si>
    <t>Suma Ponderación</t>
  </si>
  <si>
    <t>Avance Ponderado</t>
  </si>
  <si>
    <t>% Avance Principio</t>
  </si>
  <si>
    <t>% Avance Tema</t>
  </si>
  <si>
    <t>Fecha</t>
  </si>
  <si>
    <t>Plan</t>
  </si>
  <si>
    <t>Real</t>
  </si>
  <si>
    <t>Forecast</t>
  </si>
  <si>
    <t>DR001</t>
  </si>
  <si>
    <t>DR002</t>
  </si>
  <si>
    <t>DR003</t>
  </si>
  <si>
    <t>DR004</t>
  </si>
  <si>
    <t>DR005</t>
  </si>
  <si>
    <t>DR006</t>
  </si>
  <si>
    <t>DR007</t>
  </si>
  <si>
    <t>DR008</t>
  </si>
  <si>
    <t>DR009</t>
  </si>
  <si>
    <t>DR010</t>
  </si>
  <si>
    <t>DR011</t>
  </si>
  <si>
    <t>DR012</t>
  </si>
  <si>
    <t>DR013</t>
  </si>
  <si>
    <t>DR014</t>
  </si>
  <si>
    <t>DR015</t>
  </si>
  <si>
    <t>DR016</t>
  </si>
  <si>
    <t>DR017</t>
  </si>
  <si>
    <t>DR018</t>
  </si>
  <si>
    <t>DR019</t>
  </si>
  <si>
    <t>DR020</t>
  </si>
  <si>
    <t>DR021</t>
  </si>
  <si>
    <t>DR022</t>
  </si>
  <si>
    <t>DR023</t>
  </si>
  <si>
    <t>DR024</t>
  </si>
  <si>
    <t>DR025</t>
  </si>
  <si>
    <t>DR026</t>
  </si>
  <si>
    <t>DR027</t>
  </si>
  <si>
    <t>DR028</t>
  </si>
  <si>
    <t>DR029</t>
  </si>
  <si>
    <t>DR030</t>
  </si>
  <si>
    <t>DR031</t>
  </si>
  <si>
    <t>DR032</t>
  </si>
  <si>
    <t>DR033</t>
  </si>
  <si>
    <t>DR034</t>
  </si>
  <si>
    <t>DR035</t>
  </si>
  <si>
    <t>DR036</t>
  </si>
  <si>
    <t>DR037</t>
  </si>
  <si>
    <t>DR038</t>
  </si>
  <si>
    <t>DR039</t>
  </si>
  <si>
    <t>DR040</t>
  </si>
  <si>
    <t>DR041</t>
  </si>
  <si>
    <t>DR042</t>
  </si>
  <si>
    <t>DR043</t>
  </si>
  <si>
    <t>DR044</t>
  </si>
  <si>
    <t>DR045</t>
  </si>
  <si>
    <t>DR046</t>
  </si>
  <si>
    <t>DR047</t>
  </si>
  <si>
    <t>DR048</t>
  </si>
  <si>
    <t>DR049</t>
  </si>
  <si>
    <t>DR050</t>
  </si>
  <si>
    <t>DR051</t>
  </si>
  <si>
    <t>DR052</t>
  </si>
  <si>
    <t>DR053</t>
  </si>
  <si>
    <t>DR054</t>
  </si>
  <si>
    <t>DR055</t>
  </si>
  <si>
    <t>DR056</t>
  </si>
  <si>
    <t>DR057</t>
  </si>
  <si>
    <t>DR058</t>
  </si>
  <si>
    <t>DR059</t>
  </si>
  <si>
    <t>DR060</t>
  </si>
  <si>
    <t>DR061</t>
  </si>
  <si>
    <t>DR062</t>
  </si>
  <si>
    <t>DR063</t>
  </si>
  <si>
    <t>DR064</t>
  </si>
  <si>
    <t>DR065</t>
  </si>
  <si>
    <t>DR066</t>
  </si>
  <si>
    <t>DR067</t>
  </si>
  <si>
    <t>DR068</t>
  </si>
  <si>
    <t>DR069</t>
  </si>
  <si>
    <t>DR070</t>
  </si>
  <si>
    <t>DR071</t>
  </si>
  <si>
    <t>DR072</t>
  </si>
  <si>
    <t>DR073</t>
  </si>
  <si>
    <t>DR074</t>
  </si>
  <si>
    <t>DR075</t>
  </si>
  <si>
    <t>DR076</t>
  </si>
  <si>
    <t>DR077</t>
  </si>
  <si>
    <t>DR078</t>
  </si>
  <si>
    <t>DR079</t>
  </si>
  <si>
    <t>DR080</t>
  </si>
  <si>
    <t>DR081</t>
  </si>
  <si>
    <t>DR082</t>
  </si>
  <si>
    <t>DR083</t>
  </si>
  <si>
    <t>DR084</t>
  </si>
  <si>
    <t>DR085</t>
  </si>
  <si>
    <t>DR086</t>
  </si>
  <si>
    <t>DR087</t>
  </si>
  <si>
    <t>DR088</t>
  </si>
  <si>
    <t>DR089</t>
  </si>
  <si>
    <t>DR090</t>
  </si>
  <si>
    <t>DR091</t>
  </si>
  <si>
    <t>DR092</t>
  </si>
  <si>
    <t>DR093</t>
  </si>
  <si>
    <t>DR094</t>
  </si>
  <si>
    <t>DR095</t>
  </si>
  <si>
    <t>DR096</t>
  </si>
  <si>
    <t>DR097</t>
  </si>
  <si>
    <t>DR098</t>
  </si>
  <si>
    <t>DR099</t>
  </si>
  <si>
    <t>DR100</t>
  </si>
  <si>
    <t>DR101</t>
  </si>
  <si>
    <t>DR102</t>
  </si>
  <si>
    <t>DR103</t>
  </si>
  <si>
    <t>DR104</t>
  </si>
  <si>
    <t>DR105</t>
  </si>
  <si>
    <t>DR106</t>
  </si>
  <si>
    <t>DR107</t>
  </si>
  <si>
    <t>DR108</t>
  </si>
  <si>
    <t>DR109</t>
  </si>
  <si>
    <t>DR110</t>
  </si>
  <si>
    <t>DR111</t>
  </si>
  <si>
    <t>DR112</t>
  </si>
  <si>
    <t>DR113</t>
  </si>
  <si>
    <t>DR114</t>
  </si>
  <si>
    <t>DR115</t>
  </si>
  <si>
    <t>DR116</t>
  </si>
  <si>
    <t>DR117</t>
  </si>
  <si>
    <t>DR118</t>
  </si>
  <si>
    <t>DR119</t>
  </si>
  <si>
    <t>DR120</t>
  </si>
  <si>
    <t>DR121</t>
  </si>
  <si>
    <t>DR122</t>
  </si>
  <si>
    <t>DR123</t>
  </si>
  <si>
    <t>DR124</t>
  </si>
  <si>
    <t>DR125</t>
  </si>
  <si>
    <t>DR126</t>
  </si>
  <si>
    <t>DR127</t>
  </si>
  <si>
    <t>DR128</t>
  </si>
  <si>
    <t>DR129</t>
  </si>
  <si>
    <t>DR130</t>
  </si>
  <si>
    <t>DR131</t>
  </si>
  <si>
    <t>DR132</t>
  </si>
  <si>
    <t>DR133</t>
  </si>
  <si>
    <t>DR134</t>
  </si>
  <si>
    <t>DR135</t>
  </si>
  <si>
    <t>DR136</t>
  </si>
  <si>
    <t>DR137</t>
  </si>
  <si>
    <t>DR138</t>
  </si>
  <si>
    <t>DR139</t>
  </si>
  <si>
    <t>DR140</t>
  </si>
  <si>
    <t>DR141</t>
  </si>
  <si>
    <t>DR142</t>
  </si>
  <si>
    <t>DR143</t>
  </si>
  <si>
    <t>DR144</t>
  </si>
  <si>
    <t>DR145</t>
  </si>
  <si>
    <t>DR146</t>
  </si>
  <si>
    <t>DR147</t>
  </si>
  <si>
    <t>DR148</t>
  </si>
  <si>
    <t>DR149</t>
  </si>
  <si>
    <t>DR150</t>
  </si>
  <si>
    <t>DR151</t>
  </si>
  <si>
    <t>DR152</t>
  </si>
  <si>
    <t>DR153</t>
  </si>
  <si>
    <t>DR154</t>
  </si>
  <si>
    <t>DR155</t>
  </si>
  <si>
    <t>DR156</t>
  </si>
  <si>
    <t>DR157</t>
  </si>
  <si>
    <t>DR158</t>
  </si>
  <si>
    <t>DR159</t>
  </si>
  <si>
    <t>DR160</t>
  </si>
  <si>
    <t>DR161</t>
  </si>
  <si>
    <t>DR162</t>
  </si>
  <si>
    <t>DR163</t>
  </si>
  <si>
    <t>DR164</t>
  </si>
  <si>
    <t>DR165</t>
  </si>
  <si>
    <t>DR166</t>
  </si>
  <si>
    <t>DR167</t>
  </si>
  <si>
    <t>DR168</t>
  </si>
  <si>
    <t>DR169</t>
  </si>
  <si>
    <t>DR170</t>
  </si>
  <si>
    <t>DR171</t>
  </si>
  <si>
    <t>DR172</t>
  </si>
  <si>
    <t>DR173</t>
  </si>
  <si>
    <t>DR174</t>
  </si>
  <si>
    <t>DR175</t>
  </si>
  <si>
    <t>DR176</t>
  </si>
  <si>
    <t>DR177</t>
  </si>
  <si>
    <t>DR178</t>
  </si>
  <si>
    <t>DR179</t>
  </si>
  <si>
    <t>DR180</t>
  </si>
  <si>
    <t>DR181</t>
  </si>
  <si>
    <t>DR182</t>
  </si>
  <si>
    <t>DR183</t>
  </si>
  <si>
    <t>DR184</t>
  </si>
  <si>
    <t>DR185</t>
  </si>
  <si>
    <t>DR186</t>
  </si>
  <si>
    <t>DR187</t>
  </si>
  <si>
    <t>DR188</t>
  </si>
  <si>
    <t>DR189</t>
  </si>
  <si>
    <t>DR190</t>
  </si>
  <si>
    <t>DR191</t>
  </si>
  <si>
    <t>DR192</t>
  </si>
  <si>
    <t>DR193</t>
  </si>
  <si>
    <t>DR194</t>
  </si>
  <si>
    <t>DR195</t>
  </si>
  <si>
    <t>DR196</t>
  </si>
  <si>
    <t>DR197</t>
  </si>
  <si>
    <t>DR198</t>
  </si>
  <si>
    <t>DR199</t>
  </si>
  <si>
    <t>DR200</t>
  </si>
  <si>
    <t>DR201</t>
  </si>
  <si>
    <t>DR202</t>
  </si>
  <si>
    <t>DR203</t>
  </si>
  <si>
    <t>DR204</t>
  </si>
  <si>
    <t>DR205</t>
  </si>
  <si>
    <t>DR206</t>
  </si>
  <si>
    <t>DR207</t>
  </si>
  <si>
    <t>DR208</t>
  </si>
  <si>
    <t>DR209</t>
  </si>
  <si>
    <t>DR210</t>
  </si>
  <si>
    <t>DR211</t>
  </si>
  <si>
    <t>DR212</t>
  </si>
  <si>
    <t>DR213</t>
  </si>
  <si>
    <t>DR214</t>
  </si>
  <si>
    <t>DR215</t>
  </si>
  <si>
    <t>DR216</t>
  </si>
  <si>
    <t>DR217</t>
  </si>
  <si>
    <t>DR218</t>
  </si>
  <si>
    <t>DR219</t>
  </si>
  <si>
    <t>DR220</t>
  </si>
  <si>
    <t>DR221</t>
  </si>
  <si>
    <t>DR222</t>
  </si>
  <si>
    <t>DR223</t>
  </si>
  <si>
    <t>DR224</t>
  </si>
  <si>
    <t>DR225</t>
  </si>
  <si>
    <t>DR226</t>
  </si>
  <si>
    <t>DR227</t>
  </si>
  <si>
    <t>DR228</t>
  </si>
  <si>
    <t>DR229</t>
  </si>
  <si>
    <t>DR230</t>
  </si>
  <si>
    <t>DR231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</si>
</sst>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8">
    <font>
      <sz val="11"/>
      <color theme="1"/>
      <name val="Calibri"/>
      <family val="2"/>
      <charset val="1"/>
    </font>
    <font>
      <sz val="10"/>
      <name val="Arial"/>
    </font>
    <font>
      <b/>
      <sz val="14"/>
      <color rgb="FF1F4E78"/>
      <name val="Arial"/>
      <charset val="1"/>
    </font>
    <font>
      <sz val="10"/>
      <name val="Arial"/>
      <charset val="1"/>
    </font>
    <font>
      <b/>
      <sz val="10"/>
      <name val="Arial"/>
      <charset val="1"/>
    </font>
    <font>
      <b/>
      <sz val="10"/>
      <color rgb="FFFFFFFF"/>
      <name val="Arial"/>
      <charset val="1"/>
    </font>
    <font>
      <sz val="10"/>
      <color rgb="FF0000FF"/>
      <name val="Arial"/>
      <charset val="1"/>
    </font>
    <font>
      <sz val="10"/>
      <color rgb="FF008000"/>
      <name val="Arial"/>
      <charset val="1"/>
    </font>
    <font>
      <sz val="10"/>
      <color rgb="FF000000"/>
      <name val="Arial"/>
      <charset val="1"/>
    </font>
    <font>
      <sz val="10"/>
      <color rgb="FFFF0000"/>
      <name val="Arial"/>
      <family val="2"/>
    </font>
    <font>
      <sz val="10"/>
      <name val="Arial"/>
      <family val="2"/>
    </font>
    <font>
      <sz val="10"/>
      <color rgb="FF0070C0"/>
      <name val="Arial"/>
      <family val="2"/>
    </font>
    <font>
      <sz val="8"/>
      <name val="Calibri"/>
      <family val="2"/>
      <charset val="1"/>
    </font>
    <font>
      <sz val="10"/>
      <color rgb="FF000000"/>
      <name val="Arial"/>
      <family val="2"/>
    </font>
    <font>
      <b/>
      <sz val="10"/>
      <color rgb="FFFFFFFF"/>
      <name val="Arial"/>
      <family val="2"/>
    </font>
    <font>
      <sz val="10"/>
      <color rgb="FF0069AA"/>
      <name val="Arial"/>
      <family val="2"/>
    </font>
    <font>
      <sz val="10"/>
      <color rgb="FF0000FF"/>
      <name val="Arial"/>
      <family val="2"/>
    </font>
    <font>
      <sz val="11"/>
      <name val="Calibri"/>
      <family val="2"/>
      <scheme val="minor"/>
    </font>
  </fonts>
  <fills count="6">
    <fill>
      <patternFill patternType="none"/>
    </fill>
    <fill>
      <patternFill patternType="gray125"/>
    </fill>
    <fill>
      <patternFill patternType="solid">
        <fgColor rgb="FFFFFF00"/>
        <bgColor rgb="FFFFFF00"/>
      </patternFill>
    </fill>
    <fill>
      <patternFill patternType="solid">
        <fgColor rgb="FF0069AA"/>
        <bgColor rgb="FF003366"/>
      </patternFill>
    </fill>
    <fill>
      <patternFill patternType="solid">
        <fgColor theme="8" tint="0.79998168889431442"/>
        <bgColor indexed="64"/>
      </patternFill>
    </fill>
    <fill>
      <patternFill patternType="solid">
        <fgColor theme="9" tint="0.79998168889431442"/>
        <bgColor indexed="64"/>
      </patternFill>
    </fill>
  </fills>
  <borders count="9">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style="thin">
        <color indexed="64"/>
      </bottom>
      <diagonal/>
    </border>
    <border>
      <left/>
      <right/>
      <top/>
      <bottom style="thin">
        <color indexed="64"/>
      </bottom>
      <diagonal/>
    </border>
    <border>
      <left style="thin">
        <color rgb="FFB7B7B7"/>
      </left>
      <right style="thin">
        <color rgb="FFB7B7B7"/>
      </right>
      <top style="thin">
        <color indexed="64"/>
      </top>
      <bottom style="thin">
        <color rgb="FFB7B7B7"/>
      </bottom>
      <diagonal/>
    </border>
    <border>
      <left/>
      <right/>
      <top style="thin">
        <color indexed="64"/>
      </top>
      <bottom/>
      <diagonal/>
    </border>
    <border>
      <left style="thin">
        <color rgb="FFB7B7B7"/>
      </left>
      <right style="thin">
        <color rgb="FFB7B7B7"/>
      </right>
      <top style="thin">
        <color indexed="64"/>
      </top>
      <bottom style="thin">
        <color indexed="64"/>
      </bottom>
      <diagonal/>
    </border>
    <border>
      <left/>
      <right/>
      <top style="thin">
        <color indexed="64"/>
      </top>
      <bottom style="thin">
        <color indexed="64"/>
      </bottom>
      <diagonal/>
    </border>
    <border>
      <left style="thick">
        <color rgb="FFFF0000"/>
      </left>
      <right/>
      <top/>
      <bottom/>
      <diagonal/>
    </border>
  </borders>
  <cellStyleXfs count="2">
    <xf numFmtId="0" fontId="0" fillId="0" borderId="0"/>
    <xf numFmtId="9" fontId="1" fillId="0" borderId="0" applyBorder="0" applyAlignment="0" applyProtection="0"/>
  </cellStyleXfs>
  <cellXfs count="65">
    <xf numFmtId="0" fontId="0" fillId="0" borderId="0" xfId="0"/>
    <xf numFmtId="0" fontId="2" fillId="0" borderId="0" xfId="0" applyFont="1"/>
    <xf numFmtId="0" fontId="4" fillId="0" borderId="0" xfId="0" applyFont="1"/>
    <xf numFmtId="0" fontId="6" fillId="0" borderId="1" xfId="0" applyFont="1" applyBorder="1"/>
    <xf numFmtId="0" fontId="7" fillId="0" borderId="1" xfId="0" applyFont="1" applyBorder="1"/>
    <xf numFmtId="2" fontId="8" fillId="0" borderId="1" xfId="0" applyNumberFormat="1" applyFont="1" applyBorder="1"/>
    <xf numFmtId="0" fontId="0" fillId="0" borderId="1" xfId="0" applyBorder="1" applyAlignment="1">
      <alignment vertical="top" wrapText="1"/>
    </xf>
    <xf numFmtId="0" fontId="8" fillId="0" borderId="1" xfId="0" applyFont="1" applyBorder="1"/>
    <xf numFmtId="165" fontId="8" fillId="0" borderId="1" xfId="0" applyNumberFormat="1" applyFont="1" applyBorder="1"/>
    <xf numFmtId="0" fontId="5" fillId="3" borderId="1" xfId="0" applyFont="1" applyFill="1" applyBorder="1" applyAlignment="1">
      <alignment horizontal="center" vertical="center" wrapText="1"/>
    </xf>
    <xf numFmtId="0" fontId="10" fillId="0" borderId="1" xfId="0" applyFont="1" applyBorder="1"/>
    <xf numFmtId="164" fontId="10" fillId="0" borderId="1" xfId="0" applyNumberFormat="1" applyFont="1" applyBorder="1"/>
    <xf numFmtId="0" fontId="5" fillId="3" borderId="1" xfId="0" applyFont="1" applyFill="1" applyBorder="1" applyAlignment="1">
      <alignment horizontal="center" vertical="center"/>
    </xf>
    <xf numFmtId="0" fontId="14" fillId="3" borderId="1" xfId="0" applyFont="1" applyFill="1" applyBorder="1" applyAlignment="1">
      <alignment horizontal="center" vertical="center" wrapText="1"/>
    </xf>
    <xf numFmtId="0" fontId="10" fillId="0" borderId="1" xfId="0" applyFont="1" applyBorder="1" applyAlignment="1">
      <alignment horizontal="center" vertical="center"/>
    </xf>
    <xf numFmtId="9" fontId="15" fillId="0" borderId="1" xfId="0" applyNumberFormat="1" applyFont="1" applyBorder="1"/>
    <xf numFmtId="9" fontId="6" fillId="2" borderId="1" xfId="0" applyNumberFormat="1" applyFont="1" applyFill="1" applyBorder="1" applyAlignment="1">
      <alignment horizontal="center"/>
    </xf>
    <xf numFmtId="0" fontId="0" fillId="0" borderId="0" xfId="0" applyAlignment="1">
      <alignment horizontal="center"/>
    </xf>
    <xf numFmtId="0" fontId="6" fillId="0" borderId="1" xfId="0" applyFont="1" applyBorder="1" applyAlignment="1">
      <alignment horizontal="center"/>
    </xf>
    <xf numFmtId="0" fontId="6" fillId="0" borderId="1" xfId="0" applyFont="1" applyBorder="1" applyAlignment="1">
      <alignment horizontal="center" vertical="center"/>
    </xf>
    <xf numFmtId="0" fontId="0" fillId="0" borderId="0" xfId="0" applyAlignment="1">
      <alignment horizontal="center" vertical="center"/>
    </xf>
    <xf numFmtId="0" fontId="5" fillId="3" borderId="1" xfId="0" applyFont="1" applyFill="1"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9" fontId="0" fillId="0" borderId="1" xfId="0" applyNumberFormat="1" applyBorder="1" applyAlignment="1">
      <alignment horizontal="center"/>
    </xf>
    <xf numFmtId="2" fontId="8" fillId="0" borderId="1" xfId="0" applyNumberFormat="1" applyFont="1" applyBorder="1" applyAlignment="1">
      <alignment horizontal="center"/>
    </xf>
    <xf numFmtId="0" fontId="6" fillId="0" borderId="1" xfId="0" applyFont="1" applyBorder="1" applyAlignment="1">
      <alignment horizontal="center" wrapText="1"/>
    </xf>
    <xf numFmtId="0" fontId="0" fillId="0" borderId="0" xfId="0" applyAlignment="1">
      <alignment horizontal="center" wrapText="1"/>
    </xf>
    <xf numFmtId="0" fontId="5" fillId="3" borderId="1" xfId="0" applyFont="1" applyFill="1" applyBorder="1" applyAlignment="1">
      <alignment horizontal="left" vertical="center" wrapText="1"/>
    </xf>
    <xf numFmtId="0" fontId="6" fillId="0" borderId="1" xfId="0" applyFont="1" applyBorder="1" applyAlignment="1">
      <alignment horizontal="left" wrapText="1"/>
    </xf>
    <xf numFmtId="0" fontId="0" fillId="0" borderId="0" xfId="0" applyAlignment="1">
      <alignment horizontal="left" wrapText="1"/>
    </xf>
    <xf numFmtId="0" fontId="6" fillId="0" borderId="2" xfId="0" applyFont="1" applyBorder="1"/>
    <xf numFmtId="0" fontId="10" fillId="0" borderId="2" xfId="0" applyFont="1" applyBorder="1"/>
    <xf numFmtId="0" fontId="0" fillId="0" borderId="3" xfId="0" applyBorder="1"/>
    <xf numFmtId="0" fontId="6" fillId="0" borderId="4" xfId="0" applyFont="1" applyBorder="1"/>
    <xf numFmtId="0" fontId="10" fillId="0" borderId="4" xfId="0" applyFont="1" applyBorder="1"/>
    <xf numFmtId="0" fontId="0" fillId="0" borderId="5" xfId="0" applyBorder="1"/>
    <xf numFmtId="0" fontId="6" fillId="0" borderId="6" xfId="0" applyFont="1" applyBorder="1"/>
    <xf numFmtId="0" fontId="10" fillId="0" borderId="6" xfId="0" applyFont="1" applyBorder="1"/>
    <xf numFmtId="0" fontId="0" fillId="0" borderId="7" xfId="0" applyBorder="1"/>
    <xf numFmtId="2" fontId="5" fillId="3" borderId="1" xfId="0" applyNumberFormat="1" applyFont="1" applyFill="1" applyBorder="1" applyAlignment="1">
      <alignment horizontal="center" vertical="center" wrapText="1"/>
    </xf>
    <xf numFmtId="2" fontId="10" fillId="0" borderId="1" xfId="0" applyNumberFormat="1" applyFont="1" applyBorder="1" applyAlignment="1">
      <alignment horizontal="center"/>
    </xf>
    <xf numFmtId="2" fontId="10" fillId="0" borderId="2" xfId="0" applyNumberFormat="1" applyFont="1" applyBorder="1" applyAlignment="1">
      <alignment horizontal="center"/>
    </xf>
    <xf numFmtId="2" fontId="10" fillId="0" borderId="4" xfId="0" applyNumberFormat="1" applyFont="1" applyBorder="1" applyAlignment="1">
      <alignment horizontal="center"/>
    </xf>
    <xf numFmtId="2" fontId="10" fillId="0" borderId="6" xfId="0" applyNumberFormat="1" applyFont="1" applyBorder="1" applyAlignment="1">
      <alignment horizontal="center"/>
    </xf>
    <xf numFmtId="2" fontId="0" fillId="0" borderId="0" xfId="0" applyNumberFormat="1" applyAlignment="1">
      <alignment horizontal="center"/>
    </xf>
    <xf numFmtId="2" fontId="7" fillId="0" borderId="1" xfId="0" applyNumberFormat="1" applyFont="1" applyBorder="1" applyAlignment="1">
      <alignment horizontal="center"/>
    </xf>
    <xf numFmtId="0" fontId="15" fillId="0" borderId="1" xfId="0" applyFont="1" applyBorder="1"/>
    <xf numFmtId="2" fontId="13" fillId="0" borderId="1" xfId="0" applyNumberFormat="1" applyFont="1" applyBorder="1" applyAlignment="1">
      <alignment horizontal="center"/>
    </xf>
    <xf numFmtId="0" fontId="10" fillId="4" borderId="4" xfId="0" applyFont="1" applyFill="1" applyBorder="1"/>
    <xf numFmtId="0" fontId="10" fillId="4" borderId="1" xfId="0" applyFont="1" applyFill="1" applyBorder="1"/>
    <xf numFmtId="0" fontId="10" fillId="5" borderId="1" xfId="0" applyFont="1" applyFill="1" applyBorder="1"/>
    <xf numFmtId="0" fontId="10" fillId="5" borderId="2" xfId="0" applyFont="1" applyFill="1" applyBorder="1"/>
    <xf numFmtId="0" fontId="10" fillId="5" borderId="4" xfId="0" applyFont="1" applyFill="1" applyBorder="1"/>
    <xf numFmtId="9" fontId="0" fillId="0" borderId="0" xfId="1" applyFont="1"/>
    <xf numFmtId="17" fontId="0" fillId="0" borderId="0" xfId="0" applyNumberFormat="1"/>
    <xf numFmtId="9" fontId="0" fillId="0" borderId="0" xfId="0" applyNumberFormat="1"/>
    <xf numFmtId="9" fontId="17" fillId="0" borderId="0" xfId="1" applyFont="1" applyAlignment="1">
      <alignment horizontal="center"/>
    </xf>
    <xf numFmtId="9" fontId="17" fillId="0" borderId="0" xfId="1" applyFont="1" applyBorder="1" applyAlignment="1">
      <alignment horizontal="center"/>
    </xf>
    <xf numFmtId="9" fontId="17" fillId="0" borderId="8" xfId="1" applyFont="1" applyBorder="1" applyAlignment="1">
      <alignment horizontal="center"/>
    </xf>
    <xf numFmtId="0" fontId="16" fillId="0" borderId="1" xfId="0" applyFont="1" applyBorder="1" applyAlignment="1">
      <alignment horizontal="center" vertical="center"/>
    </xf>
    <xf numFmtId="0" fontId="3" fillId="0" borderId="0" xfId="0" applyFont="1" applyAlignment="1">
      <alignment vertical="top" wrapText="1"/>
    </xf>
    <xf numFmtId="0" fontId="10" fillId="0" borderId="0" xfId="0" applyFont="1" applyAlignment="1">
      <alignment vertical="top" wrapText="1"/>
    </xf>
    <xf numFmtId="0" fontId="3" fillId="0" borderId="0" xfId="0" applyFont="1" applyAlignment="1"/>
    <xf numFmtId="0" fontId="10" fillId="0" borderId="0" xfId="0" applyFont="1" applyAlignment="1"/>
  </cellXfs>
  <cellStyles count="2">
    <cellStyle name="Normal" xfId="0" builtinId="0"/>
    <cellStyle name="Porcentaje" xfId="1" builtinId="5"/>
  </cellStyles>
  <dxfs count="46">
    <dxf>
      <alignment horizontal="center" textRotation="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rgb="FF003366"/>
          <bgColor rgb="FF0069AA"/>
        </patternFill>
      </fill>
    </dxf>
    <dxf>
      <fill>
        <patternFill patternType="solid">
          <fgColor rgb="FF003366"/>
          <bgColor rgb="FF0069AA"/>
        </patternFill>
      </fill>
    </dxf>
    <dxf>
      <alignment horizontal="left" textRotation="0" wrapText="1" indent="0" justifyLastLine="0" shrinkToFit="0" readingOrder="0"/>
    </dxf>
    <dxf>
      <alignment horizontal="center" textRotation="0" wrapText="1" indent="0" justifyLastLine="0" shrinkToFit="0" readingOrder="0"/>
    </dxf>
    <dxf>
      <fill>
        <patternFill patternType="solid">
          <fgColor rgb="FF003366"/>
          <bgColor rgb="FF0069AA"/>
        </patternFill>
      </fill>
    </dxf>
    <dxf>
      <alignment horizontal="center" textRotation="0" indent="0" justifyLastLine="0" shrinkToFit="0" readingOrder="0"/>
    </dxf>
    <dxf>
      <alignment horizontal="center" textRotation="0" indent="0" justifyLastLine="0" shrinkToFit="0" readingOrder="0"/>
    </dxf>
    <dxf>
      <numFmt numFmtId="2" formatCode="0.00"/>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rgb="FF003366"/>
          <bgColor rgb="FF0069AA"/>
        </patternFill>
      </fill>
    </dxf>
    <dxf>
      <font>
        <strike val="0"/>
        <outline val="0"/>
        <shadow val="0"/>
        <u val="none"/>
        <vertAlign val="baseline"/>
        <sz val="10"/>
        <color auto="1"/>
        <name val="Arial"/>
        <charset val="1"/>
        <scheme val="none"/>
      </font>
      <numFmt numFmtId="2" formatCode="0.00"/>
      <alignment horizontal="center" textRotation="0" indent="0" justifyLastLine="0" shrinkToFit="0" readingOrder="0"/>
      <border outline="0">
        <left style="thin">
          <color rgb="FFB7B7B7"/>
        </left>
      </border>
    </dxf>
    <dxf>
      <font>
        <strike val="0"/>
        <outline val="0"/>
        <shadow val="0"/>
        <u val="none"/>
        <vertAlign val="baseline"/>
        <sz val="10"/>
        <color auto="1"/>
        <name val="Arial"/>
        <charset val="1"/>
        <scheme val="none"/>
      </font>
      <border outline="0">
        <left style="thin">
          <color rgb="FFB7B7B7"/>
        </left>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left style="thin">
          <color rgb="FFB7B7B7"/>
        </left>
        <right style="thin">
          <color rgb="FFB7B7B7"/>
        </right>
      </border>
    </dxf>
    <dxf>
      <font>
        <strike val="0"/>
        <outline val="0"/>
        <shadow val="0"/>
        <u val="none"/>
        <vertAlign val="baseline"/>
        <sz val="10"/>
        <color auto="1"/>
        <name val="Arial"/>
        <charset val="1"/>
        <scheme val="none"/>
      </font>
      <border outline="0">
        <right style="thin">
          <color rgb="FFB7B7B7"/>
        </right>
      </border>
    </dxf>
    <dxf>
      <border outline="0">
        <right style="thin">
          <color rgb="FFB7B7B7"/>
        </right>
      </border>
    </dxf>
    <dxf>
      <fill>
        <patternFill patternType="solid">
          <fgColor rgb="FF003366"/>
          <bgColor rgb="FF0069AA"/>
        </patternFill>
      </fill>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border outline="0">
        <left style="thin">
          <color rgb="FFB7B7B7"/>
        </left>
      </border>
    </dxf>
    <dxf>
      <font>
        <strike val="0"/>
        <outline val="0"/>
        <shadow val="0"/>
        <u val="none"/>
        <vertAlign val="baseline"/>
        <sz val="10"/>
        <color auto="1"/>
        <name val="Arial"/>
        <charset val="1"/>
        <scheme val="none"/>
      </font>
      <alignment horizontal="center" vertical="center" textRotation="0" wrapText="0" indent="0" justifyLastLine="0" shrinkToFit="0" readingOrder="0"/>
    </dxf>
    <dxf>
      <font>
        <strike val="0"/>
        <outline val="0"/>
        <shadow val="0"/>
        <u val="none"/>
        <vertAlign val="baseline"/>
        <sz val="10"/>
        <color auto="1"/>
        <name val="Arial"/>
        <charset val="1"/>
        <scheme val="none"/>
      </font>
      <border outline="0">
        <right style="thin">
          <color rgb="FFB7B7B7"/>
        </right>
      </border>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border outline="0">
        <left style="thin">
          <color rgb="FFB7B7B7"/>
        </left>
      </border>
    </dxf>
    <dxf>
      <font>
        <strike val="0"/>
        <outline val="0"/>
        <shadow val="0"/>
        <u val="none"/>
        <vertAlign val="baseline"/>
        <sz val="10"/>
        <color rgb="FF0069AA"/>
        <name val="Arial"/>
        <family val="2"/>
        <scheme val="none"/>
      </font>
      <border outline="0">
        <left style="thin">
          <color rgb="FFB7B7B7"/>
        </left>
      </border>
    </dxf>
    <dxf>
      <font>
        <strike val="0"/>
        <outline val="0"/>
        <shadow val="0"/>
        <u val="none"/>
        <vertAlign val="baseline"/>
        <sz val="10"/>
        <color rgb="FF0069AA"/>
        <name val="Arial"/>
        <family val="2"/>
        <scheme val="none"/>
      </font>
      <border outline="0">
        <right style="thin">
          <color rgb="FFB7B7B7"/>
        </right>
      </border>
    </dxf>
    <dxf>
      <font>
        <strike val="0"/>
        <outline val="0"/>
        <shadow val="0"/>
        <u val="none"/>
        <vertAlign val="baseline"/>
        <sz val="10"/>
        <color auto="1"/>
        <name val="Arial"/>
        <charset val="1"/>
        <scheme val="none"/>
      </font>
      <border outline="0">
        <right style="thin">
          <color rgb="FFB7B7B7"/>
        </right>
      </border>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alignment textRotation="0" wrapText="0" indent="0" justifyLastLine="0" shrinkToFit="0" readingOrder="0"/>
    </dxf>
    <dxf>
      <font>
        <strike val="0"/>
        <outline val="0"/>
        <shadow val="0"/>
        <u val="none"/>
        <vertAlign val="baseline"/>
        <sz val="10"/>
        <color auto="1"/>
        <name val="Arial"/>
        <charset val="1"/>
        <scheme val="none"/>
      </font>
    </dxf>
    <dxf>
      <font>
        <strike val="0"/>
        <outline val="0"/>
        <shadow val="0"/>
        <u val="none"/>
        <vertAlign val="baseline"/>
        <sz val="10"/>
        <color auto="1"/>
        <name val="Arial"/>
        <charset val="1"/>
        <scheme val="none"/>
      </font>
    </dxf>
    <dxf>
      <fill>
        <patternFill patternType="solid">
          <fgColor rgb="FF003366"/>
          <bgColor rgb="FF0069A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0069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antos Yaricahua" id="{D0CBB569-2B14-4662-89DD-BB78A28B25C3}" userId="S::Santos.yaricahua@anddes.com::40fc7b07-f092-42c7-81fb-d00adb20733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blDocumentos" displayName="TblDocumentos" ref="A1:S59" totalsRowShown="0" headerRowDxfId="45" dataDxfId="44">
  <autoFilter ref="A1:S59" xr:uid="{00000000-0009-0000-0100-000004000000}"/>
  <tableColumns count="19">
    <tableColumn id="1" xr3:uid="{00000000-0010-0000-0000-000001000000}" name="ID_Documento" dataDxfId="43"/>
    <tableColumn id="2" xr3:uid="{00000000-0010-0000-0000-000002000000}" name="Documento" dataDxfId="42"/>
    <tableColumn id="3" xr3:uid="{00000000-0010-0000-0000-000003000000}" name="Tipo Documento" dataDxfId="41"/>
    <tableColumn id="4" xr3:uid="{00000000-0010-0000-0000-000004000000}" name="Código" dataDxfId="40"/>
    <tableColumn id="5" xr3:uid="{00000000-0010-0000-0000-000005000000}" name="Estado" dataDxfId="39">
      <calculatedColumnFormula>IF(AND(L2&gt;0,L2&lt;&gt;"-"),"Rev0",IF(AND(K2&gt;0,K2&lt;&gt;"-"),"RevB",IF(AND(J2&gt;0,J2&lt;&gt;"-"),"RevA",IF(AND(I2&gt;0,I2&lt;&gt;"-"),"Iniciado","No Asignado"))))</calculatedColumnFormula>
    </tableColumn>
    <tableColumn id="6" xr3:uid="{00000000-0010-0000-0000-000006000000}" name="% Avance Individual" dataDxfId="38">
      <calculatedColumnFormula array="1">_xlfn.IFS(E2="No Asignado",0,E2="Iniciado",0.2,E2="RevA",0.4,E2="RevB",0.7,E2="Rev0",1)</calculatedColumnFormula>
    </tableColumn>
    <tableColumn id="7" xr3:uid="{00000000-0010-0000-0000-000007000000}" name="Consultor" dataDxfId="37"/>
    <tableColumn id="8" xr3:uid="{00000000-0010-0000-0000-000008000000}" name="Área Responsable" dataDxfId="36"/>
    <tableColumn id="9" xr3:uid="{00000000-0010-0000-0000-000009000000}" name="Fecha Iniciado" dataDxfId="35"/>
    <tableColumn id="10" xr3:uid="{00000000-0010-0000-0000-00000A000000}" name="Fecha RevA" dataDxfId="34"/>
    <tableColumn id="11" xr3:uid="{00000000-0010-0000-0000-00000B000000}" name="Fecha RevB" dataDxfId="33"/>
    <tableColumn id="12" xr3:uid="{00000000-0010-0000-0000-00000C000000}" name="Fecha Rev0" dataDxfId="32"/>
    <tableColumn id="13" xr3:uid="{00000000-0010-0000-0000-00000D000000}" name="Frecuencia (meses)" dataDxfId="31"/>
    <tableColumn id="14" xr3:uid="{00000000-0010-0000-0000-00000E000000}" name="Caducidad" dataDxfId="30"/>
    <tableColumn id="15" xr3:uid="{00000000-0010-0000-0000-00000F000000}" name="URL" dataDxfId="29"/>
    <tableColumn id="16" xr3:uid="{00000000-0010-0000-0000-000010000000}" name="Compañía" dataDxfId="28"/>
    <tableColumn id="17" xr3:uid="{00000000-0010-0000-0000-000011000000}" name="Depósito" dataDxfId="27"/>
    <tableColumn id="18" xr3:uid="{00000000-0010-0000-0000-000012000000}" name="Capacidad" dataDxfId="26"/>
    <tableColumn id="19" xr3:uid="{00000000-0010-0000-0000-000013000000}" name="Vida Útil" dataDxfId="2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Criterios" displayName="TblCriterios" ref="A1:J222" totalsRowShown="0" headerRowDxfId="24">
  <autoFilter ref="A1:J222" xr:uid="{00000000-0009-0000-0100-000003000000}"/>
  <tableColumns count="10">
    <tableColumn id="1" xr3:uid="{00000000-0010-0000-0100-000001000000}" name="ID_Criterio"/>
    <tableColumn id="2" xr3:uid="{00000000-0010-0000-0100-000002000000}" name="Tema"/>
    <tableColumn id="3" xr3:uid="{00000000-0010-0000-0100-000003000000}" name="Nombre Tema" dataDxfId="23"/>
    <tableColumn id="4" xr3:uid="{00000000-0010-0000-0100-000004000000}" name="Principio" dataDxfId="22"/>
    <tableColumn id="5" xr3:uid="{00000000-0010-0000-0100-000005000000}" name="Descripción Principio" dataDxfId="21"/>
    <tableColumn id="6" xr3:uid="{00000000-0010-0000-0100-000006000000}" name="Requisito" dataDxfId="20"/>
    <tableColumn id="7" xr3:uid="{00000000-0010-0000-0100-000007000000}" name="Descripción Requisito" dataDxfId="19"/>
    <tableColumn id="8" xr3:uid="{00000000-0010-0000-0100-000008000000}" name="Criterio" dataDxfId="18"/>
    <tableColumn id="9" xr3:uid="{00000000-0010-0000-0100-000009000000}" name="Descripción Criterio" dataDxfId="17"/>
    <tableColumn id="10" xr3:uid="{00000000-0010-0000-0100-00000A000000}" name="Ponderación" dataDxfId="1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blPuente" displayName="TblPuente" ref="A1:I232" totalsRowShown="0" headerRowDxfId="15">
  <autoFilter ref="A1:I232" xr:uid="{00000000-0009-0000-0100-000005000000}"/>
  <tableColumns count="9">
    <tableColumn id="1" xr3:uid="{00000000-0010-0000-0200-000001000000}" name="ID_Documento" dataDxfId="14"/>
    <tableColumn id="2" xr3:uid="{00000000-0010-0000-0200-000002000000}" name="Documento" dataDxfId="13"/>
    <tableColumn id="3" xr3:uid="{00000000-0010-0000-0200-000003000000}" name="ID_Criterio" dataDxfId="12"/>
    <tableColumn id="4" xr3:uid="{00000000-0010-0000-0200-000004000000}" name="Principio"/>
    <tableColumn id="5" xr3:uid="{00000000-0010-0000-0200-000005000000}" name="Criterio"/>
    <tableColumn id="6" xr3:uid="{00000000-0010-0000-0200-000006000000}" name="% Contribución" dataDxfId="11"/>
    <tableColumn id="7" xr3:uid="{00000000-0010-0000-0200-000007000000}" name="Ponderación Criterio" dataDxfId="10"/>
    <tableColumn id="8" xr3:uid="{00000000-0010-0000-0200-000008000000}" name="% Avance Documento" dataDxfId="9"/>
    <tableColumn id="9" xr3:uid="{00000000-0010-0000-0200-000009000000}" name="Avance Ponderado Efectivo" dataDxfId="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blAvancePrincipio" displayName="TblAvancePrincipio" ref="A1:H16" totalsRowShown="0" headerRowDxfId="7">
  <autoFilter ref="A1:H16" xr:uid="{00000000-0009-0000-0100-000001000000}"/>
  <tableColumns count="8">
    <tableColumn id="1" xr3:uid="{00000000-0010-0000-0300-000001000000}" name="Tema" dataDxfId="6"/>
    <tableColumn id="2" xr3:uid="{00000000-0010-0000-0300-000002000000}" name="Nombre Tema" dataDxfId="5"/>
    <tableColumn id="3" xr3:uid="{00000000-0010-0000-0300-000003000000}" name="Principio"/>
    <tableColumn id="4" xr3:uid="{00000000-0010-0000-0300-000004000000}" name="Descripción Principio"/>
    <tableColumn id="5" xr3:uid="{00000000-0010-0000-0300-000005000000}" name="N° Documentos Vinculados"/>
    <tableColumn id="6" xr3:uid="{00000000-0010-0000-0300-000006000000}" name="Suma Ponderación"/>
    <tableColumn id="7" xr3:uid="{00000000-0010-0000-0300-000007000000}" name="Avance Ponderado"/>
    <tableColumn id="8" xr3:uid="{00000000-0010-0000-0300-000008000000}" name="% Avance Principio"/>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blAvanceTema" displayName="TblAvanceTema" ref="A1:E7" totalsRowShown="0" headerRowDxfId="4">
  <autoFilter ref="A1:E7" xr:uid="{00000000-0009-0000-0100-000002000000}"/>
  <tableColumns count="5">
    <tableColumn id="1" xr3:uid="{00000000-0010-0000-0400-000001000000}" name="Tema"/>
    <tableColumn id="2" xr3:uid="{00000000-0010-0000-0400-000002000000}" name="Nombre Tema"/>
    <tableColumn id="3" xr3:uid="{00000000-0010-0000-0400-000003000000}" name="Suma Ponderación"/>
    <tableColumn id="4" xr3:uid="{00000000-0010-0000-0400-000004000000}" name="Avance Ponderado"/>
    <tableColumn id="5" xr3:uid="{00000000-0010-0000-0400-000005000000}" name="% Avance Te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C504B3F-584F-4468-BB39-8921278459D5}" name="TblPuente7" displayName="TblPuente7" ref="A1:E232" totalsRowShown="0" headerRowDxfId="3">
  <autoFilter ref="A1:E232" xr:uid="{7C504B3F-584F-4468-BB39-8921278459D5}"/>
  <tableColumns count="5">
    <tableColumn id="1" xr3:uid="{338D4688-B3DB-4782-B5B5-8F5CADE8BAB4}" name="ID_Documento" dataDxfId="2"/>
    <tableColumn id="2" xr3:uid="{228888F1-E5C9-4B84-818C-D249CC329B88}" name="Documento" dataDxfId="1"/>
    <tableColumn id="3" xr3:uid="{ABD6E58A-2230-4670-80E3-7D53D2672E11}" name="ID_Criterio" dataDxfId="0"/>
    <tableColumn id="4" xr3:uid="{0CF82AF5-54FC-4DE0-9072-25201FCBD3BE}" name="Principio">
      <calculatedColumnFormula>IFERROR(INDEX('Criterios GISTM'!$D$2:$D$222,MATCH($C2,'Criterios GISTM'!$A$2:$A$222,0)),"")</calculatedColumnFormula>
    </tableColumn>
    <tableColumn id="5" xr3:uid="{5BD87A19-3634-4FF4-B274-33BCEF881CB7}" name="Criterio">
      <calculatedColumnFormula>IFERROR(INDEX('Criterios GISTM'!$H$2:$H$222,MATCH($C2,'Criterios GISTM'!$A$2:$A$222,0)),"")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8-07T17:51:50.57" personId="{D0CBB569-2B14-4662-89DD-BB78A28B25C3}" id="{27BD2277-744D-4239-87A6-D10FCCA57D4E}">
    <text>Valores referenciales modificables</text>
  </threadedComment>
  <threadedComment ref="I26" dT="2026-08-07T17:50:11.47" personId="{D0CBB569-2B14-4662-89DD-BB78A28B25C3}" id="{B069D835-3B36-4948-A410-A4A8E8872363}">
    <text>Condicional: Para una nueva instalación de relaves propuesta (podría ser ½  la ponderación en lugar de ⅓  dependiendo si la estructura es nueva, existente o si poseen ambas)</text>
  </threadedComment>
  <threadedComment ref="I28" dT="2026-08-07T17:50:19.82" personId="{D0CBB569-2B14-4662-89DD-BB78A28B25C3}" id="{9303B5DC-9298-4C6A-B870-EA02889341B1}">
    <text>Condicional: Para una nueva instalación de relaves propuesta (podría ser ½  la ponderación en lugar de ⅓  dependiendo si la estructura es nueva, existente o si poseen ambas)</text>
  </threadedComment>
  <threadedComment ref="I70" dT="2026-08-07T17:33:38.85" personId="{D0CBB569-2B14-4662-89DD-BB78A28B25C3}" id="{AED0774E-F65C-4A9D-869B-76E80C3BC1A0}">
    <text>Condicional: Para una nueva instalación de relaves propuesta (podría ser ⅓ la ponderación en lugar de ⅙ dependiendo si la estructura es nueva, existente o si poseen ambas)</text>
  </threadedComment>
  <threadedComment ref="I73" dT="2026-08-07T17:33:48.92" personId="{D0CBB569-2B14-4662-89DD-BB78A28B25C3}" id="{F0A1DB0C-732E-4B7E-A25B-CE4A3F15C761}">
    <text>Condicional: Para una nueva instalación de relaves propuesta (podría ser ⅓ la ponderación en lugar de ⅙ dependiendo si la estructura es nueva, existente o si poseen ambas)</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4"/>
  <sheetViews>
    <sheetView showGridLines="0" zoomScaleNormal="100" workbookViewId="0">
      <selection activeCell="K14" sqref="K14"/>
    </sheetView>
  </sheetViews>
  <sheetFormatPr defaultColWidth="8.7109375" defaultRowHeight="14.45"/>
  <cols>
    <col min="1" max="1" width="3" customWidth="1"/>
    <col min="2" max="2" width="26" customWidth="1"/>
    <col min="3" max="3" width="18" customWidth="1"/>
    <col min="4" max="8" width="14" customWidth="1"/>
  </cols>
  <sheetData>
    <row r="2" spans="2:8" ht="17.45">
      <c r="B2" s="1" t="s">
        <v>0</v>
      </c>
    </row>
    <row r="4" spans="2:8" ht="15" customHeight="1">
      <c r="B4" s="61" t="s">
        <v>1</v>
      </c>
      <c r="C4" s="61"/>
      <c r="D4" s="61"/>
      <c r="E4" s="61"/>
      <c r="F4" s="61"/>
      <c r="G4" s="61"/>
      <c r="H4" s="61"/>
    </row>
    <row r="5" spans="2:8">
      <c r="B5" s="61"/>
      <c r="C5" s="61"/>
      <c r="D5" s="61"/>
      <c r="E5" s="61"/>
      <c r="F5" s="61"/>
      <c r="G5" s="61"/>
      <c r="H5" s="61"/>
    </row>
    <row r="6" spans="2:8">
      <c r="B6" s="61"/>
      <c r="C6" s="61"/>
      <c r="D6" s="61"/>
      <c r="E6" s="61"/>
      <c r="F6" s="61"/>
      <c r="G6" s="61"/>
      <c r="H6" s="61"/>
    </row>
    <row r="7" spans="2:8">
      <c r="B7" s="61"/>
      <c r="C7" s="61"/>
      <c r="D7" s="61"/>
      <c r="E7" s="61"/>
      <c r="F7" s="61"/>
      <c r="G7" s="61"/>
      <c r="H7" s="61"/>
    </row>
    <row r="9" spans="2:8">
      <c r="B9" s="2" t="s">
        <v>2</v>
      </c>
      <c r="C9" s="2" t="s">
        <v>3</v>
      </c>
    </row>
    <row r="10" spans="2:8" ht="31.5" customHeight="1">
      <c r="B10" s="2" t="s">
        <v>4</v>
      </c>
      <c r="C10" s="61" t="s">
        <v>5</v>
      </c>
      <c r="D10" s="61"/>
      <c r="E10" s="61"/>
      <c r="F10" s="61"/>
      <c r="G10" s="61"/>
      <c r="H10" s="61"/>
    </row>
    <row r="12" spans="2:8" ht="31.5" customHeight="1">
      <c r="B12" s="2" t="s">
        <v>6</v>
      </c>
      <c r="C12" s="61" t="s">
        <v>7</v>
      </c>
      <c r="D12" s="61"/>
      <c r="E12" s="61"/>
      <c r="F12" s="61"/>
      <c r="G12" s="61"/>
      <c r="H12" s="61"/>
    </row>
    <row r="14" spans="2:8" ht="31.5" customHeight="1">
      <c r="B14" s="2" t="s">
        <v>8</v>
      </c>
      <c r="C14" s="61" t="s">
        <v>9</v>
      </c>
      <c r="D14" s="61"/>
      <c r="E14" s="61"/>
      <c r="F14" s="61"/>
      <c r="G14" s="61"/>
      <c r="H14" s="61"/>
    </row>
    <row r="16" spans="2:8" ht="31.5" customHeight="1">
      <c r="B16" s="2" t="s">
        <v>10</v>
      </c>
      <c r="C16" s="62" t="s">
        <v>11</v>
      </c>
      <c r="D16" s="61"/>
      <c r="E16" s="61"/>
      <c r="F16" s="61"/>
      <c r="G16" s="61"/>
      <c r="H16" s="61"/>
    </row>
    <row r="18" spans="2:8" ht="31.5" customHeight="1">
      <c r="B18" s="2" t="s">
        <v>12</v>
      </c>
      <c r="C18" s="61" t="s">
        <v>13</v>
      </c>
      <c r="D18" s="61"/>
      <c r="E18" s="61"/>
      <c r="F18" s="61"/>
      <c r="G18" s="61"/>
      <c r="H18" s="61"/>
    </row>
    <row r="21" spans="2:8">
      <c r="B21" s="2" t="s">
        <v>14</v>
      </c>
    </row>
    <row r="22" spans="2:8">
      <c r="B22" s="63" t="s">
        <v>15</v>
      </c>
      <c r="C22" s="63"/>
      <c r="D22" s="63"/>
      <c r="E22" s="63"/>
      <c r="F22" s="63"/>
      <c r="G22" s="63"/>
      <c r="H22" s="63"/>
    </row>
    <row r="23" spans="2:8">
      <c r="B23" s="64" t="s">
        <v>16</v>
      </c>
      <c r="C23" s="63"/>
      <c r="D23" s="63"/>
      <c r="E23" s="63"/>
      <c r="F23" s="63"/>
      <c r="G23" s="63"/>
      <c r="H23" s="63"/>
    </row>
    <row r="24" spans="2:8">
      <c r="B24" s="63" t="s">
        <v>17</v>
      </c>
      <c r="C24" s="63"/>
      <c r="D24" s="63"/>
      <c r="E24" s="63"/>
      <c r="F24" s="63"/>
      <c r="G24" s="63"/>
      <c r="H24" s="63"/>
    </row>
  </sheetData>
  <mergeCells count="9">
    <mergeCell ref="C18:H18"/>
    <mergeCell ref="B22:H22"/>
    <mergeCell ref="B23:H23"/>
    <mergeCell ref="B24:H24"/>
    <mergeCell ref="B4:H7"/>
    <mergeCell ref="C10:H10"/>
    <mergeCell ref="C12:H12"/>
    <mergeCell ref="C14:H14"/>
    <mergeCell ref="C16:H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S59"/>
  <sheetViews>
    <sheetView zoomScaleNormal="100" workbookViewId="0">
      <pane ySplit="1" topLeftCell="A2" activePane="bottomLeft" state="frozen"/>
      <selection pane="bottomLeft" activeCell="B3" sqref="B3:B17"/>
    </sheetView>
  </sheetViews>
  <sheetFormatPr defaultColWidth="8.7109375" defaultRowHeight="14.45"/>
  <cols>
    <col min="1" max="1" width="11" customWidth="1"/>
    <col min="2" max="2" width="63.28515625" customWidth="1"/>
    <col min="3" max="3" width="14" customWidth="1"/>
    <col min="4" max="4" width="16" customWidth="1"/>
    <col min="5" max="6" width="10" customWidth="1"/>
    <col min="7" max="7" width="12" customWidth="1"/>
    <col min="8" max="8" width="16" customWidth="1"/>
    <col min="9" max="12" width="12" customWidth="1"/>
    <col min="13" max="13" width="13.28515625" customWidth="1"/>
    <col min="14" max="14" width="12" customWidth="1"/>
    <col min="15" max="15" width="30" customWidth="1"/>
    <col min="16" max="16" width="16" customWidth="1"/>
    <col min="17" max="17" width="14" customWidth="1"/>
    <col min="18" max="18" width="11.7109375" customWidth="1"/>
    <col min="19" max="19" width="10" customWidth="1"/>
  </cols>
  <sheetData>
    <row r="1" spans="1:19" ht="26.45">
      <c r="A1" s="9" t="s">
        <v>18</v>
      </c>
      <c r="B1" s="12" t="s">
        <v>19</v>
      </c>
      <c r="C1" s="9" t="s">
        <v>20</v>
      </c>
      <c r="D1" s="9" t="s">
        <v>21</v>
      </c>
      <c r="E1" s="9" t="s">
        <v>22</v>
      </c>
      <c r="F1" s="9" t="s">
        <v>23</v>
      </c>
      <c r="G1" s="9" t="s">
        <v>24</v>
      </c>
      <c r="H1" s="9" t="s">
        <v>25</v>
      </c>
      <c r="I1" s="9" t="s">
        <v>26</v>
      </c>
      <c r="J1" s="9" t="s">
        <v>27</v>
      </c>
      <c r="K1" s="9" t="s">
        <v>28</v>
      </c>
      <c r="L1" s="9" t="s">
        <v>29</v>
      </c>
      <c r="M1" s="13" t="s">
        <v>30</v>
      </c>
      <c r="N1" s="9" t="s">
        <v>31</v>
      </c>
      <c r="O1" s="9" t="s">
        <v>32</v>
      </c>
      <c r="P1" s="9" t="s">
        <v>33</v>
      </c>
      <c r="Q1" s="9" t="s">
        <v>34</v>
      </c>
      <c r="R1" s="9" t="s">
        <v>35</v>
      </c>
      <c r="S1" s="9" t="s">
        <v>36</v>
      </c>
    </row>
    <row r="2" spans="1:19">
      <c r="A2" s="10" t="s">
        <v>37</v>
      </c>
      <c r="B2" s="10" t="s">
        <v>38</v>
      </c>
      <c r="C2" s="10" t="s">
        <v>39</v>
      </c>
      <c r="D2" s="10" t="s">
        <v>40</v>
      </c>
      <c r="E2" s="47" t="str">
        <f>IF(AND(L2&gt;0,L2&lt;&gt;"-"),"Rev0",IF(AND(K2&gt;0,K2&lt;&gt;"-"),"RevB",IF(AND(J2&gt;0,J2&lt;&gt;"-"),"RevA",IF(AND(I2&gt;0,I2&lt;&gt;"-"),"Iniciado","No Asignado"))))</f>
        <v>Rev0</v>
      </c>
      <c r="F2" s="15" cm="1">
        <f t="array" ref="F2">_xlfn.IFS(E2="No Asignado",0,E2="Iniciado",0.2,E2="RevA",0.4,E2="RevB",0.7,E2="Rev0",1)</f>
        <v>1</v>
      </c>
      <c r="G2" s="10" t="s">
        <v>41</v>
      </c>
      <c r="H2" s="10" t="s">
        <v>42</v>
      </c>
      <c r="I2" s="11">
        <v>45292</v>
      </c>
      <c r="J2" s="11">
        <v>45312</v>
      </c>
      <c r="K2" s="11">
        <v>45337</v>
      </c>
      <c r="L2" s="11">
        <v>45717</v>
      </c>
      <c r="M2" s="14">
        <v>36</v>
      </c>
      <c r="N2" s="11">
        <v>46797</v>
      </c>
      <c r="O2" s="10" t="s">
        <v>43</v>
      </c>
      <c r="P2" s="10" t="s">
        <v>44</v>
      </c>
      <c r="Q2" s="10" t="s">
        <v>45</v>
      </c>
      <c r="R2" s="10" t="s">
        <v>46</v>
      </c>
      <c r="S2" s="10" t="s">
        <v>47</v>
      </c>
    </row>
    <row r="3" spans="1:19">
      <c r="A3" s="10" t="s">
        <v>48</v>
      </c>
      <c r="B3" s="10" t="s">
        <v>49</v>
      </c>
      <c r="C3" s="10" t="s">
        <v>50</v>
      </c>
      <c r="D3" s="10" t="s">
        <v>40</v>
      </c>
      <c r="E3" s="47" t="str">
        <f t="shared" ref="E3:E59" si="0">IF(AND(L3&gt;0,L3&lt;&gt;"-"),"Rev0",IF(AND(K3&gt;0,K3&lt;&gt;"-"),"RevB",IF(AND(J3&gt;0,J3&lt;&gt;"-"),"RevA",IF(AND(I3&gt;0,I3&lt;&gt;"-"),"Iniciado","No Asignado"))))</f>
        <v>RevB</v>
      </c>
      <c r="F3" s="15" cm="1">
        <f t="array" ref="F3">_xlfn.IFS(E3="No Asignado",0,E3="Iniciado",0.2,E3="RevA",0.4,E3="RevB",0.7,E3="Rev0",1)</f>
        <v>0.7</v>
      </c>
      <c r="G3" s="10" t="s">
        <v>41</v>
      </c>
      <c r="H3" s="10" t="s">
        <v>42</v>
      </c>
      <c r="I3" s="11">
        <v>45292</v>
      </c>
      <c r="J3" s="11">
        <v>45312</v>
      </c>
      <c r="K3" s="11">
        <v>45337</v>
      </c>
      <c r="L3" s="11" t="s">
        <v>51</v>
      </c>
      <c r="M3" s="14">
        <v>12</v>
      </c>
      <c r="N3" s="11" t="s">
        <v>51</v>
      </c>
      <c r="O3" s="10" t="s">
        <v>43</v>
      </c>
      <c r="P3" s="10" t="s">
        <v>44</v>
      </c>
      <c r="Q3" s="10" t="s">
        <v>45</v>
      </c>
      <c r="R3" s="10" t="s">
        <v>46</v>
      </c>
      <c r="S3" s="10" t="s">
        <v>47</v>
      </c>
    </row>
    <row r="4" spans="1:19">
      <c r="A4" s="10" t="s">
        <v>52</v>
      </c>
      <c r="B4" s="10" t="s">
        <v>53</v>
      </c>
      <c r="C4" s="10" t="s">
        <v>54</v>
      </c>
      <c r="D4" s="10" t="s">
        <v>40</v>
      </c>
      <c r="E4" s="47" t="str">
        <f t="shared" si="0"/>
        <v>Iniciado</v>
      </c>
      <c r="F4" s="15" cm="1">
        <f t="array" ref="F4">_xlfn.IFS(E4="No Asignado",0,E4="Iniciado",0.2,E4="RevA",0.4,E4="RevB",0.7,E4="Rev0",1)</f>
        <v>0.2</v>
      </c>
      <c r="G4" s="10" t="s">
        <v>41</v>
      </c>
      <c r="H4" s="10" t="s">
        <v>42</v>
      </c>
      <c r="I4" s="11">
        <v>45292</v>
      </c>
      <c r="J4" s="11" t="s">
        <v>51</v>
      </c>
      <c r="K4" s="11" t="s">
        <v>51</v>
      </c>
      <c r="L4" s="11" t="s">
        <v>51</v>
      </c>
      <c r="M4" s="14">
        <v>6</v>
      </c>
      <c r="N4" s="11" t="s">
        <v>51</v>
      </c>
      <c r="O4" s="10" t="s">
        <v>43</v>
      </c>
      <c r="P4" s="10" t="s">
        <v>44</v>
      </c>
      <c r="Q4" s="10" t="s">
        <v>45</v>
      </c>
      <c r="R4" s="10" t="s">
        <v>46</v>
      </c>
      <c r="S4" s="10" t="s">
        <v>47</v>
      </c>
    </row>
    <row r="5" spans="1:19">
      <c r="A5" s="10" t="s">
        <v>55</v>
      </c>
      <c r="B5" s="10" t="s">
        <v>56</v>
      </c>
      <c r="C5" s="10" t="s">
        <v>50</v>
      </c>
      <c r="D5" s="10" t="s">
        <v>40</v>
      </c>
      <c r="E5" s="47" t="str">
        <f t="shared" si="0"/>
        <v>Iniciado</v>
      </c>
      <c r="F5" s="15" cm="1">
        <f t="array" ref="F5">_xlfn.IFS(E5="No Asignado",0,E5="Iniciado",0.2,E5="RevA",0.4,E5="RevB",0.7,E5="Rev0",1)</f>
        <v>0.2</v>
      </c>
      <c r="G5" s="10" t="s">
        <v>57</v>
      </c>
      <c r="H5" s="10" t="s">
        <v>42</v>
      </c>
      <c r="I5" s="11">
        <v>45292</v>
      </c>
      <c r="J5" s="11" t="s">
        <v>51</v>
      </c>
      <c r="K5" s="11" t="s">
        <v>51</v>
      </c>
      <c r="L5" s="11" t="s">
        <v>51</v>
      </c>
      <c r="M5" s="14">
        <v>12</v>
      </c>
      <c r="N5" s="11" t="s">
        <v>51</v>
      </c>
      <c r="O5" s="10" t="s">
        <v>43</v>
      </c>
      <c r="P5" s="10" t="s">
        <v>44</v>
      </c>
      <c r="Q5" s="10" t="s">
        <v>45</v>
      </c>
      <c r="R5" s="10" t="s">
        <v>46</v>
      </c>
      <c r="S5" s="10" t="s">
        <v>47</v>
      </c>
    </row>
    <row r="6" spans="1:19">
      <c r="A6" s="10" t="s">
        <v>58</v>
      </c>
      <c r="B6" s="10" t="s">
        <v>59</v>
      </c>
      <c r="C6" s="10" t="s">
        <v>60</v>
      </c>
      <c r="D6" s="10" t="s">
        <v>40</v>
      </c>
      <c r="E6" s="47" t="str">
        <f t="shared" si="0"/>
        <v>Iniciado</v>
      </c>
      <c r="F6" s="15" cm="1">
        <f t="array" ref="F6">_xlfn.IFS(E6="No Asignado",0,E6="Iniciado",0.2,E6="RevA",0.4,E6="RevB",0.7,E6="Rev0",1)</f>
        <v>0.2</v>
      </c>
      <c r="G6" s="10" t="s">
        <v>57</v>
      </c>
      <c r="H6" s="10" t="s">
        <v>42</v>
      </c>
      <c r="I6" s="11">
        <v>45292</v>
      </c>
      <c r="J6" s="11" t="s">
        <v>51</v>
      </c>
      <c r="K6" s="11" t="s">
        <v>51</v>
      </c>
      <c r="L6" s="11" t="s">
        <v>51</v>
      </c>
      <c r="M6" s="14">
        <v>6</v>
      </c>
      <c r="N6" s="11" t="s">
        <v>51</v>
      </c>
      <c r="O6" s="10" t="s">
        <v>43</v>
      </c>
      <c r="P6" s="10" t="s">
        <v>44</v>
      </c>
      <c r="Q6" s="10" t="s">
        <v>45</v>
      </c>
      <c r="R6" s="10" t="s">
        <v>46</v>
      </c>
      <c r="S6" s="10" t="s">
        <v>47</v>
      </c>
    </row>
    <row r="7" spans="1:19">
      <c r="A7" s="10" t="s">
        <v>61</v>
      </c>
      <c r="B7" s="10" t="s">
        <v>62</v>
      </c>
      <c r="C7" s="10" t="s">
        <v>50</v>
      </c>
      <c r="D7" s="10" t="s">
        <v>40</v>
      </c>
      <c r="E7" s="47" t="str">
        <f t="shared" si="0"/>
        <v>Iniciado</v>
      </c>
      <c r="F7" s="15" cm="1">
        <f t="array" ref="F7">_xlfn.IFS(E7="No Asignado",0,E7="Iniciado",0.2,E7="RevA",0.4,E7="RevB",0.7,E7="Rev0",1)</f>
        <v>0.2</v>
      </c>
      <c r="G7" s="10" t="s">
        <v>57</v>
      </c>
      <c r="H7" s="10" t="s">
        <v>63</v>
      </c>
      <c r="I7" s="11">
        <v>45292</v>
      </c>
      <c r="J7" s="11" t="s">
        <v>51</v>
      </c>
      <c r="K7" s="11" t="s">
        <v>51</v>
      </c>
      <c r="L7" s="11" t="s">
        <v>51</v>
      </c>
      <c r="M7" s="14">
        <v>12</v>
      </c>
      <c r="N7" s="11" t="s">
        <v>51</v>
      </c>
      <c r="O7" s="10" t="s">
        <v>43</v>
      </c>
      <c r="P7" s="10" t="s">
        <v>44</v>
      </c>
      <c r="Q7" s="10" t="s">
        <v>45</v>
      </c>
      <c r="R7" s="10" t="s">
        <v>46</v>
      </c>
      <c r="S7" s="10" t="s">
        <v>47</v>
      </c>
    </row>
    <row r="8" spans="1:19">
      <c r="A8" s="10" t="s">
        <v>64</v>
      </c>
      <c r="B8" s="10" t="s">
        <v>65</v>
      </c>
      <c r="C8" s="10" t="s">
        <v>50</v>
      </c>
      <c r="D8" s="10" t="s">
        <v>40</v>
      </c>
      <c r="E8" s="47" t="str">
        <f t="shared" si="0"/>
        <v>Rev0</v>
      </c>
      <c r="F8" s="15" cm="1">
        <f t="array" ref="F8">_xlfn.IFS(E8="No Asignado",0,E8="Iniciado",0.2,E8="RevA",0.4,E8="RevB",0.7,E8="Rev0",1)</f>
        <v>1</v>
      </c>
      <c r="G8" s="10" t="s">
        <v>57</v>
      </c>
      <c r="H8" s="10" t="s">
        <v>63</v>
      </c>
      <c r="I8" s="11">
        <v>45332</v>
      </c>
      <c r="J8" s="11">
        <v>45347</v>
      </c>
      <c r="K8" s="11">
        <v>45356</v>
      </c>
      <c r="L8" s="11">
        <v>45731</v>
      </c>
      <c r="M8" s="14">
        <v>12</v>
      </c>
      <c r="N8" s="11">
        <v>46091</v>
      </c>
      <c r="O8" s="10" t="s">
        <v>43</v>
      </c>
      <c r="P8" s="10" t="s">
        <v>44</v>
      </c>
      <c r="Q8" s="10" t="s">
        <v>45</v>
      </c>
      <c r="R8" s="10" t="s">
        <v>46</v>
      </c>
      <c r="S8" s="10" t="s">
        <v>47</v>
      </c>
    </row>
    <row r="9" spans="1:19">
      <c r="A9" s="10" t="s">
        <v>66</v>
      </c>
      <c r="B9" s="10" t="s">
        <v>67</v>
      </c>
      <c r="C9" s="10" t="s">
        <v>50</v>
      </c>
      <c r="D9" s="10" t="s">
        <v>40</v>
      </c>
      <c r="E9" s="47" t="str">
        <f t="shared" si="0"/>
        <v>Rev0</v>
      </c>
      <c r="F9" s="15" cm="1">
        <f t="array" ref="F9">_xlfn.IFS(E9="No Asignado",0,E9="Iniciado",0.2,E9="RevA",0.4,E9="RevB",0.7,E9="Rev0",1)</f>
        <v>1</v>
      </c>
      <c r="G9" s="10" t="s">
        <v>41</v>
      </c>
      <c r="H9" s="10" t="s">
        <v>63</v>
      </c>
      <c r="I9" s="11">
        <v>45332</v>
      </c>
      <c r="J9" s="11">
        <v>45347</v>
      </c>
      <c r="K9" s="11">
        <v>45356</v>
      </c>
      <c r="L9" s="11">
        <v>45731</v>
      </c>
      <c r="M9" s="14">
        <v>12</v>
      </c>
      <c r="N9" s="11">
        <v>46091</v>
      </c>
      <c r="O9" s="10" t="s">
        <v>43</v>
      </c>
      <c r="P9" s="10" t="s">
        <v>44</v>
      </c>
      <c r="Q9" s="10" t="s">
        <v>45</v>
      </c>
      <c r="R9" s="10" t="s">
        <v>46</v>
      </c>
      <c r="S9" s="10" t="s">
        <v>47</v>
      </c>
    </row>
    <row r="10" spans="1:19">
      <c r="A10" s="10" t="s">
        <v>68</v>
      </c>
      <c r="B10" s="10" t="s">
        <v>69</v>
      </c>
      <c r="C10" s="10" t="s">
        <v>50</v>
      </c>
      <c r="D10" s="10" t="s">
        <v>40</v>
      </c>
      <c r="E10" s="47" t="str">
        <f t="shared" si="0"/>
        <v>Rev0</v>
      </c>
      <c r="F10" s="15" cm="1">
        <f t="array" ref="F10">_xlfn.IFS(E10="No Asignado",0,E10="Iniciado",0.2,E10="RevA",0.4,E10="RevB",0.7,E10="Rev0",1)</f>
        <v>1</v>
      </c>
      <c r="G10" s="10" t="s">
        <v>41</v>
      </c>
      <c r="H10" s="10" t="s">
        <v>63</v>
      </c>
      <c r="I10" s="11">
        <v>45332</v>
      </c>
      <c r="J10" s="11">
        <v>45347</v>
      </c>
      <c r="K10" s="11">
        <v>45356</v>
      </c>
      <c r="L10" s="11">
        <v>45731</v>
      </c>
      <c r="M10" s="14">
        <v>12</v>
      </c>
      <c r="N10" s="11">
        <v>46091</v>
      </c>
      <c r="O10" s="10" t="s">
        <v>43</v>
      </c>
      <c r="P10" s="10" t="s">
        <v>44</v>
      </c>
      <c r="Q10" s="10" t="s">
        <v>45</v>
      </c>
      <c r="R10" s="10" t="s">
        <v>46</v>
      </c>
      <c r="S10" s="10" t="s">
        <v>47</v>
      </c>
    </row>
    <row r="11" spans="1:19">
      <c r="A11" s="10" t="s">
        <v>70</v>
      </c>
      <c r="B11" s="10" t="s">
        <v>71</v>
      </c>
      <c r="C11" s="10" t="s">
        <v>50</v>
      </c>
      <c r="D11" s="10" t="s">
        <v>40</v>
      </c>
      <c r="E11" s="47" t="str">
        <f t="shared" si="0"/>
        <v>RevA</v>
      </c>
      <c r="F11" s="15" cm="1">
        <f t="array" ref="F11">_xlfn.IFS(E11="No Asignado",0,E11="Iniciado",0.2,E11="RevA",0.4,E11="RevB",0.7,E11="Rev0",1)</f>
        <v>0.4</v>
      </c>
      <c r="G11" s="10" t="s">
        <v>41</v>
      </c>
      <c r="H11" s="10" t="s">
        <v>63</v>
      </c>
      <c r="I11" s="11">
        <v>45332</v>
      </c>
      <c r="J11" s="11">
        <v>45347</v>
      </c>
      <c r="K11" s="11" t="s">
        <v>51</v>
      </c>
      <c r="L11" s="11" t="s">
        <v>51</v>
      </c>
      <c r="M11" s="14">
        <v>12</v>
      </c>
      <c r="N11" s="11" t="s">
        <v>51</v>
      </c>
      <c r="O11" s="10" t="s">
        <v>43</v>
      </c>
      <c r="P11" s="10" t="s">
        <v>44</v>
      </c>
      <c r="Q11" s="10" t="s">
        <v>45</v>
      </c>
      <c r="R11" s="10" t="s">
        <v>46</v>
      </c>
      <c r="S11" s="10" t="s">
        <v>47</v>
      </c>
    </row>
    <row r="12" spans="1:19">
      <c r="A12" s="10" t="s">
        <v>72</v>
      </c>
      <c r="B12" s="10" t="s">
        <v>73</v>
      </c>
      <c r="C12" s="10" t="s">
        <v>50</v>
      </c>
      <c r="D12" s="10" t="s">
        <v>40</v>
      </c>
      <c r="E12" s="47" t="str">
        <f t="shared" si="0"/>
        <v>Iniciado</v>
      </c>
      <c r="F12" s="15" cm="1">
        <f t="array" ref="F12">_xlfn.IFS(E12="No Asignado",0,E12="Iniciado",0.2,E12="RevA",0.4,E12="RevB",0.7,E12="Rev0",1)</f>
        <v>0.2</v>
      </c>
      <c r="G12" s="10" t="s">
        <v>41</v>
      </c>
      <c r="H12" s="10" t="s">
        <v>63</v>
      </c>
      <c r="I12" s="11">
        <v>45332</v>
      </c>
      <c r="J12" s="11" t="s">
        <v>51</v>
      </c>
      <c r="K12" s="11" t="s">
        <v>51</v>
      </c>
      <c r="L12" s="11" t="s">
        <v>51</v>
      </c>
      <c r="M12" s="14">
        <v>12</v>
      </c>
      <c r="N12" s="11" t="s">
        <v>51</v>
      </c>
      <c r="O12" s="10" t="s">
        <v>43</v>
      </c>
      <c r="P12" s="10" t="s">
        <v>44</v>
      </c>
      <c r="Q12" s="10" t="s">
        <v>45</v>
      </c>
      <c r="R12" s="10" t="s">
        <v>46</v>
      </c>
      <c r="S12" s="10" t="s">
        <v>47</v>
      </c>
    </row>
    <row r="13" spans="1:19">
      <c r="A13" s="10" t="s">
        <v>74</v>
      </c>
      <c r="B13" s="10" t="s">
        <v>75</v>
      </c>
      <c r="C13" s="10" t="s">
        <v>60</v>
      </c>
      <c r="D13" s="10" t="s">
        <v>40</v>
      </c>
      <c r="E13" s="47" t="str">
        <f t="shared" si="0"/>
        <v>Iniciado</v>
      </c>
      <c r="F13" s="15" cm="1">
        <f t="array" ref="F13">_xlfn.IFS(E13="No Asignado",0,E13="Iniciado",0.2,E13="RevA",0.4,E13="RevB",0.7,E13="Rev0",1)</f>
        <v>0.2</v>
      </c>
      <c r="G13" s="10" t="s">
        <v>41</v>
      </c>
      <c r="H13" s="10" t="s">
        <v>63</v>
      </c>
      <c r="I13" s="11">
        <v>45332</v>
      </c>
      <c r="J13" s="11" t="s">
        <v>51</v>
      </c>
      <c r="K13" s="11" t="s">
        <v>51</v>
      </c>
      <c r="L13" s="11" t="s">
        <v>51</v>
      </c>
      <c r="M13" s="14">
        <v>6</v>
      </c>
      <c r="N13" s="11" t="s">
        <v>51</v>
      </c>
      <c r="O13" s="10" t="s">
        <v>43</v>
      </c>
      <c r="P13" s="10" t="s">
        <v>44</v>
      </c>
      <c r="Q13" s="10" t="s">
        <v>45</v>
      </c>
      <c r="R13" s="10" t="s">
        <v>46</v>
      </c>
      <c r="S13" s="10" t="s">
        <v>47</v>
      </c>
    </row>
    <row r="14" spans="1:19">
      <c r="A14" s="10" t="s">
        <v>76</v>
      </c>
      <c r="B14" s="10" t="s">
        <v>77</v>
      </c>
      <c r="C14" s="10" t="s">
        <v>50</v>
      </c>
      <c r="D14" s="10" t="s">
        <v>40</v>
      </c>
      <c r="E14" s="47" t="str">
        <f t="shared" si="0"/>
        <v>Iniciado</v>
      </c>
      <c r="F14" s="15" cm="1">
        <f t="array" ref="F14">_xlfn.IFS(E14="No Asignado",0,E14="Iniciado",0.2,E14="RevA",0.4,E14="RevB",0.7,E14="Rev0",1)</f>
        <v>0.2</v>
      </c>
      <c r="G14" s="10" t="s">
        <v>41</v>
      </c>
      <c r="H14" s="10" t="s">
        <v>63</v>
      </c>
      <c r="I14" s="11">
        <v>45332</v>
      </c>
      <c r="J14" s="11" t="s">
        <v>51</v>
      </c>
      <c r="K14" s="11" t="s">
        <v>51</v>
      </c>
      <c r="L14" s="11" t="s">
        <v>51</v>
      </c>
      <c r="M14" s="14">
        <v>12</v>
      </c>
      <c r="N14" s="11" t="s">
        <v>51</v>
      </c>
      <c r="O14" s="10" t="s">
        <v>43</v>
      </c>
      <c r="P14" s="10" t="s">
        <v>44</v>
      </c>
      <c r="Q14" s="10" t="s">
        <v>45</v>
      </c>
      <c r="R14" s="10" t="s">
        <v>46</v>
      </c>
      <c r="S14" s="10" t="s">
        <v>47</v>
      </c>
    </row>
    <row r="15" spans="1:19">
      <c r="A15" s="10" t="s">
        <v>78</v>
      </c>
      <c r="B15" s="10" t="s">
        <v>79</v>
      </c>
      <c r="C15" s="10" t="s">
        <v>60</v>
      </c>
      <c r="D15" s="10" t="s">
        <v>40</v>
      </c>
      <c r="E15" s="47" t="str">
        <f t="shared" si="0"/>
        <v>Iniciado</v>
      </c>
      <c r="F15" s="15" cm="1">
        <f t="array" ref="F15">_xlfn.IFS(E15="No Asignado",0,E15="Iniciado",0.2,E15="RevA",0.4,E15="RevB",0.7,E15="Rev0",1)</f>
        <v>0.2</v>
      </c>
      <c r="G15" s="10" t="s">
        <v>41</v>
      </c>
      <c r="H15" s="10" t="s">
        <v>63</v>
      </c>
      <c r="I15" s="11">
        <v>45332</v>
      </c>
      <c r="J15" s="11" t="s">
        <v>51</v>
      </c>
      <c r="K15" s="11" t="s">
        <v>51</v>
      </c>
      <c r="L15" s="11" t="s">
        <v>51</v>
      </c>
      <c r="M15" s="14">
        <v>6</v>
      </c>
      <c r="N15" s="11" t="s">
        <v>51</v>
      </c>
      <c r="O15" s="10" t="s">
        <v>43</v>
      </c>
      <c r="P15" s="10" t="s">
        <v>44</v>
      </c>
      <c r="Q15" s="10" t="s">
        <v>45</v>
      </c>
      <c r="R15" s="10" t="s">
        <v>46</v>
      </c>
      <c r="S15" s="10" t="s">
        <v>47</v>
      </c>
    </row>
    <row r="16" spans="1:19">
      <c r="A16" s="10" t="s">
        <v>80</v>
      </c>
      <c r="B16" s="10" t="s">
        <v>81</v>
      </c>
      <c r="C16" s="10" t="s">
        <v>50</v>
      </c>
      <c r="D16" s="10" t="s">
        <v>40</v>
      </c>
      <c r="E16" s="47" t="str">
        <f t="shared" si="0"/>
        <v>Iniciado</v>
      </c>
      <c r="F16" s="15" cm="1">
        <f t="array" ref="F16">_xlfn.IFS(E16="No Asignado",0,E16="Iniciado",0.2,E16="RevA",0.4,E16="RevB",0.7,E16="Rev0",1)</f>
        <v>0.2</v>
      </c>
      <c r="G16" s="10" t="s">
        <v>82</v>
      </c>
      <c r="H16" s="10" t="s">
        <v>83</v>
      </c>
      <c r="I16" s="11">
        <v>45332</v>
      </c>
      <c r="J16" s="11" t="s">
        <v>51</v>
      </c>
      <c r="K16" s="11" t="s">
        <v>51</v>
      </c>
      <c r="L16" s="11" t="s">
        <v>51</v>
      </c>
      <c r="M16" s="14">
        <v>12</v>
      </c>
      <c r="N16" s="11" t="s">
        <v>51</v>
      </c>
      <c r="O16" s="10" t="s">
        <v>43</v>
      </c>
      <c r="P16" s="10" t="s">
        <v>44</v>
      </c>
      <c r="Q16" s="10" t="s">
        <v>45</v>
      </c>
      <c r="R16" s="10" t="s">
        <v>46</v>
      </c>
      <c r="S16" s="10" t="s">
        <v>47</v>
      </c>
    </row>
    <row r="17" spans="1:19">
      <c r="A17" s="10" t="s">
        <v>84</v>
      </c>
      <c r="B17" s="10" t="s">
        <v>85</v>
      </c>
      <c r="C17" s="10" t="s">
        <v>50</v>
      </c>
      <c r="D17" s="10" t="s">
        <v>40</v>
      </c>
      <c r="E17" s="47" t="str">
        <f t="shared" si="0"/>
        <v>Iniciado</v>
      </c>
      <c r="F17" s="15" cm="1">
        <f t="array" ref="F17">_xlfn.IFS(E17="No Asignado",0,E17="Iniciado",0.2,E17="RevA",0.4,E17="RevB",0.7,E17="Rev0",1)</f>
        <v>0.2</v>
      </c>
      <c r="G17" s="10" t="s">
        <v>82</v>
      </c>
      <c r="H17" s="10" t="s">
        <v>83</v>
      </c>
      <c r="I17" s="11">
        <v>45337</v>
      </c>
      <c r="J17" s="11" t="s">
        <v>51</v>
      </c>
      <c r="K17" s="11" t="s">
        <v>51</v>
      </c>
      <c r="L17" s="11" t="s">
        <v>51</v>
      </c>
      <c r="M17" s="14">
        <v>12</v>
      </c>
      <c r="N17" s="11" t="s">
        <v>51</v>
      </c>
      <c r="O17" s="10" t="s">
        <v>43</v>
      </c>
      <c r="P17" s="10" t="s">
        <v>44</v>
      </c>
      <c r="Q17" s="10" t="s">
        <v>45</v>
      </c>
      <c r="R17" s="10" t="s">
        <v>46</v>
      </c>
      <c r="S17" s="10" t="s">
        <v>47</v>
      </c>
    </row>
    <row r="18" spans="1:19">
      <c r="A18" s="10" t="s">
        <v>86</v>
      </c>
      <c r="B18" s="10" t="s">
        <v>87</v>
      </c>
      <c r="C18" s="10" t="s">
        <v>54</v>
      </c>
      <c r="D18" s="10" t="s">
        <v>40</v>
      </c>
      <c r="E18" s="47" t="str">
        <f t="shared" si="0"/>
        <v>RevA</v>
      </c>
      <c r="F18" s="15" cm="1">
        <f t="array" ref="F18">_xlfn.IFS(E18="No Asignado",0,E18="Iniciado",0.2,E18="RevA",0.4,E18="RevB",0.7,E18="Rev0",1)</f>
        <v>0.4</v>
      </c>
      <c r="G18" s="10" t="s">
        <v>82</v>
      </c>
      <c r="H18" s="10" t="s">
        <v>83</v>
      </c>
      <c r="I18" s="11">
        <v>45337</v>
      </c>
      <c r="J18" s="11">
        <v>45347</v>
      </c>
      <c r="K18" s="11" t="s">
        <v>51</v>
      </c>
      <c r="L18" s="11" t="s">
        <v>51</v>
      </c>
      <c r="M18" s="14">
        <v>6</v>
      </c>
      <c r="N18" s="11" t="s">
        <v>51</v>
      </c>
      <c r="O18" s="10" t="s">
        <v>43</v>
      </c>
      <c r="P18" s="10" t="s">
        <v>44</v>
      </c>
      <c r="Q18" s="10" t="s">
        <v>45</v>
      </c>
      <c r="R18" s="10" t="s">
        <v>46</v>
      </c>
      <c r="S18" s="10" t="s">
        <v>47</v>
      </c>
    </row>
    <row r="19" spans="1:19">
      <c r="A19" s="10" t="s">
        <v>88</v>
      </c>
      <c r="B19" s="10" t="s">
        <v>89</v>
      </c>
      <c r="C19" s="10" t="s">
        <v>54</v>
      </c>
      <c r="D19" s="10" t="s">
        <v>40</v>
      </c>
      <c r="E19" s="47" t="str">
        <f t="shared" si="0"/>
        <v>RevA</v>
      </c>
      <c r="F19" s="15" cm="1">
        <f t="array" ref="F19">_xlfn.IFS(E19="No Asignado",0,E19="Iniciado",0.2,E19="RevA",0.4,E19="RevB",0.7,E19="Rev0",1)</f>
        <v>0.4</v>
      </c>
      <c r="G19" s="10" t="s">
        <v>82</v>
      </c>
      <c r="H19" s="10" t="s">
        <v>83</v>
      </c>
      <c r="I19" s="11">
        <v>45337</v>
      </c>
      <c r="J19" s="11">
        <v>45347</v>
      </c>
      <c r="K19" s="11" t="s">
        <v>51</v>
      </c>
      <c r="L19" s="11" t="s">
        <v>51</v>
      </c>
      <c r="M19" s="14">
        <v>6</v>
      </c>
      <c r="N19" s="11" t="s">
        <v>51</v>
      </c>
      <c r="O19" s="10" t="s">
        <v>43</v>
      </c>
      <c r="P19" s="10" t="s">
        <v>44</v>
      </c>
      <c r="Q19" s="10" t="s">
        <v>45</v>
      </c>
      <c r="R19" s="10" t="s">
        <v>46</v>
      </c>
      <c r="S19" s="10" t="s">
        <v>47</v>
      </c>
    </row>
    <row r="20" spans="1:19">
      <c r="A20" s="10" t="s">
        <v>90</v>
      </c>
      <c r="B20" s="10" t="s">
        <v>91</v>
      </c>
      <c r="C20" s="10" t="s">
        <v>50</v>
      </c>
      <c r="D20" s="10" t="s">
        <v>40</v>
      </c>
      <c r="E20" s="47" t="str">
        <f t="shared" si="0"/>
        <v>RevB</v>
      </c>
      <c r="F20" s="15" cm="1">
        <f t="array" ref="F20">_xlfn.IFS(E20="No Asignado",0,E20="Iniciado",0.2,E20="RevA",0.4,E20="RevB",0.7,E20="Rev0",1)</f>
        <v>0.7</v>
      </c>
      <c r="G20" s="10" t="s">
        <v>82</v>
      </c>
      <c r="H20" s="10" t="s">
        <v>83</v>
      </c>
      <c r="I20" s="11">
        <v>45337</v>
      </c>
      <c r="J20" s="11">
        <v>45347</v>
      </c>
      <c r="K20" s="11">
        <v>45354</v>
      </c>
      <c r="L20" s="11" t="s">
        <v>51</v>
      </c>
      <c r="M20" s="14">
        <v>12</v>
      </c>
      <c r="N20" s="11" t="s">
        <v>51</v>
      </c>
      <c r="O20" s="10" t="s">
        <v>43</v>
      </c>
      <c r="P20" s="10" t="s">
        <v>44</v>
      </c>
      <c r="Q20" s="10" t="s">
        <v>45</v>
      </c>
      <c r="R20" s="10" t="s">
        <v>46</v>
      </c>
      <c r="S20" s="10" t="s">
        <v>47</v>
      </c>
    </row>
    <row r="21" spans="1:19">
      <c r="A21" s="10" t="s">
        <v>92</v>
      </c>
      <c r="B21" s="10" t="s">
        <v>93</v>
      </c>
      <c r="C21" s="10" t="s">
        <v>50</v>
      </c>
      <c r="D21" s="10" t="s">
        <v>40</v>
      </c>
      <c r="E21" s="47" t="str">
        <f t="shared" si="0"/>
        <v>Rev0</v>
      </c>
      <c r="F21" s="15" cm="1">
        <f t="array" ref="F21">_xlfn.IFS(E21="No Asignado",0,E21="Iniciado",0.2,E21="RevA",0.4,E21="RevB",0.7,E21="Rev0",1)</f>
        <v>1</v>
      </c>
      <c r="G21" s="10" t="s">
        <v>82</v>
      </c>
      <c r="H21" s="10" t="s">
        <v>83</v>
      </c>
      <c r="I21" s="11">
        <v>45337</v>
      </c>
      <c r="J21" s="11">
        <v>45347</v>
      </c>
      <c r="K21" s="11">
        <v>45354</v>
      </c>
      <c r="L21" s="11">
        <v>45740</v>
      </c>
      <c r="M21" s="14">
        <v>12</v>
      </c>
      <c r="N21" s="11">
        <v>46100</v>
      </c>
      <c r="O21" s="10" t="s">
        <v>43</v>
      </c>
      <c r="P21" s="10" t="s">
        <v>44</v>
      </c>
      <c r="Q21" s="10" t="s">
        <v>45</v>
      </c>
      <c r="R21" s="10" t="s">
        <v>46</v>
      </c>
      <c r="S21" s="10" t="s">
        <v>47</v>
      </c>
    </row>
    <row r="22" spans="1:19">
      <c r="A22" s="10" t="s">
        <v>94</v>
      </c>
      <c r="B22" s="10" t="s">
        <v>95</v>
      </c>
      <c r="C22" s="10" t="s">
        <v>50</v>
      </c>
      <c r="D22" s="10" t="s">
        <v>40</v>
      </c>
      <c r="E22" s="47" t="str">
        <f t="shared" si="0"/>
        <v>Rev0</v>
      </c>
      <c r="F22" s="15" cm="1">
        <f t="array" ref="F22">_xlfn.IFS(E22="No Asignado",0,E22="Iniciado",0.2,E22="RevA",0.4,E22="RevB",0.7,E22="Rev0",1)</f>
        <v>1</v>
      </c>
      <c r="G22" s="10" t="s">
        <v>41</v>
      </c>
      <c r="H22" s="10" t="s">
        <v>83</v>
      </c>
      <c r="I22" s="11">
        <v>45337</v>
      </c>
      <c r="J22" s="11">
        <v>45347</v>
      </c>
      <c r="K22" s="11">
        <v>45354</v>
      </c>
      <c r="L22" s="11">
        <v>45740</v>
      </c>
      <c r="M22" s="14">
        <v>12</v>
      </c>
      <c r="N22" s="11">
        <v>46100</v>
      </c>
      <c r="O22" s="10" t="s">
        <v>43</v>
      </c>
      <c r="P22" s="10" t="s">
        <v>44</v>
      </c>
      <c r="Q22" s="10" t="s">
        <v>45</v>
      </c>
      <c r="R22" s="10" t="s">
        <v>46</v>
      </c>
      <c r="S22" s="10" t="s">
        <v>47</v>
      </c>
    </row>
    <row r="23" spans="1:19">
      <c r="A23" s="10" t="s">
        <v>96</v>
      </c>
      <c r="B23" s="10" t="s">
        <v>97</v>
      </c>
      <c r="C23" s="10" t="s">
        <v>50</v>
      </c>
      <c r="D23" s="10" t="s">
        <v>40</v>
      </c>
      <c r="E23" s="47" t="str">
        <f t="shared" si="0"/>
        <v>Rev0</v>
      </c>
      <c r="F23" s="15" cm="1">
        <f t="array" ref="F23">_xlfn.IFS(E23="No Asignado",0,E23="Iniciado",0.2,E23="RevA",0.4,E23="RevB",0.7,E23="Rev0",1)</f>
        <v>1</v>
      </c>
      <c r="G23" s="10" t="s">
        <v>41</v>
      </c>
      <c r="H23" s="10" t="s">
        <v>83</v>
      </c>
      <c r="I23" s="11">
        <v>45340</v>
      </c>
      <c r="J23" s="11">
        <v>45347</v>
      </c>
      <c r="K23" s="11">
        <v>45354</v>
      </c>
      <c r="L23" s="11">
        <v>45741</v>
      </c>
      <c r="M23" s="14">
        <v>12</v>
      </c>
      <c r="N23" s="11">
        <v>46101</v>
      </c>
      <c r="O23" s="10" t="s">
        <v>43</v>
      </c>
      <c r="P23" s="10" t="s">
        <v>44</v>
      </c>
      <c r="Q23" s="10" t="s">
        <v>45</v>
      </c>
      <c r="R23" s="10" t="s">
        <v>46</v>
      </c>
      <c r="S23" s="10" t="s">
        <v>47</v>
      </c>
    </row>
    <row r="24" spans="1:19">
      <c r="A24" s="10" t="s">
        <v>98</v>
      </c>
      <c r="B24" s="10" t="s">
        <v>99</v>
      </c>
      <c r="C24" s="10" t="s">
        <v>50</v>
      </c>
      <c r="D24" s="10" t="s">
        <v>40</v>
      </c>
      <c r="E24" s="47" t="str">
        <f t="shared" si="0"/>
        <v>RevA</v>
      </c>
      <c r="F24" s="15" cm="1">
        <f t="array" ref="F24">_xlfn.IFS(E24="No Asignado",0,E24="Iniciado",0.2,E24="RevA",0.4,E24="RevB",0.7,E24="Rev0",1)</f>
        <v>0.4</v>
      </c>
      <c r="G24" s="10" t="s">
        <v>41</v>
      </c>
      <c r="H24" s="10" t="s">
        <v>83</v>
      </c>
      <c r="I24" s="11">
        <v>45340</v>
      </c>
      <c r="J24" s="11">
        <v>45347</v>
      </c>
      <c r="K24" s="11" t="s">
        <v>51</v>
      </c>
      <c r="L24" s="11" t="s">
        <v>51</v>
      </c>
      <c r="M24" s="14">
        <v>12</v>
      </c>
      <c r="N24" s="11" t="s">
        <v>51</v>
      </c>
      <c r="O24" s="10" t="s">
        <v>43</v>
      </c>
      <c r="P24" s="10" t="s">
        <v>44</v>
      </c>
      <c r="Q24" s="10" t="s">
        <v>45</v>
      </c>
      <c r="R24" s="10" t="s">
        <v>46</v>
      </c>
      <c r="S24" s="10" t="s">
        <v>47</v>
      </c>
    </row>
    <row r="25" spans="1:19">
      <c r="A25" s="10" t="s">
        <v>100</v>
      </c>
      <c r="B25" s="10" t="s">
        <v>101</v>
      </c>
      <c r="C25" s="10" t="s">
        <v>54</v>
      </c>
      <c r="D25" s="10" t="s">
        <v>40</v>
      </c>
      <c r="E25" s="47" t="str">
        <f t="shared" si="0"/>
        <v>Iniciado</v>
      </c>
      <c r="F25" s="15" cm="1">
        <f t="array" ref="F25">_xlfn.IFS(E25="No Asignado",0,E25="Iniciado",0.2,E25="RevA",0.4,E25="RevB",0.7,E25="Rev0",1)</f>
        <v>0.2</v>
      </c>
      <c r="G25" s="10" t="s">
        <v>41</v>
      </c>
      <c r="H25" s="10" t="s">
        <v>83</v>
      </c>
      <c r="I25" s="11">
        <v>45340</v>
      </c>
      <c r="J25" s="11" t="s">
        <v>51</v>
      </c>
      <c r="K25" s="11" t="s">
        <v>51</v>
      </c>
      <c r="L25" s="11" t="s">
        <v>51</v>
      </c>
      <c r="M25" s="14">
        <v>6</v>
      </c>
      <c r="N25" s="11" t="s">
        <v>51</v>
      </c>
      <c r="O25" s="10" t="s">
        <v>43</v>
      </c>
      <c r="P25" s="10" t="s">
        <v>44</v>
      </c>
      <c r="Q25" s="10" t="s">
        <v>45</v>
      </c>
      <c r="R25" s="10" t="s">
        <v>46</v>
      </c>
      <c r="S25" s="10" t="s">
        <v>47</v>
      </c>
    </row>
    <row r="26" spans="1:19">
      <c r="A26" s="10" t="s">
        <v>102</v>
      </c>
      <c r="B26" s="10" t="s">
        <v>103</v>
      </c>
      <c r="C26" s="10" t="s">
        <v>50</v>
      </c>
      <c r="D26" s="10" t="s">
        <v>40</v>
      </c>
      <c r="E26" s="47" t="str">
        <f t="shared" si="0"/>
        <v>Iniciado</v>
      </c>
      <c r="F26" s="15" cm="1">
        <f t="array" ref="F26">_xlfn.IFS(E26="No Asignado",0,E26="Iniciado",0.2,E26="RevA",0.4,E26="RevB",0.7,E26="Rev0",1)</f>
        <v>0.2</v>
      </c>
      <c r="G26" s="10" t="s">
        <v>57</v>
      </c>
      <c r="H26" s="10" t="s">
        <v>83</v>
      </c>
      <c r="I26" s="11">
        <v>45340</v>
      </c>
      <c r="J26" s="11" t="s">
        <v>51</v>
      </c>
      <c r="K26" s="11" t="s">
        <v>51</v>
      </c>
      <c r="L26" s="11" t="s">
        <v>51</v>
      </c>
      <c r="M26" s="14">
        <v>12</v>
      </c>
      <c r="N26" s="11" t="s">
        <v>51</v>
      </c>
      <c r="O26" s="10" t="s">
        <v>43</v>
      </c>
      <c r="P26" s="10" t="s">
        <v>44</v>
      </c>
      <c r="Q26" s="10" t="s">
        <v>45</v>
      </c>
      <c r="R26" s="10" t="s">
        <v>46</v>
      </c>
      <c r="S26" s="10" t="s">
        <v>47</v>
      </c>
    </row>
    <row r="27" spans="1:19">
      <c r="A27" s="10" t="s">
        <v>104</v>
      </c>
      <c r="B27" s="10" t="s">
        <v>105</v>
      </c>
      <c r="C27" s="10" t="s">
        <v>50</v>
      </c>
      <c r="D27" s="10" t="s">
        <v>40</v>
      </c>
      <c r="E27" s="47" t="str">
        <f t="shared" si="0"/>
        <v>Iniciado</v>
      </c>
      <c r="F27" s="15" cm="1">
        <f t="array" ref="F27">_xlfn.IFS(E27="No Asignado",0,E27="Iniciado",0.2,E27="RevA",0.4,E27="RevB",0.7,E27="Rev0",1)</f>
        <v>0.2</v>
      </c>
      <c r="G27" s="10" t="s">
        <v>57</v>
      </c>
      <c r="H27" s="10" t="s">
        <v>83</v>
      </c>
      <c r="I27" s="11">
        <v>45340</v>
      </c>
      <c r="J27" s="11" t="s">
        <v>51</v>
      </c>
      <c r="K27" s="11" t="s">
        <v>51</v>
      </c>
      <c r="L27" s="11" t="s">
        <v>51</v>
      </c>
      <c r="M27" s="14">
        <v>12</v>
      </c>
      <c r="N27" s="11" t="s">
        <v>51</v>
      </c>
      <c r="O27" s="10" t="s">
        <v>43</v>
      </c>
      <c r="P27" s="10" t="s">
        <v>44</v>
      </c>
      <c r="Q27" s="10" t="s">
        <v>45</v>
      </c>
      <c r="R27" s="10" t="s">
        <v>46</v>
      </c>
      <c r="S27" s="10" t="s">
        <v>47</v>
      </c>
    </row>
    <row r="28" spans="1:19">
      <c r="A28" s="10" t="s">
        <v>106</v>
      </c>
      <c r="B28" s="10" t="s">
        <v>107</v>
      </c>
      <c r="C28" s="10" t="s">
        <v>108</v>
      </c>
      <c r="D28" s="10" t="s">
        <v>40</v>
      </c>
      <c r="E28" s="47" t="str">
        <f t="shared" si="0"/>
        <v>Iniciado</v>
      </c>
      <c r="F28" s="15" cm="1">
        <f t="array" ref="F28">_xlfn.IFS(E28="No Asignado",0,E28="Iniciado",0.2,E28="RevA",0.4,E28="RevB",0.7,E28="Rev0",1)</f>
        <v>0.2</v>
      </c>
      <c r="G28" s="10" t="s">
        <v>57</v>
      </c>
      <c r="H28" s="10" t="s">
        <v>83</v>
      </c>
      <c r="I28" s="11">
        <v>45340</v>
      </c>
      <c r="J28" s="11" t="s">
        <v>51</v>
      </c>
      <c r="K28" s="11" t="s">
        <v>51</v>
      </c>
      <c r="L28" s="11" t="s">
        <v>51</v>
      </c>
      <c r="M28" s="14">
        <v>12</v>
      </c>
      <c r="N28" s="11" t="s">
        <v>51</v>
      </c>
      <c r="O28" s="10" t="s">
        <v>43</v>
      </c>
      <c r="P28" s="10" t="s">
        <v>44</v>
      </c>
      <c r="Q28" s="10" t="s">
        <v>45</v>
      </c>
      <c r="R28" s="10" t="s">
        <v>46</v>
      </c>
      <c r="S28" s="10" t="s">
        <v>47</v>
      </c>
    </row>
    <row r="29" spans="1:19">
      <c r="A29" s="10" t="s">
        <v>109</v>
      </c>
      <c r="B29" s="10" t="s">
        <v>110</v>
      </c>
      <c r="C29" s="10" t="s">
        <v>108</v>
      </c>
      <c r="D29" s="10" t="s">
        <v>40</v>
      </c>
      <c r="E29" s="47" t="str">
        <f t="shared" si="0"/>
        <v>Iniciado</v>
      </c>
      <c r="F29" s="15" cm="1">
        <f t="array" ref="F29">_xlfn.IFS(E29="No Asignado",0,E29="Iniciado",0.2,E29="RevA",0.4,E29="RevB",0.7,E29="Rev0",1)</f>
        <v>0.2</v>
      </c>
      <c r="G29" s="10" t="s">
        <v>57</v>
      </c>
      <c r="H29" s="10" t="s">
        <v>83</v>
      </c>
      <c r="I29" s="11">
        <v>45340</v>
      </c>
      <c r="J29" s="11" t="s">
        <v>51</v>
      </c>
      <c r="K29" s="11" t="s">
        <v>51</v>
      </c>
      <c r="L29" s="11" t="s">
        <v>51</v>
      </c>
      <c r="M29" s="14">
        <v>12</v>
      </c>
      <c r="N29" s="11" t="s">
        <v>51</v>
      </c>
      <c r="O29" s="10" t="s">
        <v>43</v>
      </c>
      <c r="P29" s="10" t="s">
        <v>44</v>
      </c>
      <c r="Q29" s="10" t="s">
        <v>45</v>
      </c>
      <c r="R29" s="10" t="s">
        <v>46</v>
      </c>
      <c r="S29" s="10" t="s">
        <v>47</v>
      </c>
    </row>
    <row r="30" spans="1:19">
      <c r="A30" s="10" t="s">
        <v>111</v>
      </c>
      <c r="B30" s="10" t="s">
        <v>112</v>
      </c>
      <c r="C30" s="10" t="s">
        <v>108</v>
      </c>
      <c r="D30" s="10" t="s">
        <v>40</v>
      </c>
      <c r="E30" s="47" t="str">
        <f t="shared" si="0"/>
        <v>Iniciado</v>
      </c>
      <c r="F30" s="15" cm="1">
        <f t="array" ref="F30">_xlfn.IFS(E30="No Asignado",0,E30="Iniciado",0.2,E30="RevA",0.4,E30="RevB",0.7,E30="Rev0",1)</f>
        <v>0.2</v>
      </c>
      <c r="G30" s="10" t="s">
        <v>57</v>
      </c>
      <c r="H30" s="10" t="s">
        <v>83</v>
      </c>
      <c r="I30" s="11">
        <v>45340</v>
      </c>
      <c r="J30" s="11" t="s">
        <v>51</v>
      </c>
      <c r="K30" s="11" t="s">
        <v>51</v>
      </c>
      <c r="L30" s="11" t="s">
        <v>51</v>
      </c>
      <c r="M30" s="14">
        <v>12</v>
      </c>
      <c r="N30" s="11" t="s">
        <v>51</v>
      </c>
      <c r="O30" s="10" t="s">
        <v>43</v>
      </c>
      <c r="P30" s="10" t="s">
        <v>44</v>
      </c>
      <c r="Q30" s="10" t="s">
        <v>45</v>
      </c>
      <c r="R30" s="10" t="s">
        <v>46</v>
      </c>
      <c r="S30" s="10" t="s">
        <v>47</v>
      </c>
    </row>
    <row r="31" spans="1:19">
      <c r="A31" s="10" t="s">
        <v>113</v>
      </c>
      <c r="B31" s="10" t="s">
        <v>114</v>
      </c>
      <c r="C31" s="10" t="s">
        <v>50</v>
      </c>
      <c r="D31" s="10" t="s">
        <v>40</v>
      </c>
      <c r="E31" s="47" t="str">
        <f t="shared" si="0"/>
        <v>Iniciado</v>
      </c>
      <c r="F31" s="15" cm="1">
        <f t="array" ref="F31">_xlfn.IFS(E31="No Asignado",0,E31="Iniciado",0.2,E31="RevA",0.4,E31="RevB",0.7,E31="Rev0",1)</f>
        <v>0.2</v>
      </c>
      <c r="G31" s="10" t="s">
        <v>57</v>
      </c>
      <c r="H31" s="10" t="s">
        <v>83</v>
      </c>
      <c r="I31" s="11">
        <v>45342</v>
      </c>
      <c r="J31" s="11" t="s">
        <v>51</v>
      </c>
      <c r="K31" s="11" t="s">
        <v>51</v>
      </c>
      <c r="L31" s="11" t="s">
        <v>51</v>
      </c>
      <c r="M31" s="14">
        <v>12</v>
      </c>
      <c r="N31" s="11" t="s">
        <v>51</v>
      </c>
      <c r="O31" s="10" t="s">
        <v>43</v>
      </c>
      <c r="P31" s="10" t="s">
        <v>44</v>
      </c>
      <c r="Q31" s="10" t="s">
        <v>45</v>
      </c>
      <c r="R31" s="10" t="s">
        <v>46</v>
      </c>
      <c r="S31" s="10" t="s">
        <v>47</v>
      </c>
    </row>
    <row r="32" spans="1:19">
      <c r="A32" s="10" t="s">
        <v>115</v>
      </c>
      <c r="B32" s="10" t="s">
        <v>116</v>
      </c>
      <c r="C32" s="10" t="s">
        <v>50</v>
      </c>
      <c r="D32" s="10" t="s">
        <v>40</v>
      </c>
      <c r="E32" s="47" t="str">
        <f t="shared" si="0"/>
        <v>Rev0</v>
      </c>
      <c r="F32" s="15" cm="1">
        <f t="array" ref="F32">_xlfn.IFS(E32="No Asignado",0,E32="Iniciado",0.2,E32="RevA",0.4,E32="RevB",0.7,E32="Rev0",1)</f>
        <v>1</v>
      </c>
      <c r="G32" s="10" t="s">
        <v>57</v>
      </c>
      <c r="H32" s="10" t="s">
        <v>83</v>
      </c>
      <c r="I32" s="11">
        <v>45342</v>
      </c>
      <c r="J32" s="11">
        <v>45352</v>
      </c>
      <c r="K32" s="11">
        <v>45366</v>
      </c>
      <c r="L32" s="11">
        <v>45751</v>
      </c>
      <c r="M32" s="14">
        <v>12</v>
      </c>
      <c r="N32" s="11">
        <v>46111</v>
      </c>
      <c r="O32" s="10" t="s">
        <v>43</v>
      </c>
      <c r="P32" s="10" t="s">
        <v>44</v>
      </c>
      <c r="Q32" s="10" t="s">
        <v>45</v>
      </c>
      <c r="R32" s="10" t="s">
        <v>46</v>
      </c>
      <c r="S32" s="10" t="s">
        <v>47</v>
      </c>
    </row>
    <row r="33" spans="1:19">
      <c r="A33" s="10" t="s">
        <v>117</v>
      </c>
      <c r="B33" s="10" t="s">
        <v>118</v>
      </c>
      <c r="C33" s="10" t="s">
        <v>50</v>
      </c>
      <c r="D33" s="10" t="s">
        <v>40</v>
      </c>
      <c r="E33" s="47" t="str">
        <f t="shared" si="0"/>
        <v>Rev0</v>
      </c>
      <c r="F33" s="15" cm="1">
        <f t="array" ref="F33">_xlfn.IFS(E33="No Asignado",0,E33="Iniciado",0.2,E33="RevA",0.4,E33="RevB",0.7,E33="Rev0",1)</f>
        <v>1</v>
      </c>
      <c r="G33" s="10" t="s">
        <v>57</v>
      </c>
      <c r="H33" s="10" t="s">
        <v>83</v>
      </c>
      <c r="I33" s="11">
        <v>45342</v>
      </c>
      <c r="J33" s="11">
        <v>45352</v>
      </c>
      <c r="K33" s="11">
        <v>45366</v>
      </c>
      <c r="L33" s="11">
        <v>45751</v>
      </c>
      <c r="M33" s="14">
        <v>12</v>
      </c>
      <c r="N33" s="11">
        <v>46111</v>
      </c>
      <c r="O33" s="10" t="s">
        <v>43</v>
      </c>
      <c r="P33" s="10" t="s">
        <v>44</v>
      </c>
      <c r="Q33" s="10" t="s">
        <v>45</v>
      </c>
      <c r="R33" s="10" t="s">
        <v>46</v>
      </c>
      <c r="S33" s="10" t="s">
        <v>47</v>
      </c>
    </row>
    <row r="34" spans="1:19">
      <c r="A34" s="10" t="s">
        <v>119</v>
      </c>
      <c r="B34" s="10" t="s">
        <v>120</v>
      </c>
      <c r="C34" s="10" t="s">
        <v>50</v>
      </c>
      <c r="D34" s="10" t="s">
        <v>40</v>
      </c>
      <c r="E34" s="47" t="str">
        <f t="shared" si="0"/>
        <v>RevB</v>
      </c>
      <c r="F34" s="15" cm="1">
        <f t="array" ref="F34">_xlfn.IFS(E34="No Asignado",0,E34="Iniciado",0.2,E34="RevA",0.4,E34="RevB",0.7,E34="Rev0",1)</f>
        <v>0.7</v>
      </c>
      <c r="G34" s="10" t="s">
        <v>57</v>
      </c>
      <c r="H34" s="10" t="s">
        <v>83</v>
      </c>
      <c r="I34" s="11">
        <v>45342</v>
      </c>
      <c r="J34" s="11">
        <v>45352</v>
      </c>
      <c r="K34" s="11">
        <v>45366</v>
      </c>
      <c r="L34" s="11" t="s">
        <v>51</v>
      </c>
      <c r="M34" s="14">
        <v>12</v>
      </c>
      <c r="N34" s="11" t="s">
        <v>51</v>
      </c>
      <c r="O34" s="10" t="s">
        <v>43</v>
      </c>
      <c r="P34" s="10" t="s">
        <v>44</v>
      </c>
      <c r="Q34" s="10" t="s">
        <v>45</v>
      </c>
      <c r="R34" s="10" t="s">
        <v>46</v>
      </c>
      <c r="S34" s="10" t="s">
        <v>47</v>
      </c>
    </row>
    <row r="35" spans="1:19">
      <c r="A35" s="10" t="s">
        <v>121</v>
      </c>
      <c r="B35" s="10" t="s">
        <v>122</v>
      </c>
      <c r="C35" s="10" t="s">
        <v>50</v>
      </c>
      <c r="D35" s="10" t="s">
        <v>40</v>
      </c>
      <c r="E35" s="47" t="str">
        <f t="shared" si="0"/>
        <v>RevA</v>
      </c>
      <c r="F35" s="15" cm="1">
        <f t="array" ref="F35">_xlfn.IFS(E35="No Asignado",0,E35="Iniciado",0.2,E35="RevA",0.4,E35="RevB",0.7,E35="Rev0",1)</f>
        <v>0.4</v>
      </c>
      <c r="G35" s="10" t="s">
        <v>41</v>
      </c>
      <c r="H35" s="10" t="s">
        <v>83</v>
      </c>
      <c r="I35" s="11">
        <v>45342</v>
      </c>
      <c r="J35" s="11">
        <v>45352</v>
      </c>
      <c r="K35" s="11" t="s">
        <v>51</v>
      </c>
      <c r="L35" s="11" t="s">
        <v>51</v>
      </c>
      <c r="M35" s="14">
        <v>12</v>
      </c>
      <c r="N35" s="11" t="s">
        <v>51</v>
      </c>
      <c r="O35" s="10" t="s">
        <v>43</v>
      </c>
      <c r="P35" s="10" t="s">
        <v>44</v>
      </c>
      <c r="Q35" s="10" t="s">
        <v>45</v>
      </c>
      <c r="R35" s="10" t="s">
        <v>46</v>
      </c>
      <c r="S35" s="10" t="s">
        <v>47</v>
      </c>
    </row>
    <row r="36" spans="1:19">
      <c r="A36" s="10" t="s">
        <v>123</v>
      </c>
      <c r="B36" s="10" t="s">
        <v>124</v>
      </c>
      <c r="C36" s="10" t="s">
        <v>50</v>
      </c>
      <c r="D36" s="10" t="s">
        <v>40</v>
      </c>
      <c r="E36" s="47" t="str">
        <f t="shared" si="0"/>
        <v>No Asignado</v>
      </c>
      <c r="F36" s="15" cm="1">
        <f t="array" ref="F36">_xlfn.IFS(E36="No Asignado",0,E36="Iniciado",0.2,E36="RevA",0.4,E36="RevB",0.7,E36="Rev0",1)</f>
        <v>0</v>
      </c>
      <c r="G36" s="10" t="s">
        <v>41</v>
      </c>
      <c r="H36" s="10" t="s">
        <v>83</v>
      </c>
      <c r="I36" s="11">
        <v>0</v>
      </c>
      <c r="J36" s="11" t="s">
        <v>51</v>
      </c>
      <c r="K36" s="11" t="s">
        <v>51</v>
      </c>
      <c r="L36" s="11" t="s">
        <v>51</v>
      </c>
      <c r="M36" s="14">
        <v>12</v>
      </c>
      <c r="N36" s="11" t="s">
        <v>51</v>
      </c>
      <c r="O36" s="10" t="s">
        <v>43</v>
      </c>
      <c r="P36" s="10" t="s">
        <v>44</v>
      </c>
      <c r="Q36" s="10" t="s">
        <v>45</v>
      </c>
      <c r="R36" s="10" t="s">
        <v>46</v>
      </c>
      <c r="S36" s="10" t="s">
        <v>47</v>
      </c>
    </row>
    <row r="37" spans="1:19">
      <c r="A37" s="10" t="s">
        <v>125</v>
      </c>
      <c r="B37" s="10" t="s">
        <v>126</v>
      </c>
      <c r="C37" s="10" t="s">
        <v>127</v>
      </c>
      <c r="D37" s="10" t="s">
        <v>40</v>
      </c>
      <c r="E37" s="47" t="str">
        <f t="shared" si="0"/>
        <v>No Asignado</v>
      </c>
      <c r="F37" s="15" cm="1">
        <f t="array" ref="F37">_xlfn.IFS(E37="No Asignado",0,E37="Iniciado",0.2,E37="RevA",0.4,E37="RevB",0.7,E37="Rev0",1)</f>
        <v>0</v>
      </c>
      <c r="G37" s="10" t="s">
        <v>128</v>
      </c>
      <c r="H37" s="10" t="s">
        <v>83</v>
      </c>
      <c r="I37" s="11">
        <v>0</v>
      </c>
      <c r="J37" s="11" t="s">
        <v>51</v>
      </c>
      <c r="K37" s="11" t="s">
        <v>51</v>
      </c>
      <c r="L37" s="11" t="s">
        <v>51</v>
      </c>
      <c r="M37" s="14">
        <v>12</v>
      </c>
      <c r="N37" s="11" t="s">
        <v>51</v>
      </c>
      <c r="O37" s="10" t="s">
        <v>43</v>
      </c>
      <c r="P37" s="10" t="s">
        <v>44</v>
      </c>
      <c r="Q37" s="10" t="s">
        <v>45</v>
      </c>
      <c r="R37" s="10" t="s">
        <v>46</v>
      </c>
      <c r="S37" s="10" t="s">
        <v>47</v>
      </c>
    </row>
    <row r="38" spans="1:19">
      <c r="A38" s="10" t="s">
        <v>129</v>
      </c>
      <c r="B38" s="10" t="s">
        <v>130</v>
      </c>
      <c r="C38" s="10" t="s">
        <v>39</v>
      </c>
      <c r="D38" s="10" t="s">
        <v>40</v>
      </c>
      <c r="E38" s="47" t="str">
        <f t="shared" si="0"/>
        <v>No Asignado</v>
      </c>
      <c r="F38" s="15" cm="1">
        <f t="array" ref="F38">_xlfn.IFS(E38="No Asignado",0,E38="Iniciado",0.2,E38="RevA",0.4,E38="RevB",0.7,E38="Rev0",1)</f>
        <v>0</v>
      </c>
      <c r="G38" s="10" t="s">
        <v>128</v>
      </c>
      <c r="H38" s="10" t="s">
        <v>83</v>
      </c>
      <c r="I38" s="11">
        <v>0</v>
      </c>
      <c r="J38" s="11" t="s">
        <v>51</v>
      </c>
      <c r="K38" s="11" t="s">
        <v>51</v>
      </c>
      <c r="L38" s="11" t="s">
        <v>51</v>
      </c>
      <c r="M38" s="14">
        <v>36</v>
      </c>
      <c r="N38" s="11" t="s">
        <v>51</v>
      </c>
      <c r="O38" s="10" t="s">
        <v>43</v>
      </c>
      <c r="P38" s="10" t="s">
        <v>44</v>
      </c>
      <c r="Q38" s="10" t="s">
        <v>45</v>
      </c>
      <c r="R38" s="10" t="s">
        <v>46</v>
      </c>
      <c r="S38" s="10" t="s">
        <v>47</v>
      </c>
    </row>
    <row r="39" spans="1:19">
      <c r="A39" s="10" t="s">
        <v>131</v>
      </c>
      <c r="B39" s="10" t="s">
        <v>132</v>
      </c>
      <c r="C39" s="10" t="s">
        <v>60</v>
      </c>
      <c r="D39" s="10" t="s">
        <v>40</v>
      </c>
      <c r="E39" s="47" t="str">
        <f t="shared" si="0"/>
        <v>No Asignado</v>
      </c>
      <c r="F39" s="15" cm="1">
        <f t="array" ref="F39">_xlfn.IFS(E39="No Asignado",0,E39="Iniciado",0.2,E39="RevA",0.4,E39="RevB",0.7,E39="Rev0",1)</f>
        <v>0</v>
      </c>
      <c r="G39" s="10" t="s">
        <v>128</v>
      </c>
      <c r="H39" s="10" t="s">
        <v>83</v>
      </c>
      <c r="I39" s="11">
        <v>0</v>
      </c>
      <c r="J39" s="11" t="s">
        <v>51</v>
      </c>
      <c r="K39" s="11" t="s">
        <v>51</v>
      </c>
      <c r="L39" s="11" t="s">
        <v>51</v>
      </c>
      <c r="M39" s="14">
        <v>6</v>
      </c>
      <c r="N39" s="11" t="s">
        <v>51</v>
      </c>
      <c r="O39" s="10" t="s">
        <v>43</v>
      </c>
      <c r="P39" s="10" t="s">
        <v>44</v>
      </c>
      <c r="Q39" s="10" t="s">
        <v>45</v>
      </c>
      <c r="R39" s="10" t="s">
        <v>46</v>
      </c>
      <c r="S39" s="10" t="s">
        <v>47</v>
      </c>
    </row>
    <row r="40" spans="1:19">
      <c r="A40" s="10" t="s">
        <v>133</v>
      </c>
      <c r="B40" s="10" t="s">
        <v>134</v>
      </c>
      <c r="C40" s="10" t="s">
        <v>108</v>
      </c>
      <c r="D40" s="10" t="s">
        <v>40</v>
      </c>
      <c r="E40" s="47" t="str">
        <f t="shared" si="0"/>
        <v>Iniciado</v>
      </c>
      <c r="F40" s="15" cm="1">
        <f t="array" ref="F40">_xlfn.IFS(E40="No Asignado",0,E40="Iniciado",0.2,E40="RevA",0.4,E40="RevB",0.7,E40="Rev0",1)</f>
        <v>0.2</v>
      </c>
      <c r="G40" s="10" t="s">
        <v>128</v>
      </c>
      <c r="H40" s="10" t="s">
        <v>83</v>
      </c>
      <c r="I40" s="11">
        <v>45347</v>
      </c>
      <c r="J40" s="11" t="s">
        <v>51</v>
      </c>
      <c r="K40" s="11" t="s">
        <v>51</v>
      </c>
      <c r="L40" s="11" t="s">
        <v>51</v>
      </c>
      <c r="M40" s="14">
        <v>12</v>
      </c>
      <c r="N40" s="11" t="s">
        <v>51</v>
      </c>
      <c r="O40" s="10" t="s">
        <v>43</v>
      </c>
      <c r="P40" s="10" t="s">
        <v>44</v>
      </c>
      <c r="Q40" s="10" t="s">
        <v>45</v>
      </c>
      <c r="R40" s="10" t="s">
        <v>46</v>
      </c>
      <c r="S40" s="10" t="s">
        <v>47</v>
      </c>
    </row>
    <row r="41" spans="1:19">
      <c r="A41" s="10" t="s">
        <v>135</v>
      </c>
      <c r="B41" s="10" t="s">
        <v>136</v>
      </c>
      <c r="C41" s="10" t="s">
        <v>60</v>
      </c>
      <c r="D41" s="10" t="s">
        <v>40</v>
      </c>
      <c r="E41" s="47" t="str">
        <f t="shared" si="0"/>
        <v>Rev0</v>
      </c>
      <c r="F41" s="15" cm="1">
        <f t="array" ref="F41">_xlfn.IFS(E41="No Asignado",0,E41="Iniciado",0.2,E41="RevA",0.4,E41="RevB",0.7,E41="Rev0",1)</f>
        <v>1</v>
      </c>
      <c r="G41" s="10" t="s">
        <v>128</v>
      </c>
      <c r="H41" s="10" t="s">
        <v>83</v>
      </c>
      <c r="I41" s="11">
        <v>45347</v>
      </c>
      <c r="J41" s="11">
        <v>45363</v>
      </c>
      <c r="K41" s="11">
        <v>45371</v>
      </c>
      <c r="L41" s="11">
        <v>45752</v>
      </c>
      <c r="M41" s="14">
        <v>6</v>
      </c>
      <c r="N41" s="11">
        <v>45932</v>
      </c>
      <c r="O41" s="10" t="s">
        <v>43</v>
      </c>
      <c r="P41" s="10" t="s">
        <v>44</v>
      </c>
      <c r="Q41" s="10" t="s">
        <v>45</v>
      </c>
      <c r="R41" s="10" t="s">
        <v>46</v>
      </c>
      <c r="S41" s="10" t="s">
        <v>47</v>
      </c>
    </row>
    <row r="42" spans="1:19">
      <c r="A42" s="10" t="s">
        <v>137</v>
      </c>
      <c r="B42" s="10" t="s">
        <v>138</v>
      </c>
      <c r="C42" s="10" t="s">
        <v>127</v>
      </c>
      <c r="D42" s="10" t="s">
        <v>40</v>
      </c>
      <c r="E42" s="47" t="str">
        <f t="shared" si="0"/>
        <v>Rev0</v>
      </c>
      <c r="F42" s="15" cm="1">
        <f t="array" ref="F42">_xlfn.IFS(E42="No Asignado",0,E42="Iniciado",0.2,E42="RevA",0.4,E42="RevB",0.7,E42="Rev0",1)</f>
        <v>1</v>
      </c>
      <c r="G42" s="10" t="s">
        <v>128</v>
      </c>
      <c r="H42" s="10" t="s">
        <v>83</v>
      </c>
      <c r="I42" s="11">
        <v>45347</v>
      </c>
      <c r="J42" s="11">
        <v>45000</v>
      </c>
      <c r="K42" s="11">
        <v>45371</v>
      </c>
      <c r="L42" s="11">
        <v>45752</v>
      </c>
      <c r="M42" s="14">
        <v>12</v>
      </c>
      <c r="N42" s="11">
        <v>46112</v>
      </c>
      <c r="O42" s="10" t="s">
        <v>43</v>
      </c>
      <c r="P42" s="10" t="s">
        <v>44</v>
      </c>
      <c r="Q42" s="10" t="s">
        <v>45</v>
      </c>
      <c r="R42" s="10" t="s">
        <v>46</v>
      </c>
      <c r="S42" s="10" t="s">
        <v>47</v>
      </c>
    </row>
    <row r="43" spans="1:19">
      <c r="A43" s="10" t="s">
        <v>139</v>
      </c>
      <c r="B43" s="10" t="s">
        <v>140</v>
      </c>
      <c r="C43" s="10" t="s">
        <v>54</v>
      </c>
      <c r="D43" s="10" t="s">
        <v>40</v>
      </c>
      <c r="E43" s="47" t="str">
        <f t="shared" si="0"/>
        <v>RevB</v>
      </c>
      <c r="F43" s="15" cm="1">
        <f t="array" ref="F43">_xlfn.IFS(E43="No Asignado",0,E43="Iniciado",0.2,E43="RevA",0.4,E43="RevB",0.7,E43="Rev0",1)</f>
        <v>0.7</v>
      </c>
      <c r="G43" s="10" t="s">
        <v>41</v>
      </c>
      <c r="H43" s="10" t="s">
        <v>83</v>
      </c>
      <c r="I43" s="11">
        <v>45347</v>
      </c>
      <c r="J43" s="11">
        <v>45000</v>
      </c>
      <c r="K43" s="11">
        <v>45371</v>
      </c>
      <c r="L43" s="11" t="s">
        <v>51</v>
      </c>
      <c r="M43" s="14">
        <v>6</v>
      </c>
      <c r="N43" s="11" t="s">
        <v>51</v>
      </c>
      <c r="O43" s="10" t="s">
        <v>43</v>
      </c>
      <c r="P43" s="10" t="s">
        <v>44</v>
      </c>
      <c r="Q43" s="10" t="s">
        <v>45</v>
      </c>
      <c r="R43" s="10" t="s">
        <v>46</v>
      </c>
      <c r="S43" s="10" t="s">
        <v>47</v>
      </c>
    </row>
    <row r="44" spans="1:19">
      <c r="A44" s="10" t="s">
        <v>141</v>
      </c>
      <c r="B44" s="10" t="s">
        <v>142</v>
      </c>
      <c r="C44" s="10" t="s">
        <v>127</v>
      </c>
      <c r="D44" s="10" t="s">
        <v>40</v>
      </c>
      <c r="E44" s="47" t="str">
        <f t="shared" si="0"/>
        <v>Iniciado</v>
      </c>
      <c r="F44" s="15" cm="1">
        <f t="array" ref="F44">_xlfn.IFS(E44="No Asignado",0,E44="Iniciado",0.2,E44="RevA",0.4,E44="RevB",0.7,E44="Rev0",1)</f>
        <v>0.2</v>
      </c>
      <c r="G44" s="10" t="s">
        <v>41</v>
      </c>
      <c r="H44" s="10" t="s">
        <v>83</v>
      </c>
      <c r="I44" s="11">
        <v>45347</v>
      </c>
      <c r="J44" s="11" t="s">
        <v>51</v>
      </c>
      <c r="K44" s="11" t="s">
        <v>51</v>
      </c>
      <c r="L44" s="11" t="s">
        <v>51</v>
      </c>
      <c r="M44" s="14">
        <v>12</v>
      </c>
      <c r="N44" s="11" t="s">
        <v>51</v>
      </c>
      <c r="O44" s="10" t="s">
        <v>43</v>
      </c>
      <c r="P44" s="10" t="s">
        <v>44</v>
      </c>
      <c r="Q44" s="10" t="s">
        <v>45</v>
      </c>
      <c r="R44" s="10" t="s">
        <v>46</v>
      </c>
      <c r="S44" s="10" t="s">
        <v>47</v>
      </c>
    </row>
    <row r="45" spans="1:19">
      <c r="A45" s="10" t="s">
        <v>143</v>
      </c>
      <c r="B45" s="10" t="s">
        <v>144</v>
      </c>
      <c r="C45" s="10" t="s">
        <v>127</v>
      </c>
      <c r="D45" s="10" t="s">
        <v>40</v>
      </c>
      <c r="E45" s="47" t="str">
        <f t="shared" si="0"/>
        <v>Iniciado</v>
      </c>
      <c r="F45" s="15" cm="1">
        <f t="array" ref="F45">_xlfn.IFS(E45="No Asignado",0,E45="Iniciado",0.2,E45="RevA",0.4,E45="RevB",0.7,E45="Rev0",1)</f>
        <v>0.2</v>
      </c>
      <c r="G45" s="10" t="s">
        <v>41</v>
      </c>
      <c r="H45" s="10" t="s">
        <v>83</v>
      </c>
      <c r="I45" s="11">
        <v>45352</v>
      </c>
      <c r="J45" s="11" t="s">
        <v>51</v>
      </c>
      <c r="K45" s="11" t="s">
        <v>51</v>
      </c>
      <c r="L45" s="11" t="s">
        <v>51</v>
      </c>
      <c r="M45" s="14">
        <v>12</v>
      </c>
      <c r="N45" s="11" t="s">
        <v>51</v>
      </c>
      <c r="O45" s="10" t="s">
        <v>43</v>
      </c>
      <c r="P45" s="10" t="s">
        <v>44</v>
      </c>
      <c r="Q45" s="10" t="s">
        <v>45</v>
      </c>
      <c r="R45" s="10" t="s">
        <v>46</v>
      </c>
      <c r="S45" s="10" t="s">
        <v>47</v>
      </c>
    </row>
    <row r="46" spans="1:19">
      <c r="A46" s="10" t="s">
        <v>145</v>
      </c>
      <c r="B46" s="10" t="s">
        <v>146</v>
      </c>
      <c r="C46" s="10" t="s">
        <v>54</v>
      </c>
      <c r="D46" s="10" t="s">
        <v>40</v>
      </c>
      <c r="E46" s="47" t="str">
        <f t="shared" si="0"/>
        <v>Rev0</v>
      </c>
      <c r="F46" s="15" cm="1">
        <f t="array" ref="F46">_xlfn.IFS(E46="No Asignado",0,E46="Iniciado",0.2,E46="RevA",0.4,E46="RevB",0.7,E46="Rev0",1)</f>
        <v>1</v>
      </c>
      <c r="G46" s="10" t="s">
        <v>41</v>
      </c>
      <c r="H46" s="10" t="s">
        <v>83</v>
      </c>
      <c r="I46" s="11">
        <v>45352</v>
      </c>
      <c r="J46" s="11">
        <v>45034</v>
      </c>
      <c r="K46" s="11">
        <v>45381</v>
      </c>
      <c r="L46" s="11">
        <v>45752</v>
      </c>
      <c r="M46" s="14">
        <v>6</v>
      </c>
      <c r="N46" s="11">
        <v>45932</v>
      </c>
      <c r="O46" s="10" t="s">
        <v>43</v>
      </c>
      <c r="P46" s="10" t="s">
        <v>44</v>
      </c>
      <c r="Q46" s="10" t="s">
        <v>45</v>
      </c>
      <c r="R46" s="10" t="s">
        <v>46</v>
      </c>
      <c r="S46" s="10" t="s">
        <v>47</v>
      </c>
    </row>
    <row r="47" spans="1:19">
      <c r="A47" s="10" t="s">
        <v>147</v>
      </c>
      <c r="B47" s="10" t="s">
        <v>148</v>
      </c>
      <c r="C47" s="10" t="s">
        <v>127</v>
      </c>
      <c r="D47" s="10" t="s">
        <v>40</v>
      </c>
      <c r="E47" s="47" t="str">
        <f t="shared" si="0"/>
        <v>Rev0</v>
      </c>
      <c r="F47" s="15" cm="1">
        <f t="array" ref="F47">_xlfn.IFS(E47="No Asignado",0,E47="Iniciado",0.2,E47="RevA",0.4,E47="RevB",0.7,E47="Rev0",1)</f>
        <v>1</v>
      </c>
      <c r="G47" s="10" t="s">
        <v>82</v>
      </c>
      <c r="H47" s="10" t="s">
        <v>83</v>
      </c>
      <c r="I47" s="11">
        <v>45352</v>
      </c>
      <c r="J47" s="11">
        <v>45034</v>
      </c>
      <c r="K47" s="11">
        <v>45381</v>
      </c>
      <c r="L47" s="11">
        <v>45752</v>
      </c>
      <c r="M47" s="14">
        <v>12</v>
      </c>
      <c r="N47" s="11">
        <v>46112</v>
      </c>
      <c r="O47" s="10" t="s">
        <v>43</v>
      </c>
      <c r="P47" s="10" t="s">
        <v>44</v>
      </c>
      <c r="Q47" s="10" t="s">
        <v>45</v>
      </c>
      <c r="R47" s="10" t="s">
        <v>46</v>
      </c>
      <c r="S47" s="10" t="s">
        <v>47</v>
      </c>
    </row>
    <row r="48" spans="1:19">
      <c r="A48" s="10" t="s">
        <v>149</v>
      </c>
      <c r="B48" s="10" t="s">
        <v>150</v>
      </c>
      <c r="C48" s="10" t="s">
        <v>50</v>
      </c>
      <c r="D48" s="10" t="s">
        <v>40</v>
      </c>
      <c r="E48" s="47" t="str">
        <f t="shared" si="0"/>
        <v>Rev0</v>
      </c>
      <c r="F48" s="15" cm="1">
        <f t="array" ref="F48">_xlfn.IFS(E48="No Asignado",0,E48="Iniciado",0.2,E48="RevA",0.4,E48="RevB",0.7,E48="Rev0",1)</f>
        <v>1</v>
      </c>
      <c r="G48" s="10" t="s">
        <v>82</v>
      </c>
      <c r="H48" s="10" t="s">
        <v>83</v>
      </c>
      <c r="I48" s="11">
        <v>45352</v>
      </c>
      <c r="J48" s="11">
        <v>45034</v>
      </c>
      <c r="K48" s="11">
        <v>45381</v>
      </c>
      <c r="L48" s="11">
        <v>45752</v>
      </c>
      <c r="M48" s="14">
        <v>12</v>
      </c>
      <c r="N48" s="11">
        <v>46112</v>
      </c>
      <c r="O48" s="10" t="s">
        <v>43</v>
      </c>
      <c r="P48" s="10" t="s">
        <v>44</v>
      </c>
      <c r="Q48" s="10" t="s">
        <v>45</v>
      </c>
      <c r="R48" s="10" t="s">
        <v>46</v>
      </c>
      <c r="S48" s="10" t="s">
        <v>47</v>
      </c>
    </row>
    <row r="49" spans="1:19">
      <c r="A49" s="10" t="s">
        <v>151</v>
      </c>
      <c r="B49" s="10" t="s">
        <v>152</v>
      </c>
      <c r="C49" s="10" t="s">
        <v>50</v>
      </c>
      <c r="D49" s="10" t="s">
        <v>40</v>
      </c>
      <c r="E49" s="47" t="str">
        <f t="shared" si="0"/>
        <v>RevB</v>
      </c>
      <c r="F49" s="15" cm="1">
        <f t="array" ref="F49">_xlfn.IFS(E49="No Asignado",0,E49="Iniciado",0.2,E49="RevA",0.4,E49="RevB",0.7,E49="Rev0",1)</f>
        <v>0.7</v>
      </c>
      <c r="G49" s="10" t="s">
        <v>41</v>
      </c>
      <c r="H49" s="10" t="s">
        <v>83</v>
      </c>
      <c r="I49" s="11">
        <v>45352</v>
      </c>
      <c r="J49" s="11">
        <v>45034</v>
      </c>
      <c r="K49" s="11">
        <v>45381</v>
      </c>
      <c r="L49" s="11" t="s">
        <v>51</v>
      </c>
      <c r="M49" s="14">
        <v>12</v>
      </c>
      <c r="N49" s="11" t="s">
        <v>51</v>
      </c>
      <c r="O49" s="10" t="s">
        <v>43</v>
      </c>
      <c r="P49" s="10" t="s">
        <v>44</v>
      </c>
      <c r="Q49" s="10" t="s">
        <v>45</v>
      </c>
      <c r="R49" s="10" t="s">
        <v>46</v>
      </c>
      <c r="S49" s="10" t="s">
        <v>47</v>
      </c>
    </row>
    <row r="50" spans="1:19">
      <c r="A50" s="10" t="s">
        <v>153</v>
      </c>
      <c r="B50" s="10" t="s">
        <v>154</v>
      </c>
      <c r="C50" s="10" t="s">
        <v>50</v>
      </c>
      <c r="D50" s="10" t="s">
        <v>40</v>
      </c>
      <c r="E50" s="47" t="str">
        <f t="shared" si="0"/>
        <v>RevA</v>
      </c>
      <c r="F50" s="15" cm="1">
        <f t="array" ref="F50">_xlfn.IFS(E50="No Asignado",0,E50="Iniciado",0.2,E50="RevA",0.4,E50="RevB",0.7,E50="Rev0",1)</f>
        <v>0.4</v>
      </c>
      <c r="G50" s="10" t="s">
        <v>41</v>
      </c>
      <c r="H50" s="10" t="s">
        <v>83</v>
      </c>
      <c r="I50" s="11">
        <v>45352</v>
      </c>
      <c r="J50" s="11">
        <v>45034</v>
      </c>
      <c r="K50" s="11" t="s">
        <v>51</v>
      </c>
      <c r="L50" s="11" t="s">
        <v>51</v>
      </c>
      <c r="M50" s="14">
        <v>12</v>
      </c>
      <c r="N50" s="11" t="s">
        <v>51</v>
      </c>
      <c r="O50" s="10" t="s">
        <v>43</v>
      </c>
      <c r="P50" s="10" t="s">
        <v>44</v>
      </c>
      <c r="Q50" s="10" t="s">
        <v>45</v>
      </c>
      <c r="R50" s="10" t="s">
        <v>46</v>
      </c>
      <c r="S50" s="10" t="s">
        <v>47</v>
      </c>
    </row>
    <row r="51" spans="1:19">
      <c r="A51" s="10" t="s">
        <v>155</v>
      </c>
      <c r="B51" s="10" t="s">
        <v>156</v>
      </c>
      <c r="C51" s="10" t="s">
        <v>50</v>
      </c>
      <c r="D51" s="10" t="s">
        <v>40</v>
      </c>
      <c r="E51" s="47" t="str">
        <f t="shared" si="0"/>
        <v>Rev0</v>
      </c>
      <c r="F51" s="15" cm="1">
        <f t="array" ref="F51">_xlfn.IFS(E51="No Asignado",0,E51="Iniciado",0.2,E51="RevA",0.4,E51="RevB",0.7,E51="Rev0",1)</f>
        <v>1</v>
      </c>
      <c r="G51" s="10" t="s">
        <v>157</v>
      </c>
      <c r="H51" s="10" t="s">
        <v>83</v>
      </c>
      <c r="I51" s="11">
        <v>45352</v>
      </c>
      <c r="J51" s="11">
        <v>45034</v>
      </c>
      <c r="K51" s="11">
        <v>45381</v>
      </c>
      <c r="L51" s="11">
        <v>45752</v>
      </c>
      <c r="M51" s="14">
        <v>12</v>
      </c>
      <c r="N51" s="11">
        <v>46112</v>
      </c>
      <c r="O51" s="10" t="s">
        <v>43</v>
      </c>
      <c r="P51" s="10" t="s">
        <v>44</v>
      </c>
      <c r="Q51" s="10" t="s">
        <v>45</v>
      </c>
      <c r="R51" s="10" t="s">
        <v>46</v>
      </c>
      <c r="S51" s="10" t="s">
        <v>47</v>
      </c>
    </row>
    <row r="52" spans="1:19">
      <c r="A52" s="10" t="s">
        <v>158</v>
      </c>
      <c r="B52" s="10" t="s">
        <v>159</v>
      </c>
      <c r="C52" s="10" t="s">
        <v>50</v>
      </c>
      <c r="D52" s="10" t="s">
        <v>40</v>
      </c>
      <c r="E52" s="47" t="str">
        <f t="shared" si="0"/>
        <v>Rev0</v>
      </c>
      <c r="F52" s="15" cm="1">
        <f t="array" ref="F52">_xlfn.IFS(E52="No Asignado",0,E52="Iniciado",0.2,E52="RevA",0.4,E52="RevB",0.7,E52="Rev0",1)</f>
        <v>1</v>
      </c>
      <c r="G52" s="10" t="s">
        <v>157</v>
      </c>
      <c r="H52" s="10" t="s">
        <v>83</v>
      </c>
      <c r="I52" s="11">
        <v>45352</v>
      </c>
      <c r="J52" s="11">
        <v>45034</v>
      </c>
      <c r="K52" s="11">
        <v>45381</v>
      </c>
      <c r="L52" s="11">
        <v>45752</v>
      </c>
      <c r="M52" s="14">
        <v>12</v>
      </c>
      <c r="N52" s="11">
        <v>46112</v>
      </c>
      <c r="O52" s="10" t="s">
        <v>43</v>
      </c>
      <c r="P52" s="10" t="s">
        <v>44</v>
      </c>
      <c r="Q52" s="10" t="s">
        <v>45</v>
      </c>
      <c r="R52" s="10" t="s">
        <v>46</v>
      </c>
      <c r="S52" s="10" t="s">
        <v>47</v>
      </c>
    </row>
    <row r="53" spans="1:19">
      <c r="A53" s="10" t="s">
        <v>160</v>
      </c>
      <c r="B53" s="10" t="s">
        <v>161</v>
      </c>
      <c r="C53" s="10" t="s">
        <v>60</v>
      </c>
      <c r="D53" s="10" t="s">
        <v>40</v>
      </c>
      <c r="E53" s="47" t="str">
        <f t="shared" si="0"/>
        <v>RevB</v>
      </c>
      <c r="F53" s="15" cm="1">
        <f t="array" ref="F53">_xlfn.IFS(E53="No Asignado",0,E53="Iniciado",0.2,E53="RevA",0.4,E53="RevB",0.7,E53="Rev0",1)</f>
        <v>0.7</v>
      </c>
      <c r="G53" s="10" t="s">
        <v>157</v>
      </c>
      <c r="H53" s="10" t="s">
        <v>83</v>
      </c>
      <c r="I53" s="11">
        <v>45352</v>
      </c>
      <c r="J53" s="11">
        <v>45034</v>
      </c>
      <c r="K53" s="11">
        <v>45381</v>
      </c>
      <c r="L53" s="11" t="s">
        <v>51</v>
      </c>
      <c r="M53" s="14">
        <v>6</v>
      </c>
      <c r="N53" s="11" t="s">
        <v>51</v>
      </c>
      <c r="O53" s="10" t="s">
        <v>43</v>
      </c>
      <c r="P53" s="10" t="s">
        <v>44</v>
      </c>
      <c r="Q53" s="10" t="s">
        <v>45</v>
      </c>
      <c r="R53" s="10" t="s">
        <v>46</v>
      </c>
      <c r="S53" s="10" t="s">
        <v>47</v>
      </c>
    </row>
    <row r="54" spans="1:19">
      <c r="A54" s="10" t="s">
        <v>162</v>
      </c>
      <c r="B54" s="10" t="s">
        <v>163</v>
      </c>
      <c r="C54" s="10" t="s">
        <v>60</v>
      </c>
      <c r="D54" s="10" t="s">
        <v>40</v>
      </c>
      <c r="E54" s="47" t="str">
        <f t="shared" si="0"/>
        <v>RevB</v>
      </c>
      <c r="F54" s="15" cm="1">
        <f t="array" ref="F54">_xlfn.IFS(E54="No Asignado",0,E54="Iniciado",0.2,E54="RevA",0.4,E54="RevB",0.7,E54="Rev0",1)</f>
        <v>0.7</v>
      </c>
      <c r="G54" s="10" t="s">
        <v>157</v>
      </c>
      <c r="H54" s="10" t="s">
        <v>83</v>
      </c>
      <c r="I54" s="11">
        <v>45352</v>
      </c>
      <c r="J54" s="11">
        <v>45034</v>
      </c>
      <c r="K54" s="11">
        <v>45381</v>
      </c>
      <c r="L54" s="11" t="s">
        <v>51</v>
      </c>
      <c r="M54" s="14">
        <v>6</v>
      </c>
      <c r="N54" s="11" t="s">
        <v>51</v>
      </c>
      <c r="O54" s="10" t="s">
        <v>43</v>
      </c>
      <c r="P54" s="10" t="s">
        <v>44</v>
      </c>
      <c r="Q54" s="10" t="s">
        <v>45</v>
      </c>
      <c r="R54" s="10" t="s">
        <v>46</v>
      </c>
      <c r="S54" s="10" t="s">
        <v>47</v>
      </c>
    </row>
    <row r="55" spans="1:19">
      <c r="A55" s="10" t="s">
        <v>164</v>
      </c>
      <c r="B55" s="10" t="s">
        <v>165</v>
      </c>
      <c r="C55" s="10" t="s">
        <v>60</v>
      </c>
      <c r="D55" s="10" t="s">
        <v>40</v>
      </c>
      <c r="E55" s="47" t="str">
        <f t="shared" si="0"/>
        <v>RevA</v>
      </c>
      <c r="F55" s="15" cm="1">
        <f t="array" ref="F55">_xlfn.IFS(E55="No Asignado",0,E55="Iniciado",0.2,E55="RevA",0.4,E55="RevB",0.7,E55="Rev0",1)</f>
        <v>0.4</v>
      </c>
      <c r="G55" s="10" t="s">
        <v>128</v>
      </c>
      <c r="H55" s="10" t="s">
        <v>83</v>
      </c>
      <c r="I55" s="11">
        <v>45352</v>
      </c>
      <c r="J55" s="11">
        <v>45034</v>
      </c>
      <c r="K55" s="11" t="s">
        <v>51</v>
      </c>
      <c r="L55" s="11" t="s">
        <v>51</v>
      </c>
      <c r="M55" s="14">
        <v>6</v>
      </c>
      <c r="N55" s="11" t="s">
        <v>51</v>
      </c>
      <c r="O55" s="10" t="s">
        <v>43</v>
      </c>
      <c r="P55" s="10" t="s">
        <v>44</v>
      </c>
      <c r="Q55" s="10" t="s">
        <v>45</v>
      </c>
      <c r="R55" s="10" t="s">
        <v>46</v>
      </c>
      <c r="S55" s="10" t="s">
        <v>47</v>
      </c>
    </row>
    <row r="56" spans="1:19">
      <c r="A56" s="10" t="s">
        <v>166</v>
      </c>
      <c r="B56" s="10" t="s">
        <v>167</v>
      </c>
      <c r="C56" s="10" t="s">
        <v>50</v>
      </c>
      <c r="D56" s="10" t="s">
        <v>40</v>
      </c>
      <c r="E56" s="47" t="str">
        <f t="shared" si="0"/>
        <v>RevA</v>
      </c>
      <c r="F56" s="15" cm="1">
        <f t="array" ref="F56">_xlfn.IFS(E56="No Asignado",0,E56="Iniciado",0.2,E56="RevA",0.4,E56="RevB",0.7,E56="Rev0",1)</f>
        <v>0.4</v>
      </c>
      <c r="G56" s="10" t="s">
        <v>82</v>
      </c>
      <c r="H56" s="10" t="s">
        <v>168</v>
      </c>
      <c r="I56" s="11">
        <v>45352</v>
      </c>
      <c r="J56" s="11">
        <v>45034</v>
      </c>
      <c r="K56" s="11" t="s">
        <v>51</v>
      </c>
      <c r="L56" s="11" t="s">
        <v>51</v>
      </c>
      <c r="M56" s="14">
        <v>12</v>
      </c>
      <c r="N56" s="11" t="s">
        <v>51</v>
      </c>
      <c r="O56" s="10" t="s">
        <v>43</v>
      </c>
      <c r="P56" s="10" t="s">
        <v>44</v>
      </c>
      <c r="Q56" s="10" t="s">
        <v>45</v>
      </c>
      <c r="R56" s="10" t="s">
        <v>46</v>
      </c>
      <c r="S56" s="10" t="s">
        <v>47</v>
      </c>
    </row>
    <row r="57" spans="1:19">
      <c r="A57" s="10" t="s">
        <v>169</v>
      </c>
      <c r="B57" s="10" t="s">
        <v>170</v>
      </c>
      <c r="C57" s="10" t="s">
        <v>50</v>
      </c>
      <c r="D57" s="10" t="s">
        <v>40</v>
      </c>
      <c r="E57" s="47" t="str">
        <f t="shared" si="0"/>
        <v>RevA</v>
      </c>
      <c r="F57" s="15" cm="1">
        <f t="array" ref="F57">_xlfn.IFS(E57="No Asignado",0,E57="Iniciado",0.2,E57="RevA",0.4,E57="RevB",0.7,E57="Rev0",1)</f>
        <v>0.4</v>
      </c>
      <c r="G57" s="10" t="s">
        <v>82</v>
      </c>
      <c r="H57" s="10" t="s">
        <v>168</v>
      </c>
      <c r="I57" s="11">
        <v>45352</v>
      </c>
      <c r="J57" s="11">
        <v>45034</v>
      </c>
      <c r="K57" s="11" t="s">
        <v>51</v>
      </c>
      <c r="L57" s="11" t="s">
        <v>51</v>
      </c>
      <c r="M57" s="14">
        <v>12</v>
      </c>
      <c r="N57" s="11" t="s">
        <v>51</v>
      </c>
      <c r="O57" s="10" t="s">
        <v>43</v>
      </c>
      <c r="P57" s="10" t="s">
        <v>44</v>
      </c>
      <c r="Q57" s="10" t="s">
        <v>45</v>
      </c>
      <c r="R57" s="10" t="s">
        <v>46</v>
      </c>
      <c r="S57" s="10" t="s">
        <v>47</v>
      </c>
    </row>
    <row r="58" spans="1:19">
      <c r="A58" s="10" t="s">
        <v>171</v>
      </c>
      <c r="B58" s="10" t="s">
        <v>172</v>
      </c>
      <c r="C58" s="10" t="s">
        <v>50</v>
      </c>
      <c r="D58" s="10" t="s">
        <v>40</v>
      </c>
      <c r="E58" s="47" t="str">
        <f t="shared" si="0"/>
        <v>RevB</v>
      </c>
      <c r="F58" s="15" cm="1">
        <f t="array" ref="F58">_xlfn.IFS(E58="No Asignado",0,E58="Iniciado",0.2,E58="RevA",0.4,E58="RevB",0.7,E58="Rev0",1)</f>
        <v>0.7</v>
      </c>
      <c r="G58" s="10" t="s">
        <v>82</v>
      </c>
      <c r="H58" s="10" t="s">
        <v>173</v>
      </c>
      <c r="I58" s="11">
        <v>45352</v>
      </c>
      <c r="J58" s="11">
        <v>45034</v>
      </c>
      <c r="K58" s="11">
        <v>45381</v>
      </c>
      <c r="L58" s="11" t="s">
        <v>51</v>
      </c>
      <c r="M58" s="14">
        <v>12</v>
      </c>
      <c r="N58" s="11" t="s">
        <v>51</v>
      </c>
      <c r="O58" s="10" t="s">
        <v>43</v>
      </c>
      <c r="P58" s="10" t="s">
        <v>44</v>
      </c>
      <c r="Q58" s="10" t="s">
        <v>45</v>
      </c>
      <c r="R58" s="10" t="s">
        <v>46</v>
      </c>
      <c r="S58" s="10" t="s">
        <v>47</v>
      </c>
    </row>
    <row r="59" spans="1:19">
      <c r="A59" s="10" t="s">
        <v>174</v>
      </c>
      <c r="B59" s="10" t="s">
        <v>175</v>
      </c>
      <c r="C59" s="10" t="s">
        <v>60</v>
      </c>
      <c r="D59" s="10" t="s">
        <v>40</v>
      </c>
      <c r="E59" s="47" t="str">
        <f t="shared" si="0"/>
        <v>Rev0</v>
      </c>
      <c r="F59" s="15" cm="1">
        <f t="array" ref="F59">_xlfn.IFS(E59="No Asignado",0,E59="Iniciado",0.2,E59="RevA",0.4,E59="RevB",0.7,E59="Rev0",1)</f>
        <v>1</v>
      </c>
      <c r="G59" s="10" t="s">
        <v>82</v>
      </c>
      <c r="H59" s="10" t="s">
        <v>173</v>
      </c>
      <c r="I59" s="11">
        <v>45352</v>
      </c>
      <c r="J59" s="11">
        <v>45034</v>
      </c>
      <c r="K59" s="11">
        <v>45381</v>
      </c>
      <c r="L59" s="11">
        <v>45752</v>
      </c>
      <c r="M59" s="14">
        <v>6</v>
      </c>
      <c r="N59" s="11">
        <v>45932</v>
      </c>
      <c r="O59" s="10" t="s">
        <v>43</v>
      </c>
      <c r="P59" s="10" t="s">
        <v>44</v>
      </c>
      <c r="Q59" s="10" t="s">
        <v>45</v>
      </c>
      <c r="R59" s="10" t="s">
        <v>46</v>
      </c>
      <c r="S59" s="10" t="s">
        <v>47</v>
      </c>
    </row>
  </sheetData>
  <phoneticPr fontId="12" type="noConversion"/>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9AA"/>
  </sheetPr>
  <dimension ref="A1:L222"/>
  <sheetViews>
    <sheetView topLeftCell="F1" zoomScaleNormal="100" workbookViewId="0">
      <pane ySplit="1" topLeftCell="A2" activePane="bottomLeft" state="frozen"/>
      <selection pane="bottomLeft" activeCell="I28" sqref="I28"/>
    </sheetView>
  </sheetViews>
  <sheetFormatPr defaultColWidth="8.7109375" defaultRowHeight="14.45"/>
  <cols>
    <col min="1" max="1" width="11" customWidth="1"/>
    <col min="2" max="2" width="10" customWidth="1"/>
    <col min="3" max="3" width="26" customWidth="1"/>
    <col min="4" max="4" width="11" customWidth="1"/>
    <col min="5" max="5" width="50" customWidth="1"/>
    <col min="6" max="6" width="11" customWidth="1"/>
    <col min="7" max="7" width="50" customWidth="1"/>
    <col min="8" max="8" width="10" customWidth="1"/>
    <col min="9" max="9" width="50" customWidth="1"/>
    <col min="10" max="10" width="16.28515625" style="45" customWidth="1"/>
  </cols>
  <sheetData>
    <row r="1" spans="1:12">
      <c r="A1" s="9" t="s">
        <v>176</v>
      </c>
      <c r="B1" s="9" t="s">
        <v>177</v>
      </c>
      <c r="C1" s="9" t="s">
        <v>178</v>
      </c>
      <c r="D1" s="9" t="s">
        <v>179</v>
      </c>
      <c r="E1" s="9" t="s">
        <v>180</v>
      </c>
      <c r="F1" s="9" t="s">
        <v>181</v>
      </c>
      <c r="G1" s="9" t="s">
        <v>182</v>
      </c>
      <c r="H1" s="9" t="s">
        <v>183</v>
      </c>
      <c r="I1" s="9" t="s">
        <v>184</v>
      </c>
      <c r="J1" s="40" t="s">
        <v>185</v>
      </c>
    </row>
    <row r="2" spans="1:12">
      <c r="A2" s="3" t="s">
        <v>186</v>
      </c>
      <c r="B2" s="3" t="s">
        <v>187</v>
      </c>
      <c r="C2" s="3" t="s">
        <v>188</v>
      </c>
      <c r="D2" s="10" t="s">
        <v>189</v>
      </c>
      <c r="E2" s="10" t="s">
        <v>190</v>
      </c>
      <c r="F2" s="10" t="s">
        <v>191</v>
      </c>
      <c r="G2" s="10" t="s">
        <v>192</v>
      </c>
      <c r="H2" s="10" t="s">
        <v>193</v>
      </c>
      <c r="I2" s="10" t="s">
        <v>194</v>
      </c>
      <c r="J2" s="41">
        <f>1/3</f>
        <v>0.33333333333333331</v>
      </c>
      <c r="L2">
        <v>1</v>
      </c>
    </row>
    <row r="3" spans="1:12">
      <c r="A3" s="3" t="s">
        <v>195</v>
      </c>
      <c r="B3" s="3" t="s">
        <v>187</v>
      </c>
      <c r="C3" s="3" t="s">
        <v>188</v>
      </c>
      <c r="D3" s="10" t="s">
        <v>189</v>
      </c>
      <c r="E3" s="10" t="s">
        <v>190</v>
      </c>
      <c r="F3" s="10" t="s">
        <v>191</v>
      </c>
      <c r="G3" s="10" t="s">
        <v>192</v>
      </c>
      <c r="H3" s="10" t="s">
        <v>196</v>
      </c>
      <c r="I3" s="10" t="s">
        <v>197</v>
      </c>
      <c r="J3" s="41">
        <f t="shared" ref="J3:J4" si="0">1/3</f>
        <v>0.33333333333333331</v>
      </c>
      <c r="L3">
        <v>1</v>
      </c>
    </row>
    <row r="4" spans="1:12" s="33" customFormat="1">
      <c r="A4" s="31" t="s">
        <v>198</v>
      </c>
      <c r="B4" s="31" t="s">
        <v>187</v>
      </c>
      <c r="C4" s="31" t="s">
        <v>188</v>
      </c>
      <c r="D4" s="32" t="s">
        <v>189</v>
      </c>
      <c r="E4" s="32" t="s">
        <v>190</v>
      </c>
      <c r="F4" s="32" t="s">
        <v>191</v>
      </c>
      <c r="G4" s="32" t="s">
        <v>192</v>
      </c>
      <c r="H4" s="32" t="s">
        <v>199</v>
      </c>
      <c r="I4" s="32" t="s">
        <v>200</v>
      </c>
      <c r="J4" s="42">
        <f t="shared" si="0"/>
        <v>0.33333333333333331</v>
      </c>
      <c r="L4" s="33">
        <v>1</v>
      </c>
    </row>
    <row r="5" spans="1:12" s="36" customFormat="1">
      <c r="A5" s="34" t="s">
        <v>201</v>
      </c>
      <c r="B5" s="34" t="s">
        <v>187</v>
      </c>
      <c r="C5" s="34" t="s">
        <v>188</v>
      </c>
      <c r="D5" s="35" t="s">
        <v>189</v>
      </c>
      <c r="E5" s="35" t="s">
        <v>190</v>
      </c>
      <c r="F5" s="35" t="s">
        <v>202</v>
      </c>
      <c r="G5" s="35" t="s">
        <v>203</v>
      </c>
      <c r="H5" s="35" t="s">
        <v>204</v>
      </c>
      <c r="I5" s="35" t="s">
        <v>205</v>
      </c>
      <c r="J5" s="43">
        <f>1/2</f>
        <v>0.5</v>
      </c>
      <c r="L5" s="36">
        <v>1</v>
      </c>
    </row>
    <row r="6" spans="1:12" s="33" customFormat="1">
      <c r="A6" s="31" t="s">
        <v>206</v>
      </c>
      <c r="B6" s="31" t="s">
        <v>187</v>
      </c>
      <c r="C6" s="31" t="s">
        <v>188</v>
      </c>
      <c r="D6" s="32" t="s">
        <v>189</v>
      </c>
      <c r="E6" s="32" t="s">
        <v>190</v>
      </c>
      <c r="F6" s="32" t="s">
        <v>202</v>
      </c>
      <c r="G6" s="32" t="s">
        <v>203</v>
      </c>
      <c r="H6" s="32" t="s">
        <v>207</v>
      </c>
      <c r="I6" s="32" t="s">
        <v>208</v>
      </c>
      <c r="J6" s="42">
        <f>1/2</f>
        <v>0.5</v>
      </c>
      <c r="L6" s="33">
        <v>1</v>
      </c>
    </row>
    <row r="7" spans="1:12" s="36" customFormat="1">
      <c r="A7" s="34" t="s">
        <v>209</v>
      </c>
      <c r="B7" s="34" t="s">
        <v>187</v>
      </c>
      <c r="C7" s="34" t="s">
        <v>188</v>
      </c>
      <c r="D7" s="35" t="s">
        <v>189</v>
      </c>
      <c r="E7" s="35" t="s">
        <v>190</v>
      </c>
      <c r="F7" s="35" t="s">
        <v>210</v>
      </c>
      <c r="G7" s="35" t="s">
        <v>211</v>
      </c>
      <c r="H7" s="35" t="s">
        <v>212</v>
      </c>
      <c r="I7" s="35" t="s">
        <v>213</v>
      </c>
      <c r="J7" s="43">
        <f>1/2</f>
        <v>0.5</v>
      </c>
      <c r="L7" s="36">
        <v>1</v>
      </c>
    </row>
    <row r="8" spans="1:12" s="33" customFormat="1">
      <c r="A8" s="31" t="s">
        <v>214</v>
      </c>
      <c r="B8" s="31" t="s">
        <v>187</v>
      </c>
      <c r="C8" s="31" t="s">
        <v>188</v>
      </c>
      <c r="D8" s="32" t="s">
        <v>189</v>
      </c>
      <c r="E8" s="32" t="s">
        <v>190</v>
      </c>
      <c r="F8" s="32" t="s">
        <v>210</v>
      </c>
      <c r="G8" s="32" t="s">
        <v>211</v>
      </c>
      <c r="H8" s="32" t="s">
        <v>215</v>
      </c>
      <c r="I8" s="32" t="s">
        <v>216</v>
      </c>
      <c r="J8" s="42">
        <f>1/2</f>
        <v>0.5</v>
      </c>
      <c r="L8" s="33">
        <v>1</v>
      </c>
    </row>
    <row r="9" spans="1:12" s="36" customFormat="1">
      <c r="A9" s="34" t="s">
        <v>217</v>
      </c>
      <c r="B9" s="34" t="s">
        <v>187</v>
      </c>
      <c r="C9" s="34" t="s">
        <v>188</v>
      </c>
      <c r="D9" s="35" t="s">
        <v>189</v>
      </c>
      <c r="E9" s="35" t="s">
        <v>190</v>
      </c>
      <c r="F9" s="35" t="s">
        <v>218</v>
      </c>
      <c r="G9" s="35" t="s">
        <v>219</v>
      </c>
      <c r="H9" s="35" t="s">
        <v>220</v>
      </c>
      <c r="I9" s="35" t="s">
        <v>221</v>
      </c>
      <c r="J9" s="43">
        <f>1/3</f>
        <v>0.33333333333333331</v>
      </c>
      <c r="L9" s="36">
        <v>1</v>
      </c>
    </row>
    <row r="10" spans="1:12">
      <c r="A10" s="3" t="s">
        <v>222</v>
      </c>
      <c r="B10" s="3" t="s">
        <v>187</v>
      </c>
      <c r="C10" s="3" t="s">
        <v>188</v>
      </c>
      <c r="D10" s="10" t="s">
        <v>189</v>
      </c>
      <c r="E10" s="10" t="s">
        <v>190</v>
      </c>
      <c r="F10" s="10" t="s">
        <v>223</v>
      </c>
      <c r="G10" s="10" t="s">
        <v>224</v>
      </c>
      <c r="H10" s="10" t="s">
        <v>225</v>
      </c>
      <c r="I10" s="10" t="s">
        <v>226</v>
      </c>
      <c r="J10" s="41">
        <f>1/3</f>
        <v>0.33333333333333331</v>
      </c>
      <c r="L10">
        <v>1</v>
      </c>
    </row>
    <row r="11" spans="1:12" s="33" customFormat="1">
      <c r="A11" s="31" t="s">
        <v>227</v>
      </c>
      <c r="B11" s="31" t="s">
        <v>187</v>
      </c>
      <c r="C11" s="31" t="s">
        <v>188</v>
      </c>
      <c r="D11" s="32" t="s">
        <v>189</v>
      </c>
      <c r="E11" s="32" t="s">
        <v>190</v>
      </c>
      <c r="F11" s="32" t="s">
        <v>223</v>
      </c>
      <c r="G11" s="32" t="s">
        <v>224</v>
      </c>
      <c r="H11" s="32" t="s">
        <v>228</v>
      </c>
      <c r="I11" s="32" t="s">
        <v>229</v>
      </c>
      <c r="J11" s="42">
        <f>1/3</f>
        <v>0.33333333333333331</v>
      </c>
      <c r="L11" s="33">
        <v>1</v>
      </c>
    </row>
    <row r="12" spans="1:12" s="36" customFormat="1">
      <c r="A12" s="34" t="s">
        <v>230</v>
      </c>
      <c r="B12" s="34" t="s">
        <v>231</v>
      </c>
      <c r="C12" s="34" t="s">
        <v>232</v>
      </c>
      <c r="D12" s="35" t="s">
        <v>233</v>
      </c>
      <c r="E12" s="35" t="s">
        <v>234</v>
      </c>
      <c r="F12" s="35" t="s">
        <v>235</v>
      </c>
      <c r="G12" s="35" t="s">
        <v>236</v>
      </c>
      <c r="H12" s="35" t="s">
        <v>237</v>
      </c>
      <c r="I12" s="35" t="s">
        <v>238</v>
      </c>
      <c r="J12" s="43">
        <f>1/3</f>
        <v>0.33333333333333331</v>
      </c>
      <c r="L12" s="36">
        <v>2</v>
      </c>
    </row>
    <row r="13" spans="1:12">
      <c r="A13" s="3" t="s">
        <v>239</v>
      </c>
      <c r="B13" s="3" t="s">
        <v>231</v>
      </c>
      <c r="C13" s="3" t="s">
        <v>232</v>
      </c>
      <c r="D13" s="10" t="s">
        <v>233</v>
      </c>
      <c r="E13" s="10" t="s">
        <v>234</v>
      </c>
      <c r="F13" s="10" t="s">
        <v>235</v>
      </c>
      <c r="G13" s="10" t="s">
        <v>236</v>
      </c>
      <c r="H13" s="10" t="s">
        <v>240</v>
      </c>
      <c r="I13" s="10" t="s">
        <v>241</v>
      </c>
      <c r="J13" s="41">
        <f>1/3</f>
        <v>0.33333333333333331</v>
      </c>
      <c r="L13">
        <v>2</v>
      </c>
    </row>
    <row r="14" spans="1:12" s="33" customFormat="1">
      <c r="A14" s="31" t="s">
        <v>242</v>
      </c>
      <c r="B14" s="31" t="s">
        <v>231</v>
      </c>
      <c r="C14" s="31" t="s">
        <v>232</v>
      </c>
      <c r="D14" s="32" t="s">
        <v>233</v>
      </c>
      <c r="E14" s="32" t="s">
        <v>234</v>
      </c>
      <c r="F14" s="32" t="s">
        <v>235</v>
      </c>
      <c r="G14" s="32" t="s">
        <v>236</v>
      </c>
      <c r="H14" s="32" t="s">
        <v>243</v>
      </c>
      <c r="I14" s="32" t="s">
        <v>244</v>
      </c>
      <c r="J14" s="42">
        <f>1/3</f>
        <v>0.33333333333333331</v>
      </c>
      <c r="L14" s="33">
        <v>2</v>
      </c>
    </row>
    <row r="15" spans="1:12" s="36" customFormat="1">
      <c r="A15" s="34" t="s">
        <v>245</v>
      </c>
      <c r="B15" s="34" t="s">
        <v>231</v>
      </c>
      <c r="C15" s="34" t="s">
        <v>232</v>
      </c>
      <c r="D15" s="35" t="s">
        <v>233</v>
      </c>
      <c r="E15" s="35" t="s">
        <v>234</v>
      </c>
      <c r="F15" s="35" t="s">
        <v>246</v>
      </c>
      <c r="G15" s="35" t="s">
        <v>247</v>
      </c>
      <c r="H15" s="35" t="s">
        <v>248</v>
      </c>
      <c r="I15" s="35" t="s">
        <v>249</v>
      </c>
      <c r="J15" s="43">
        <f>1/3</f>
        <v>0.33333333333333331</v>
      </c>
      <c r="L15" s="36">
        <v>2</v>
      </c>
    </row>
    <row r="16" spans="1:12">
      <c r="A16" s="3" t="s">
        <v>250</v>
      </c>
      <c r="B16" s="3" t="s">
        <v>231</v>
      </c>
      <c r="C16" s="3" t="s">
        <v>232</v>
      </c>
      <c r="D16" s="10" t="s">
        <v>233</v>
      </c>
      <c r="E16" s="10" t="s">
        <v>234</v>
      </c>
      <c r="F16" s="10" t="s">
        <v>246</v>
      </c>
      <c r="G16" s="10" t="s">
        <v>247</v>
      </c>
      <c r="H16" s="10" t="s">
        <v>251</v>
      </c>
      <c r="I16" s="10" t="s">
        <v>252</v>
      </c>
      <c r="J16" s="41">
        <f>1/3</f>
        <v>0.33333333333333331</v>
      </c>
      <c r="L16">
        <v>2</v>
      </c>
    </row>
    <row r="17" spans="1:12" s="33" customFormat="1">
      <c r="A17" s="31" t="s">
        <v>253</v>
      </c>
      <c r="B17" s="31" t="s">
        <v>231</v>
      </c>
      <c r="C17" s="31" t="s">
        <v>232</v>
      </c>
      <c r="D17" s="32" t="s">
        <v>233</v>
      </c>
      <c r="E17" s="32" t="s">
        <v>234</v>
      </c>
      <c r="F17" s="32" t="s">
        <v>246</v>
      </c>
      <c r="G17" s="32" t="s">
        <v>247</v>
      </c>
      <c r="H17" s="32" t="s">
        <v>254</v>
      </c>
      <c r="I17" s="32" t="s">
        <v>255</v>
      </c>
      <c r="J17" s="42">
        <f>1/3</f>
        <v>0.33333333333333331</v>
      </c>
      <c r="L17" s="33">
        <v>2</v>
      </c>
    </row>
    <row r="18" spans="1:12" s="36" customFormat="1">
      <c r="A18" s="34" t="s">
        <v>256</v>
      </c>
      <c r="B18" s="34" t="s">
        <v>231</v>
      </c>
      <c r="C18" s="34" t="s">
        <v>232</v>
      </c>
      <c r="D18" s="35" t="s">
        <v>233</v>
      </c>
      <c r="E18" s="35" t="s">
        <v>234</v>
      </c>
      <c r="F18" s="35" t="s">
        <v>257</v>
      </c>
      <c r="G18" s="35" t="s">
        <v>258</v>
      </c>
      <c r="H18" s="35" t="s">
        <v>259</v>
      </c>
      <c r="I18" s="35" t="s">
        <v>260</v>
      </c>
      <c r="J18" s="43">
        <f>1/4</f>
        <v>0.25</v>
      </c>
      <c r="L18" s="36">
        <v>3</v>
      </c>
    </row>
    <row r="19" spans="1:12">
      <c r="A19" s="3" t="s">
        <v>261</v>
      </c>
      <c r="B19" s="3" t="s">
        <v>231</v>
      </c>
      <c r="C19" s="3" t="s">
        <v>232</v>
      </c>
      <c r="D19" s="10" t="s">
        <v>233</v>
      </c>
      <c r="E19" s="10" t="s">
        <v>234</v>
      </c>
      <c r="F19" s="10" t="s">
        <v>257</v>
      </c>
      <c r="G19" s="10" t="s">
        <v>258</v>
      </c>
      <c r="H19" s="10" t="s">
        <v>262</v>
      </c>
      <c r="I19" s="10" t="s">
        <v>263</v>
      </c>
      <c r="J19" s="41">
        <f>1/4</f>
        <v>0.25</v>
      </c>
      <c r="L19">
        <v>3</v>
      </c>
    </row>
    <row r="20" spans="1:12">
      <c r="A20" s="3" t="s">
        <v>264</v>
      </c>
      <c r="B20" s="3" t="s">
        <v>231</v>
      </c>
      <c r="C20" s="3" t="s">
        <v>232</v>
      </c>
      <c r="D20" s="10" t="s">
        <v>233</v>
      </c>
      <c r="E20" s="10" t="s">
        <v>234</v>
      </c>
      <c r="F20" s="10" t="s">
        <v>257</v>
      </c>
      <c r="G20" s="10" t="s">
        <v>258</v>
      </c>
      <c r="H20" s="10" t="s">
        <v>265</v>
      </c>
      <c r="I20" s="10" t="s">
        <v>266</v>
      </c>
      <c r="J20" s="41">
        <f>1/4</f>
        <v>0.25</v>
      </c>
      <c r="L20">
        <v>3</v>
      </c>
    </row>
    <row r="21" spans="1:12" s="33" customFormat="1">
      <c r="A21" s="31" t="s">
        <v>267</v>
      </c>
      <c r="B21" s="31" t="s">
        <v>231</v>
      </c>
      <c r="C21" s="31" t="s">
        <v>232</v>
      </c>
      <c r="D21" s="32" t="s">
        <v>233</v>
      </c>
      <c r="E21" s="32" t="s">
        <v>234</v>
      </c>
      <c r="F21" s="32" t="s">
        <v>257</v>
      </c>
      <c r="G21" s="32" t="s">
        <v>258</v>
      </c>
      <c r="H21" s="32" t="s">
        <v>268</v>
      </c>
      <c r="I21" s="32" t="s">
        <v>269</v>
      </c>
      <c r="J21" s="42">
        <f>1/4</f>
        <v>0.25</v>
      </c>
      <c r="L21" s="33">
        <v>3</v>
      </c>
    </row>
    <row r="22" spans="1:12" s="36" customFormat="1">
      <c r="A22" s="34" t="s">
        <v>270</v>
      </c>
      <c r="B22" s="34" t="s">
        <v>231</v>
      </c>
      <c r="C22" s="34" t="s">
        <v>232</v>
      </c>
      <c r="D22" s="35" t="s">
        <v>233</v>
      </c>
      <c r="E22" s="35" t="s">
        <v>234</v>
      </c>
      <c r="F22" s="35" t="s">
        <v>271</v>
      </c>
      <c r="G22" s="35" t="s">
        <v>272</v>
      </c>
      <c r="H22" s="35" t="s">
        <v>273</v>
      </c>
      <c r="I22" s="35" t="s">
        <v>274</v>
      </c>
      <c r="J22" s="43">
        <f>1/3</f>
        <v>0.33333333333333331</v>
      </c>
      <c r="L22" s="36">
        <v>3</v>
      </c>
    </row>
    <row r="23" spans="1:12">
      <c r="A23" s="3" t="s">
        <v>275</v>
      </c>
      <c r="B23" s="3" t="s">
        <v>231</v>
      </c>
      <c r="C23" s="3" t="s">
        <v>232</v>
      </c>
      <c r="D23" s="10" t="s">
        <v>233</v>
      </c>
      <c r="E23" s="10" t="s">
        <v>234</v>
      </c>
      <c r="F23" s="10" t="s">
        <v>271</v>
      </c>
      <c r="G23" s="10" t="s">
        <v>272</v>
      </c>
      <c r="H23" s="10" t="s">
        <v>276</v>
      </c>
      <c r="I23" s="10" t="s">
        <v>277</v>
      </c>
      <c r="J23" s="41">
        <f>1/3</f>
        <v>0.33333333333333331</v>
      </c>
      <c r="L23">
        <v>3</v>
      </c>
    </row>
    <row r="24" spans="1:12" s="33" customFormat="1">
      <c r="A24" s="31" t="s">
        <v>278</v>
      </c>
      <c r="B24" s="31" t="s">
        <v>231</v>
      </c>
      <c r="C24" s="31" t="s">
        <v>232</v>
      </c>
      <c r="D24" s="32" t="s">
        <v>233</v>
      </c>
      <c r="E24" s="32" t="s">
        <v>234</v>
      </c>
      <c r="F24" s="32" t="s">
        <v>271</v>
      </c>
      <c r="G24" s="32" t="s">
        <v>272</v>
      </c>
      <c r="H24" s="32" t="s">
        <v>279</v>
      </c>
      <c r="I24" s="32" t="s">
        <v>280</v>
      </c>
      <c r="J24" s="42">
        <f>1/3</f>
        <v>0.33333333333333331</v>
      </c>
      <c r="L24" s="33">
        <v>3</v>
      </c>
    </row>
    <row r="25" spans="1:12" s="39" customFormat="1">
      <c r="A25" s="37" t="s">
        <v>281</v>
      </c>
      <c r="B25" s="37" t="s">
        <v>231</v>
      </c>
      <c r="C25" s="37" t="s">
        <v>232</v>
      </c>
      <c r="D25" s="38" t="s">
        <v>282</v>
      </c>
      <c r="E25" s="38" t="s">
        <v>283</v>
      </c>
      <c r="F25" s="38" t="s">
        <v>284</v>
      </c>
      <c r="G25" s="38" t="s">
        <v>285</v>
      </c>
      <c r="H25" s="38" t="s">
        <v>286</v>
      </c>
      <c r="I25" s="38" t="s">
        <v>287</v>
      </c>
      <c r="J25" s="44">
        <v>1</v>
      </c>
      <c r="L25" s="39">
        <v>2</v>
      </c>
    </row>
    <row r="26" spans="1:12" s="36" customFormat="1">
      <c r="A26" s="34" t="s">
        <v>288</v>
      </c>
      <c r="B26" s="34" t="s">
        <v>231</v>
      </c>
      <c r="C26" s="34" t="s">
        <v>232</v>
      </c>
      <c r="D26" s="35" t="s">
        <v>282</v>
      </c>
      <c r="E26" s="35" t="s">
        <v>283</v>
      </c>
      <c r="F26" s="35" t="s">
        <v>289</v>
      </c>
      <c r="G26" s="35" t="s">
        <v>290</v>
      </c>
      <c r="H26" s="35" t="s">
        <v>291</v>
      </c>
      <c r="I26" s="53" t="s">
        <v>292</v>
      </c>
      <c r="J26" s="43">
        <f>1/3</f>
        <v>0.33333333333333331</v>
      </c>
      <c r="L26" s="36">
        <v>1</v>
      </c>
    </row>
    <row r="27" spans="1:12">
      <c r="A27" s="3" t="s">
        <v>293</v>
      </c>
      <c r="B27" s="3" t="s">
        <v>231</v>
      </c>
      <c r="C27" s="3" t="s">
        <v>232</v>
      </c>
      <c r="D27" s="10" t="s">
        <v>282</v>
      </c>
      <c r="E27" s="10" t="s">
        <v>283</v>
      </c>
      <c r="F27" s="10" t="s">
        <v>289</v>
      </c>
      <c r="G27" s="10" t="s">
        <v>290</v>
      </c>
      <c r="H27" s="10" t="s">
        <v>294</v>
      </c>
      <c r="I27" s="10" t="s">
        <v>295</v>
      </c>
      <c r="J27" s="41">
        <f>1/3</f>
        <v>0.33333333333333331</v>
      </c>
      <c r="L27">
        <v>1</v>
      </c>
    </row>
    <row r="28" spans="1:12" s="33" customFormat="1">
      <c r="A28" s="31" t="s">
        <v>296</v>
      </c>
      <c r="B28" s="31" t="s">
        <v>231</v>
      </c>
      <c r="C28" s="31" t="s">
        <v>232</v>
      </c>
      <c r="D28" s="32" t="s">
        <v>282</v>
      </c>
      <c r="E28" s="32" t="s">
        <v>283</v>
      </c>
      <c r="F28" s="32" t="s">
        <v>289</v>
      </c>
      <c r="G28" s="32" t="s">
        <v>290</v>
      </c>
      <c r="H28" s="32" t="s">
        <v>297</v>
      </c>
      <c r="I28" s="52" t="s">
        <v>298</v>
      </c>
      <c r="J28" s="42">
        <f>1/3</f>
        <v>0.33333333333333331</v>
      </c>
      <c r="L28" s="33">
        <v>1</v>
      </c>
    </row>
    <row r="29" spans="1:12" s="36" customFormat="1">
      <c r="A29" s="34" t="s">
        <v>299</v>
      </c>
      <c r="B29" s="34" t="s">
        <v>231</v>
      </c>
      <c r="C29" s="34" t="s">
        <v>232</v>
      </c>
      <c r="D29" s="35" t="s">
        <v>282</v>
      </c>
      <c r="E29" s="35" t="s">
        <v>283</v>
      </c>
      <c r="F29" s="35" t="s">
        <v>300</v>
      </c>
      <c r="G29" s="35" t="s">
        <v>301</v>
      </c>
      <c r="H29" s="35" t="s">
        <v>302</v>
      </c>
      <c r="I29" s="35" t="s">
        <v>303</v>
      </c>
      <c r="J29" s="43">
        <f>1/4</f>
        <v>0.25</v>
      </c>
      <c r="L29" s="36">
        <v>2</v>
      </c>
    </row>
    <row r="30" spans="1:12">
      <c r="A30" s="3" t="s">
        <v>304</v>
      </c>
      <c r="B30" s="3" t="s">
        <v>231</v>
      </c>
      <c r="C30" s="3" t="s">
        <v>232</v>
      </c>
      <c r="D30" s="10" t="s">
        <v>282</v>
      </c>
      <c r="E30" s="10" t="s">
        <v>283</v>
      </c>
      <c r="F30" s="10" t="s">
        <v>300</v>
      </c>
      <c r="G30" s="10" t="s">
        <v>301</v>
      </c>
      <c r="H30" s="10" t="s">
        <v>305</v>
      </c>
      <c r="I30" s="10" t="s">
        <v>306</v>
      </c>
      <c r="J30" s="41">
        <f>1/4</f>
        <v>0.25</v>
      </c>
      <c r="L30">
        <v>2</v>
      </c>
    </row>
    <row r="31" spans="1:12">
      <c r="A31" s="3" t="s">
        <v>307</v>
      </c>
      <c r="B31" s="3" t="s">
        <v>231</v>
      </c>
      <c r="C31" s="3" t="s">
        <v>232</v>
      </c>
      <c r="D31" s="10" t="s">
        <v>282</v>
      </c>
      <c r="E31" s="10" t="s">
        <v>283</v>
      </c>
      <c r="F31" s="10" t="s">
        <v>300</v>
      </c>
      <c r="G31" s="10" t="s">
        <v>301</v>
      </c>
      <c r="H31" s="10" t="s">
        <v>308</v>
      </c>
      <c r="I31" s="10" t="s">
        <v>309</v>
      </c>
      <c r="J31" s="41">
        <f>1/4</f>
        <v>0.25</v>
      </c>
      <c r="L31">
        <v>2</v>
      </c>
    </row>
    <row r="32" spans="1:12" s="33" customFormat="1">
      <c r="A32" s="31" t="s">
        <v>310</v>
      </c>
      <c r="B32" s="31" t="s">
        <v>231</v>
      </c>
      <c r="C32" s="31" t="s">
        <v>232</v>
      </c>
      <c r="D32" s="32" t="s">
        <v>282</v>
      </c>
      <c r="E32" s="32" t="s">
        <v>283</v>
      </c>
      <c r="F32" s="32" t="s">
        <v>300</v>
      </c>
      <c r="G32" s="32" t="s">
        <v>301</v>
      </c>
      <c r="H32" s="32" t="s">
        <v>311</v>
      </c>
      <c r="I32" s="32" t="s">
        <v>312</v>
      </c>
      <c r="J32" s="42">
        <f>1/4</f>
        <v>0.25</v>
      </c>
      <c r="L32" s="33">
        <v>2</v>
      </c>
    </row>
    <row r="33" spans="1:12" s="36" customFormat="1">
      <c r="A33" s="34" t="s">
        <v>313</v>
      </c>
      <c r="B33" s="34" t="s">
        <v>231</v>
      </c>
      <c r="C33" s="34" t="s">
        <v>232</v>
      </c>
      <c r="D33" s="35" t="s">
        <v>282</v>
      </c>
      <c r="E33" s="35" t="s">
        <v>283</v>
      </c>
      <c r="F33" s="35" t="s">
        <v>314</v>
      </c>
      <c r="G33" s="35" t="s">
        <v>315</v>
      </c>
      <c r="H33" s="35" t="s">
        <v>316</v>
      </c>
      <c r="I33" s="35" t="s">
        <v>317</v>
      </c>
      <c r="J33" s="43">
        <f>1/2</f>
        <v>0.5</v>
      </c>
      <c r="L33" s="36">
        <v>2</v>
      </c>
    </row>
    <row r="34" spans="1:12" s="33" customFormat="1">
      <c r="A34" s="31" t="s">
        <v>318</v>
      </c>
      <c r="B34" s="31" t="s">
        <v>231</v>
      </c>
      <c r="C34" s="31" t="s">
        <v>232</v>
      </c>
      <c r="D34" s="32" t="s">
        <v>282</v>
      </c>
      <c r="E34" s="32" t="s">
        <v>283</v>
      </c>
      <c r="F34" s="32" t="s">
        <v>314</v>
      </c>
      <c r="G34" s="32" t="s">
        <v>315</v>
      </c>
      <c r="H34" s="32" t="s">
        <v>319</v>
      </c>
      <c r="I34" s="32" t="s">
        <v>320</v>
      </c>
      <c r="J34" s="42">
        <f>1/2</f>
        <v>0.5</v>
      </c>
      <c r="L34" s="33">
        <v>2</v>
      </c>
    </row>
    <row r="35" spans="1:12" s="36" customFormat="1">
      <c r="A35" s="34" t="s">
        <v>321</v>
      </c>
      <c r="B35" s="34" t="s">
        <v>322</v>
      </c>
      <c r="C35" s="34" t="s">
        <v>323</v>
      </c>
      <c r="D35" s="35" t="s">
        <v>324</v>
      </c>
      <c r="E35" s="35" t="s">
        <v>325</v>
      </c>
      <c r="F35" s="35" t="s">
        <v>326</v>
      </c>
      <c r="G35" s="35" t="s">
        <v>327</v>
      </c>
      <c r="H35" s="35" t="s">
        <v>328</v>
      </c>
      <c r="I35" s="35" t="s">
        <v>329</v>
      </c>
      <c r="J35" s="43">
        <f>1/3</f>
        <v>0.33333333333333331</v>
      </c>
      <c r="L35" s="36">
        <v>3</v>
      </c>
    </row>
    <row r="36" spans="1:12">
      <c r="A36" s="3" t="s">
        <v>330</v>
      </c>
      <c r="B36" s="3" t="s">
        <v>322</v>
      </c>
      <c r="C36" s="3" t="s">
        <v>323</v>
      </c>
      <c r="D36" s="10" t="s">
        <v>324</v>
      </c>
      <c r="E36" s="10" t="s">
        <v>325</v>
      </c>
      <c r="F36" s="10" t="s">
        <v>326</v>
      </c>
      <c r="G36" s="10" t="s">
        <v>327</v>
      </c>
      <c r="H36" s="10" t="s">
        <v>331</v>
      </c>
      <c r="I36" s="10" t="s">
        <v>332</v>
      </c>
      <c r="J36" s="41">
        <f>1/3</f>
        <v>0.33333333333333331</v>
      </c>
      <c r="L36">
        <v>3</v>
      </c>
    </row>
    <row r="37" spans="1:12" s="33" customFormat="1">
      <c r="A37" s="31" t="s">
        <v>333</v>
      </c>
      <c r="B37" s="31" t="s">
        <v>322</v>
      </c>
      <c r="C37" s="31" t="s">
        <v>323</v>
      </c>
      <c r="D37" s="32" t="s">
        <v>324</v>
      </c>
      <c r="E37" s="32" t="s">
        <v>325</v>
      </c>
      <c r="F37" s="32" t="s">
        <v>326</v>
      </c>
      <c r="G37" s="32" t="s">
        <v>327</v>
      </c>
      <c r="H37" s="32" t="s">
        <v>334</v>
      </c>
      <c r="I37" s="32" t="s">
        <v>335</v>
      </c>
      <c r="J37" s="42">
        <f>1/3</f>
        <v>0.33333333333333331</v>
      </c>
      <c r="L37" s="33">
        <v>3</v>
      </c>
    </row>
    <row r="38" spans="1:12" s="36" customFormat="1">
      <c r="A38" s="34" t="s">
        <v>336</v>
      </c>
      <c r="B38" s="34" t="s">
        <v>322</v>
      </c>
      <c r="C38" s="34" t="s">
        <v>323</v>
      </c>
      <c r="D38" s="35" t="s">
        <v>324</v>
      </c>
      <c r="E38" s="35" t="s">
        <v>325</v>
      </c>
      <c r="F38" s="35" t="s">
        <v>337</v>
      </c>
      <c r="G38" s="35" t="s">
        <v>338</v>
      </c>
      <c r="H38" s="35" t="s">
        <v>339</v>
      </c>
      <c r="I38" s="35" t="s">
        <v>340</v>
      </c>
      <c r="J38" s="43">
        <f>1/5</f>
        <v>0.2</v>
      </c>
      <c r="L38" s="36">
        <v>3</v>
      </c>
    </row>
    <row r="39" spans="1:12">
      <c r="A39" s="3" t="s">
        <v>341</v>
      </c>
      <c r="B39" s="3" t="s">
        <v>322</v>
      </c>
      <c r="C39" s="3" t="s">
        <v>323</v>
      </c>
      <c r="D39" s="10" t="s">
        <v>324</v>
      </c>
      <c r="E39" s="10" t="s">
        <v>325</v>
      </c>
      <c r="F39" s="10" t="s">
        <v>337</v>
      </c>
      <c r="G39" s="10" t="s">
        <v>338</v>
      </c>
      <c r="H39" s="10" t="s">
        <v>342</v>
      </c>
      <c r="I39" s="10" t="s">
        <v>343</v>
      </c>
      <c r="J39" s="41">
        <f>1/5</f>
        <v>0.2</v>
      </c>
      <c r="L39">
        <v>3</v>
      </c>
    </row>
    <row r="40" spans="1:12">
      <c r="A40" s="3" t="s">
        <v>344</v>
      </c>
      <c r="B40" s="3" t="s">
        <v>322</v>
      </c>
      <c r="C40" s="3" t="s">
        <v>323</v>
      </c>
      <c r="D40" s="10" t="s">
        <v>324</v>
      </c>
      <c r="E40" s="10" t="s">
        <v>325</v>
      </c>
      <c r="F40" s="10" t="s">
        <v>337</v>
      </c>
      <c r="G40" s="10" t="s">
        <v>338</v>
      </c>
      <c r="H40" s="10" t="s">
        <v>345</v>
      </c>
      <c r="I40" s="10" t="s">
        <v>346</v>
      </c>
      <c r="J40" s="41">
        <f>1/5</f>
        <v>0.2</v>
      </c>
      <c r="L40">
        <v>3</v>
      </c>
    </row>
    <row r="41" spans="1:12">
      <c r="A41" s="3" t="s">
        <v>347</v>
      </c>
      <c r="B41" s="3" t="s">
        <v>322</v>
      </c>
      <c r="C41" s="3" t="s">
        <v>323</v>
      </c>
      <c r="D41" s="10" t="s">
        <v>324</v>
      </c>
      <c r="E41" s="10" t="s">
        <v>325</v>
      </c>
      <c r="F41" s="10" t="s">
        <v>337</v>
      </c>
      <c r="G41" s="10" t="s">
        <v>338</v>
      </c>
      <c r="H41" s="10" t="s">
        <v>348</v>
      </c>
      <c r="I41" s="10" t="s">
        <v>349</v>
      </c>
      <c r="J41" s="41">
        <f>1/5</f>
        <v>0.2</v>
      </c>
      <c r="L41">
        <v>3</v>
      </c>
    </row>
    <row r="42" spans="1:12" s="33" customFormat="1">
      <c r="A42" s="31" t="s">
        <v>350</v>
      </c>
      <c r="B42" s="31" t="s">
        <v>322</v>
      </c>
      <c r="C42" s="31" t="s">
        <v>323</v>
      </c>
      <c r="D42" s="32" t="s">
        <v>324</v>
      </c>
      <c r="E42" s="32" t="s">
        <v>325</v>
      </c>
      <c r="F42" s="32" t="s">
        <v>337</v>
      </c>
      <c r="G42" s="32" t="s">
        <v>338</v>
      </c>
      <c r="H42" s="32" t="s">
        <v>351</v>
      </c>
      <c r="I42" s="32" t="s">
        <v>352</v>
      </c>
      <c r="J42" s="42">
        <f>1/5</f>
        <v>0.2</v>
      </c>
      <c r="L42" s="33">
        <v>3</v>
      </c>
    </row>
    <row r="43" spans="1:12" s="36" customFormat="1">
      <c r="A43" s="34" t="s">
        <v>353</v>
      </c>
      <c r="B43" s="34" t="s">
        <v>322</v>
      </c>
      <c r="C43" s="34" t="s">
        <v>323</v>
      </c>
      <c r="D43" s="35" t="s">
        <v>324</v>
      </c>
      <c r="E43" s="35" t="s">
        <v>325</v>
      </c>
      <c r="F43" s="35" t="s">
        <v>354</v>
      </c>
      <c r="G43" s="35" t="s">
        <v>355</v>
      </c>
      <c r="H43" s="35" t="s">
        <v>356</v>
      </c>
      <c r="I43" s="35" t="s">
        <v>357</v>
      </c>
      <c r="J43" s="43">
        <f>1/2</f>
        <v>0.5</v>
      </c>
      <c r="L43" s="36">
        <v>1</v>
      </c>
    </row>
    <row r="44" spans="1:12" s="33" customFormat="1">
      <c r="A44" s="31" t="s">
        <v>358</v>
      </c>
      <c r="B44" s="31" t="s">
        <v>322</v>
      </c>
      <c r="C44" s="31" t="s">
        <v>323</v>
      </c>
      <c r="D44" s="32" t="s">
        <v>324</v>
      </c>
      <c r="E44" s="32" t="s">
        <v>325</v>
      </c>
      <c r="F44" s="32" t="s">
        <v>354</v>
      </c>
      <c r="G44" s="32" t="s">
        <v>355</v>
      </c>
      <c r="H44" s="32" t="s">
        <v>359</v>
      </c>
      <c r="I44" s="32" t="s">
        <v>360</v>
      </c>
      <c r="J44" s="42">
        <f>1/2</f>
        <v>0.5</v>
      </c>
      <c r="L44" s="33">
        <v>1</v>
      </c>
    </row>
    <row r="45" spans="1:12" s="36" customFormat="1">
      <c r="A45" s="34" t="s">
        <v>361</v>
      </c>
      <c r="B45" s="34" t="s">
        <v>322</v>
      </c>
      <c r="C45" s="34" t="s">
        <v>323</v>
      </c>
      <c r="D45" s="35" t="s">
        <v>324</v>
      </c>
      <c r="E45" s="35" t="s">
        <v>325</v>
      </c>
      <c r="F45" s="35" t="s">
        <v>362</v>
      </c>
      <c r="G45" s="35" t="s">
        <v>363</v>
      </c>
      <c r="H45" s="35" t="s">
        <v>364</v>
      </c>
      <c r="I45" s="35" t="s">
        <v>365</v>
      </c>
      <c r="J45" s="43">
        <f>1/2</f>
        <v>0.5</v>
      </c>
      <c r="L45" s="36">
        <v>3</v>
      </c>
    </row>
    <row r="46" spans="1:12" s="33" customFormat="1">
      <c r="A46" s="31" t="s">
        <v>366</v>
      </c>
      <c r="B46" s="31" t="s">
        <v>322</v>
      </c>
      <c r="C46" s="31" t="s">
        <v>323</v>
      </c>
      <c r="D46" s="32" t="s">
        <v>324</v>
      </c>
      <c r="E46" s="32" t="s">
        <v>325</v>
      </c>
      <c r="F46" s="32" t="s">
        <v>362</v>
      </c>
      <c r="G46" s="32" t="s">
        <v>363</v>
      </c>
      <c r="H46" s="32" t="s">
        <v>367</v>
      </c>
      <c r="I46" s="32" t="s">
        <v>368</v>
      </c>
      <c r="J46" s="42">
        <f>1/2</f>
        <v>0.5</v>
      </c>
      <c r="L46" s="33">
        <v>3</v>
      </c>
    </row>
    <row r="47" spans="1:12" s="36" customFormat="1">
      <c r="A47" s="34" t="s">
        <v>369</v>
      </c>
      <c r="B47" s="34" t="s">
        <v>322</v>
      </c>
      <c r="C47" s="34" t="s">
        <v>323</v>
      </c>
      <c r="D47" s="35" t="s">
        <v>324</v>
      </c>
      <c r="E47" s="35" t="s">
        <v>325</v>
      </c>
      <c r="F47" s="35" t="s">
        <v>370</v>
      </c>
      <c r="G47" s="35" t="s">
        <v>371</v>
      </c>
      <c r="H47" s="35" t="s">
        <v>372</v>
      </c>
      <c r="I47" s="35" t="s">
        <v>373</v>
      </c>
      <c r="J47" s="43">
        <f>1/2</f>
        <v>0.5</v>
      </c>
      <c r="L47" s="36">
        <v>3</v>
      </c>
    </row>
    <row r="48" spans="1:12" s="33" customFormat="1">
      <c r="A48" s="31" t="s">
        <v>374</v>
      </c>
      <c r="B48" s="31" t="s">
        <v>322</v>
      </c>
      <c r="C48" s="31" t="s">
        <v>323</v>
      </c>
      <c r="D48" s="32" t="s">
        <v>324</v>
      </c>
      <c r="E48" s="32" t="s">
        <v>325</v>
      </c>
      <c r="F48" s="32" t="s">
        <v>370</v>
      </c>
      <c r="G48" s="32" t="s">
        <v>371</v>
      </c>
      <c r="H48" s="32" t="s">
        <v>375</v>
      </c>
      <c r="I48" s="32" t="s">
        <v>376</v>
      </c>
      <c r="J48" s="42">
        <f>1/2</f>
        <v>0.5</v>
      </c>
      <c r="L48" s="33">
        <v>3</v>
      </c>
    </row>
    <row r="49" spans="1:12" s="39" customFormat="1">
      <c r="A49" s="37" t="s">
        <v>377</v>
      </c>
      <c r="B49" s="37" t="s">
        <v>322</v>
      </c>
      <c r="C49" s="37" t="s">
        <v>323</v>
      </c>
      <c r="D49" s="38" t="s">
        <v>324</v>
      </c>
      <c r="E49" s="38" t="s">
        <v>325</v>
      </c>
      <c r="F49" s="38" t="s">
        <v>378</v>
      </c>
      <c r="G49" s="38" t="s">
        <v>379</v>
      </c>
      <c r="H49" s="38" t="s">
        <v>380</v>
      </c>
      <c r="I49" s="38" t="s">
        <v>381</v>
      </c>
      <c r="J49" s="44">
        <v>1</v>
      </c>
      <c r="L49" s="39">
        <v>3</v>
      </c>
    </row>
    <row r="50" spans="1:12" s="36" customFormat="1">
      <c r="A50" s="34" t="s">
        <v>382</v>
      </c>
      <c r="B50" s="34" t="s">
        <v>322</v>
      </c>
      <c r="C50" s="34" t="s">
        <v>323</v>
      </c>
      <c r="D50" s="35" t="s">
        <v>324</v>
      </c>
      <c r="E50" s="35" t="s">
        <v>325</v>
      </c>
      <c r="F50" s="35" t="s">
        <v>383</v>
      </c>
      <c r="G50" s="35" t="s">
        <v>384</v>
      </c>
      <c r="H50" s="35" t="s">
        <v>385</v>
      </c>
      <c r="I50" s="35" t="s">
        <v>386</v>
      </c>
      <c r="J50" s="43">
        <f>1/3</f>
        <v>0.33333333333333331</v>
      </c>
      <c r="L50" s="36">
        <v>3</v>
      </c>
    </row>
    <row r="51" spans="1:12">
      <c r="A51" s="3" t="s">
        <v>387</v>
      </c>
      <c r="B51" s="3" t="s">
        <v>322</v>
      </c>
      <c r="C51" s="3" t="s">
        <v>323</v>
      </c>
      <c r="D51" s="10" t="s">
        <v>324</v>
      </c>
      <c r="E51" s="10" t="s">
        <v>325</v>
      </c>
      <c r="F51" s="10" t="s">
        <v>383</v>
      </c>
      <c r="G51" s="10" t="s">
        <v>384</v>
      </c>
      <c r="H51" s="10" t="s">
        <v>388</v>
      </c>
      <c r="I51" s="10" t="s">
        <v>389</v>
      </c>
      <c r="J51" s="41">
        <f>1/3</f>
        <v>0.33333333333333331</v>
      </c>
      <c r="L51">
        <v>3</v>
      </c>
    </row>
    <row r="52" spans="1:12" s="33" customFormat="1">
      <c r="A52" s="31" t="s">
        <v>390</v>
      </c>
      <c r="B52" s="31" t="s">
        <v>322</v>
      </c>
      <c r="C52" s="31" t="s">
        <v>323</v>
      </c>
      <c r="D52" s="32" t="s">
        <v>324</v>
      </c>
      <c r="E52" s="32" t="s">
        <v>325</v>
      </c>
      <c r="F52" s="32" t="s">
        <v>383</v>
      </c>
      <c r="G52" s="32" t="s">
        <v>384</v>
      </c>
      <c r="H52" s="32" t="s">
        <v>391</v>
      </c>
      <c r="I52" s="32" t="s">
        <v>392</v>
      </c>
      <c r="J52" s="42">
        <f>1/3</f>
        <v>0.33333333333333331</v>
      </c>
      <c r="L52" s="33">
        <v>3</v>
      </c>
    </row>
    <row r="53" spans="1:12" s="36" customFormat="1">
      <c r="A53" s="34" t="s">
        <v>393</v>
      </c>
      <c r="B53" s="34" t="s">
        <v>322</v>
      </c>
      <c r="C53" s="34" t="s">
        <v>323</v>
      </c>
      <c r="D53" s="35" t="s">
        <v>324</v>
      </c>
      <c r="E53" s="35" t="s">
        <v>325</v>
      </c>
      <c r="F53" s="35" t="s">
        <v>394</v>
      </c>
      <c r="G53" s="35" t="s">
        <v>395</v>
      </c>
      <c r="H53" s="35" t="s">
        <v>396</v>
      </c>
      <c r="I53" s="35" t="s">
        <v>397</v>
      </c>
      <c r="J53" s="43">
        <f>1/3</f>
        <v>0.33333333333333331</v>
      </c>
      <c r="L53" s="36">
        <v>3</v>
      </c>
    </row>
    <row r="54" spans="1:12">
      <c r="A54" s="3" t="s">
        <v>398</v>
      </c>
      <c r="B54" s="3" t="s">
        <v>322</v>
      </c>
      <c r="C54" s="3" t="s">
        <v>323</v>
      </c>
      <c r="D54" s="10" t="s">
        <v>324</v>
      </c>
      <c r="E54" s="10" t="s">
        <v>325</v>
      </c>
      <c r="F54" s="10" t="s">
        <v>394</v>
      </c>
      <c r="G54" s="10" t="s">
        <v>395</v>
      </c>
      <c r="H54" s="10" t="s">
        <v>399</v>
      </c>
      <c r="I54" s="10" t="s">
        <v>400</v>
      </c>
      <c r="J54" s="41">
        <f>1/3</f>
        <v>0.33333333333333331</v>
      </c>
      <c r="L54">
        <v>3</v>
      </c>
    </row>
    <row r="55" spans="1:12" s="33" customFormat="1">
      <c r="A55" s="31" t="s">
        <v>401</v>
      </c>
      <c r="B55" s="31" t="s">
        <v>322</v>
      </c>
      <c r="C55" s="31" t="s">
        <v>323</v>
      </c>
      <c r="D55" s="32" t="s">
        <v>324</v>
      </c>
      <c r="E55" s="32" t="s">
        <v>325</v>
      </c>
      <c r="F55" s="32" t="s">
        <v>394</v>
      </c>
      <c r="G55" s="32" t="s">
        <v>395</v>
      </c>
      <c r="H55" s="32" t="s">
        <v>402</v>
      </c>
      <c r="I55" s="32" t="s">
        <v>403</v>
      </c>
      <c r="J55" s="42">
        <f>1/3</f>
        <v>0.33333333333333331</v>
      </c>
      <c r="L55" s="33">
        <v>3</v>
      </c>
    </row>
    <row r="56" spans="1:12" s="36" customFormat="1">
      <c r="A56" s="34" t="s">
        <v>404</v>
      </c>
      <c r="B56" s="34" t="s">
        <v>322</v>
      </c>
      <c r="C56" s="34" t="s">
        <v>323</v>
      </c>
      <c r="D56" s="35" t="s">
        <v>405</v>
      </c>
      <c r="E56" s="35" t="s">
        <v>406</v>
      </c>
      <c r="F56" s="35" t="s">
        <v>407</v>
      </c>
      <c r="G56" s="35" t="s">
        <v>408</v>
      </c>
      <c r="H56" s="35" t="s">
        <v>409</v>
      </c>
      <c r="I56" s="35" t="s">
        <v>410</v>
      </c>
      <c r="J56" s="43">
        <f>1/3</f>
        <v>0.33333333333333331</v>
      </c>
      <c r="L56" s="36">
        <v>1</v>
      </c>
    </row>
    <row r="57" spans="1:12">
      <c r="A57" s="3" t="s">
        <v>411</v>
      </c>
      <c r="B57" s="3" t="s">
        <v>322</v>
      </c>
      <c r="C57" s="3" t="s">
        <v>323</v>
      </c>
      <c r="D57" s="10" t="s">
        <v>405</v>
      </c>
      <c r="E57" s="10" t="s">
        <v>406</v>
      </c>
      <c r="F57" s="10" t="s">
        <v>407</v>
      </c>
      <c r="G57" s="10" t="s">
        <v>408</v>
      </c>
      <c r="H57" s="10" t="s">
        <v>412</v>
      </c>
      <c r="I57" s="10" t="s">
        <v>413</v>
      </c>
      <c r="J57" s="41">
        <f>1/3</f>
        <v>0.33333333333333331</v>
      </c>
      <c r="L57">
        <v>1</v>
      </c>
    </row>
    <row r="58" spans="1:12" s="33" customFormat="1">
      <c r="A58" s="31" t="s">
        <v>414</v>
      </c>
      <c r="B58" s="31" t="s">
        <v>322</v>
      </c>
      <c r="C58" s="31" t="s">
        <v>323</v>
      </c>
      <c r="D58" s="32" t="s">
        <v>405</v>
      </c>
      <c r="E58" s="32" t="s">
        <v>406</v>
      </c>
      <c r="F58" s="32" t="s">
        <v>407</v>
      </c>
      <c r="G58" s="32" t="s">
        <v>408</v>
      </c>
      <c r="H58" s="32" t="s">
        <v>415</v>
      </c>
      <c r="I58" s="32" t="s">
        <v>416</v>
      </c>
      <c r="J58" s="42">
        <f>1/3</f>
        <v>0.33333333333333331</v>
      </c>
      <c r="L58" s="33">
        <v>1</v>
      </c>
    </row>
    <row r="59" spans="1:12" s="36" customFormat="1">
      <c r="A59" s="34" t="s">
        <v>417</v>
      </c>
      <c r="B59" s="34" t="s">
        <v>322</v>
      </c>
      <c r="C59" s="34" t="s">
        <v>323</v>
      </c>
      <c r="D59" s="35" t="s">
        <v>405</v>
      </c>
      <c r="E59" s="35" t="s">
        <v>406</v>
      </c>
      <c r="F59" s="35" t="s">
        <v>418</v>
      </c>
      <c r="G59" s="35" t="s">
        <v>419</v>
      </c>
      <c r="H59" s="35" t="s">
        <v>420</v>
      </c>
      <c r="I59" s="35" t="s">
        <v>421</v>
      </c>
      <c r="J59" s="43">
        <f>1/2</f>
        <v>0.5</v>
      </c>
      <c r="L59" s="36">
        <v>3</v>
      </c>
    </row>
    <row r="60" spans="1:12" s="33" customFormat="1">
      <c r="A60" s="31" t="s">
        <v>422</v>
      </c>
      <c r="B60" s="31" t="s">
        <v>322</v>
      </c>
      <c r="C60" s="31" t="s">
        <v>323</v>
      </c>
      <c r="D60" s="32" t="s">
        <v>405</v>
      </c>
      <c r="E60" s="32" t="s">
        <v>406</v>
      </c>
      <c r="F60" s="32" t="s">
        <v>418</v>
      </c>
      <c r="G60" s="32" t="s">
        <v>419</v>
      </c>
      <c r="H60" s="32" t="s">
        <v>423</v>
      </c>
      <c r="I60" s="32" t="s">
        <v>424</v>
      </c>
      <c r="J60" s="42">
        <f>1/2</f>
        <v>0.5</v>
      </c>
      <c r="L60" s="33">
        <v>1</v>
      </c>
    </row>
    <row r="61" spans="1:12" s="36" customFormat="1">
      <c r="A61" s="34" t="s">
        <v>425</v>
      </c>
      <c r="B61" s="34" t="s">
        <v>322</v>
      </c>
      <c r="C61" s="34" t="s">
        <v>323</v>
      </c>
      <c r="D61" s="35" t="s">
        <v>405</v>
      </c>
      <c r="E61" s="35" t="s">
        <v>406</v>
      </c>
      <c r="F61" s="35" t="s">
        <v>426</v>
      </c>
      <c r="G61" s="35" t="s">
        <v>427</v>
      </c>
      <c r="H61" s="35" t="s">
        <v>428</v>
      </c>
      <c r="I61" s="35" t="s">
        <v>429</v>
      </c>
      <c r="J61" s="43">
        <f>1/3</f>
        <v>0.33333333333333331</v>
      </c>
      <c r="L61" s="36">
        <v>3</v>
      </c>
    </row>
    <row r="62" spans="1:12">
      <c r="A62" s="3" t="s">
        <v>430</v>
      </c>
      <c r="B62" s="3" t="s">
        <v>322</v>
      </c>
      <c r="C62" s="3" t="s">
        <v>323</v>
      </c>
      <c r="D62" s="10" t="s">
        <v>405</v>
      </c>
      <c r="E62" s="10" t="s">
        <v>406</v>
      </c>
      <c r="F62" s="10" t="s">
        <v>426</v>
      </c>
      <c r="G62" s="10" t="s">
        <v>427</v>
      </c>
      <c r="H62" s="10" t="s">
        <v>431</v>
      </c>
      <c r="I62" s="10" t="s">
        <v>432</v>
      </c>
      <c r="J62" s="41">
        <f>1/3</f>
        <v>0.33333333333333331</v>
      </c>
      <c r="L62">
        <v>3</v>
      </c>
    </row>
    <row r="63" spans="1:12" s="33" customFormat="1">
      <c r="A63" s="31" t="s">
        <v>433</v>
      </c>
      <c r="B63" s="31" t="s">
        <v>322</v>
      </c>
      <c r="C63" s="31" t="s">
        <v>323</v>
      </c>
      <c r="D63" s="32" t="s">
        <v>405</v>
      </c>
      <c r="E63" s="32" t="s">
        <v>406</v>
      </c>
      <c r="F63" s="32" t="s">
        <v>426</v>
      </c>
      <c r="G63" s="32" t="s">
        <v>427</v>
      </c>
      <c r="H63" s="32" t="s">
        <v>434</v>
      </c>
      <c r="I63" s="32" t="s">
        <v>435</v>
      </c>
      <c r="J63" s="42">
        <f>1/3</f>
        <v>0.33333333333333331</v>
      </c>
      <c r="L63" s="33">
        <v>3</v>
      </c>
    </row>
    <row r="64" spans="1:12" s="36" customFormat="1">
      <c r="A64" s="34" t="s">
        <v>436</v>
      </c>
      <c r="B64" s="34" t="s">
        <v>322</v>
      </c>
      <c r="C64" s="34" t="s">
        <v>323</v>
      </c>
      <c r="D64" s="35" t="s">
        <v>405</v>
      </c>
      <c r="E64" s="35" t="s">
        <v>406</v>
      </c>
      <c r="F64" s="35" t="s">
        <v>437</v>
      </c>
      <c r="G64" s="35" t="s">
        <v>438</v>
      </c>
      <c r="H64" s="35" t="s">
        <v>439</v>
      </c>
      <c r="I64" s="35" t="s">
        <v>440</v>
      </c>
      <c r="J64" s="43">
        <f>1/2</f>
        <v>0.5</v>
      </c>
      <c r="L64" s="36">
        <v>3</v>
      </c>
    </row>
    <row r="65" spans="1:12" s="33" customFormat="1">
      <c r="A65" s="31" t="s">
        <v>441</v>
      </c>
      <c r="B65" s="31" t="s">
        <v>322</v>
      </c>
      <c r="C65" s="31" t="s">
        <v>323</v>
      </c>
      <c r="D65" s="32" t="s">
        <v>405</v>
      </c>
      <c r="E65" s="32" t="s">
        <v>406</v>
      </c>
      <c r="F65" s="32" t="s">
        <v>437</v>
      </c>
      <c r="G65" s="32" t="s">
        <v>438</v>
      </c>
      <c r="H65" s="32" t="s">
        <v>442</v>
      </c>
      <c r="I65" s="32" t="s">
        <v>443</v>
      </c>
      <c r="J65" s="42">
        <f>1/2</f>
        <v>0.5</v>
      </c>
      <c r="L65" s="33">
        <v>3</v>
      </c>
    </row>
    <row r="66" spans="1:12" s="39" customFormat="1">
      <c r="A66" s="37" t="s">
        <v>444</v>
      </c>
      <c r="B66" s="37" t="s">
        <v>322</v>
      </c>
      <c r="C66" s="37" t="s">
        <v>323</v>
      </c>
      <c r="D66" s="38" t="s">
        <v>405</v>
      </c>
      <c r="E66" s="38" t="s">
        <v>406</v>
      </c>
      <c r="F66" s="38" t="s">
        <v>445</v>
      </c>
      <c r="G66" s="38" t="s">
        <v>446</v>
      </c>
      <c r="H66" s="38" t="s">
        <v>447</v>
      </c>
      <c r="I66" s="38" t="s">
        <v>448</v>
      </c>
      <c r="J66" s="44">
        <v>1</v>
      </c>
      <c r="L66" s="39">
        <v>3</v>
      </c>
    </row>
    <row r="67" spans="1:12" s="36" customFormat="1">
      <c r="A67" s="34" t="s">
        <v>449</v>
      </c>
      <c r="B67" s="34" t="s">
        <v>322</v>
      </c>
      <c r="C67" s="34" t="s">
        <v>323</v>
      </c>
      <c r="D67" s="35" t="s">
        <v>405</v>
      </c>
      <c r="E67" s="35" t="s">
        <v>406</v>
      </c>
      <c r="F67" s="35" t="s">
        <v>450</v>
      </c>
      <c r="G67" s="35" t="s">
        <v>451</v>
      </c>
      <c r="H67" s="35" t="s">
        <v>452</v>
      </c>
      <c r="I67" s="35" t="s">
        <v>453</v>
      </c>
      <c r="J67" s="43">
        <f>1/3</f>
        <v>0.33333333333333331</v>
      </c>
      <c r="L67" s="36">
        <v>3</v>
      </c>
    </row>
    <row r="68" spans="1:12">
      <c r="A68" s="3" t="s">
        <v>454</v>
      </c>
      <c r="B68" s="3" t="s">
        <v>322</v>
      </c>
      <c r="C68" s="3" t="s">
        <v>323</v>
      </c>
      <c r="D68" s="10" t="s">
        <v>405</v>
      </c>
      <c r="E68" s="10" t="s">
        <v>406</v>
      </c>
      <c r="F68" s="10" t="s">
        <v>450</v>
      </c>
      <c r="G68" s="10" t="s">
        <v>451</v>
      </c>
      <c r="H68" s="10" t="s">
        <v>455</v>
      </c>
      <c r="I68" s="10" t="s">
        <v>456</v>
      </c>
      <c r="J68" s="41">
        <f>1/3</f>
        <v>0.33333333333333331</v>
      </c>
      <c r="L68">
        <v>3</v>
      </c>
    </row>
    <row r="69" spans="1:12" s="33" customFormat="1">
      <c r="A69" s="31" t="s">
        <v>457</v>
      </c>
      <c r="B69" s="31" t="s">
        <v>322</v>
      </c>
      <c r="C69" s="31" t="s">
        <v>323</v>
      </c>
      <c r="D69" s="32" t="s">
        <v>405</v>
      </c>
      <c r="E69" s="32" t="s">
        <v>406</v>
      </c>
      <c r="F69" s="32" t="s">
        <v>450</v>
      </c>
      <c r="G69" s="32" t="s">
        <v>451</v>
      </c>
      <c r="H69" s="32" t="s">
        <v>458</v>
      </c>
      <c r="I69" s="32" t="s">
        <v>459</v>
      </c>
      <c r="J69" s="42">
        <f>1/3</f>
        <v>0.33333333333333331</v>
      </c>
      <c r="L69" s="33">
        <v>3</v>
      </c>
    </row>
    <row r="70" spans="1:12" s="36" customFormat="1">
      <c r="A70" s="34" t="s">
        <v>460</v>
      </c>
      <c r="B70" s="34" t="s">
        <v>322</v>
      </c>
      <c r="C70" s="34" t="s">
        <v>323</v>
      </c>
      <c r="D70" s="35" t="s">
        <v>405</v>
      </c>
      <c r="E70" s="35" t="s">
        <v>406</v>
      </c>
      <c r="F70" s="35" t="s">
        <v>461</v>
      </c>
      <c r="G70" s="35" t="s">
        <v>462</v>
      </c>
      <c r="H70" s="35" t="s">
        <v>463</v>
      </c>
      <c r="I70" s="49" t="s">
        <v>464</v>
      </c>
      <c r="J70" s="43">
        <f>1/6</f>
        <v>0.16666666666666666</v>
      </c>
      <c r="L70" s="36">
        <v>3</v>
      </c>
    </row>
    <row r="71" spans="1:12">
      <c r="A71" s="3" t="s">
        <v>465</v>
      </c>
      <c r="B71" s="3" t="s">
        <v>322</v>
      </c>
      <c r="C71" s="3" t="s">
        <v>323</v>
      </c>
      <c r="D71" s="10" t="s">
        <v>405</v>
      </c>
      <c r="E71" s="10" t="s">
        <v>406</v>
      </c>
      <c r="F71" s="10" t="s">
        <v>461</v>
      </c>
      <c r="G71" s="10" t="s">
        <v>462</v>
      </c>
      <c r="H71" s="10" t="s">
        <v>466</v>
      </c>
      <c r="I71" s="50" t="s">
        <v>467</v>
      </c>
      <c r="J71" s="41">
        <f>1/6</f>
        <v>0.16666666666666666</v>
      </c>
      <c r="L71">
        <v>3</v>
      </c>
    </row>
    <row r="72" spans="1:12">
      <c r="A72" s="3" t="s">
        <v>468</v>
      </c>
      <c r="B72" s="3" t="s">
        <v>322</v>
      </c>
      <c r="C72" s="3" t="s">
        <v>323</v>
      </c>
      <c r="D72" s="10" t="s">
        <v>405</v>
      </c>
      <c r="E72" s="10" t="s">
        <v>406</v>
      </c>
      <c r="F72" s="10" t="s">
        <v>461</v>
      </c>
      <c r="G72" s="10" t="s">
        <v>462</v>
      </c>
      <c r="H72" s="10" t="s">
        <v>469</v>
      </c>
      <c r="I72" s="50" t="s">
        <v>470</v>
      </c>
      <c r="J72" s="41">
        <f>1/6</f>
        <v>0.16666666666666666</v>
      </c>
      <c r="L72">
        <v>3</v>
      </c>
    </row>
    <row r="73" spans="1:12">
      <c r="A73" s="3" t="s">
        <v>471</v>
      </c>
      <c r="B73" s="3" t="s">
        <v>322</v>
      </c>
      <c r="C73" s="3" t="s">
        <v>323</v>
      </c>
      <c r="D73" s="10" t="s">
        <v>405</v>
      </c>
      <c r="E73" s="10" t="s">
        <v>406</v>
      </c>
      <c r="F73" s="10" t="s">
        <v>461</v>
      </c>
      <c r="G73" s="10" t="s">
        <v>462</v>
      </c>
      <c r="H73" s="10" t="s">
        <v>472</v>
      </c>
      <c r="I73" s="51" t="s">
        <v>473</v>
      </c>
      <c r="J73" s="41">
        <f>1/6</f>
        <v>0.16666666666666666</v>
      </c>
      <c r="L73">
        <v>3</v>
      </c>
    </row>
    <row r="74" spans="1:12">
      <c r="A74" s="3" t="s">
        <v>474</v>
      </c>
      <c r="B74" s="3" t="s">
        <v>322</v>
      </c>
      <c r="C74" s="3" t="s">
        <v>323</v>
      </c>
      <c r="D74" s="10" t="s">
        <v>405</v>
      </c>
      <c r="E74" s="10" t="s">
        <v>406</v>
      </c>
      <c r="F74" s="10" t="s">
        <v>461</v>
      </c>
      <c r="G74" s="10" t="s">
        <v>462</v>
      </c>
      <c r="H74" s="10" t="s">
        <v>475</v>
      </c>
      <c r="I74" s="51" t="s">
        <v>476</v>
      </c>
      <c r="J74" s="41">
        <f>1/6</f>
        <v>0.16666666666666666</v>
      </c>
      <c r="L74">
        <v>3</v>
      </c>
    </row>
    <row r="75" spans="1:12" s="33" customFormat="1">
      <c r="A75" s="31" t="s">
        <v>477</v>
      </c>
      <c r="B75" s="31" t="s">
        <v>322</v>
      </c>
      <c r="C75" s="31" t="s">
        <v>323</v>
      </c>
      <c r="D75" s="32" t="s">
        <v>405</v>
      </c>
      <c r="E75" s="32" t="s">
        <v>406</v>
      </c>
      <c r="F75" s="32" t="s">
        <v>461</v>
      </c>
      <c r="G75" s="32" t="s">
        <v>462</v>
      </c>
      <c r="H75" s="32" t="s">
        <v>478</v>
      </c>
      <c r="I75" s="52" t="s">
        <v>479</v>
      </c>
      <c r="J75" s="42">
        <f>1/6</f>
        <v>0.16666666666666666</v>
      </c>
      <c r="L75" s="33">
        <v>3</v>
      </c>
    </row>
    <row r="76" spans="1:12" s="36" customFormat="1">
      <c r="A76" s="34" t="s">
        <v>480</v>
      </c>
      <c r="B76" s="34" t="s">
        <v>322</v>
      </c>
      <c r="C76" s="34" t="s">
        <v>323</v>
      </c>
      <c r="D76" s="35" t="s">
        <v>405</v>
      </c>
      <c r="E76" s="35" t="s">
        <v>406</v>
      </c>
      <c r="F76" s="35" t="s">
        <v>481</v>
      </c>
      <c r="G76" s="35" t="s">
        <v>482</v>
      </c>
      <c r="H76" s="35" t="s">
        <v>483</v>
      </c>
      <c r="I76" s="35" t="s">
        <v>484</v>
      </c>
      <c r="J76" s="43">
        <f>1/2</f>
        <v>0.5</v>
      </c>
      <c r="L76" s="36">
        <v>1</v>
      </c>
    </row>
    <row r="77" spans="1:12" s="33" customFormat="1">
      <c r="A77" s="31" t="s">
        <v>485</v>
      </c>
      <c r="B77" s="31" t="s">
        <v>322</v>
      </c>
      <c r="C77" s="31" t="s">
        <v>323</v>
      </c>
      <c r="D77" s="32" t="s">
        <v>405</v>
      </c>
      <c r="E77" s="32" t="s">
        <v>406</v>
      </c>
      <c r="F77" s="32" t="s">
        <v>481</v>
      </c>
      <c r="G77" s="32" t="s">
        <v>482</v>
      </c>
      <c r="H77" s="32" t="s">
        <v>486</v>
      </c>
      <c r="I77" s="32" t="s">
        <v>487</v>
      </c>
      <c r="J77" s="42">
        <f>1/2</f>
        <v>0.5</v>
      </c>
      <c r="L77" s="33">
        <v>1</v>
      </c>
    </row>
    <row r="78" spans="1:12" s="36" customFormat="1">
      <c r="A78" s="34" t="s">
        <v>488</v>
      </c>
      <c r="B78" s="34" t="s">
        <v>322</v>
      </c>
      <c r="C78" s="34" t="s">
        <v>323</v>
      </c>
      <c r="D78" s="35" t="s">
        <v>489</v>
      </c>
      <c r="E78" s="35" t="s">
        <v>490</v>
      </c>
      <c r="F78" s="35" t="s">
        <v>491</v>
      </c>
      <c r="G78" s="35" t="s">
        <v>492</v>
      </c>
      <c r="H78" s="35" t="s">
        <v>493</v>
      </c>
      <c r="I78" s="35" t="s">
        <v>494</v>
      </c>
      <c r="J78" s="43">
        <f>1/4</f>
        <v>0.25</v>
      </c>
      <c r="L78" s="36">
        <v>3</v>
      </c>
    </row>
    <row r="79" spans="1:12">
      <c r="A79" s="3" t="s">
        <v>495</v>
      </c>
      <c r="B79" s="3" t="s">
        <v>322</v>
      </c>
      <c r="C79" s="3" t="s">
        <v>323</v>
      </c>
      <c r="D79" s="10" t="s">
        <v>489</v>
      </c>
      <c r="E79" s="10" t="s">
        <v>490</v>
      </c>
      <c r="F79" s="10" t="s">
        <v>491</v>
      </c>
      <c r="G79" s="10" t="s">
        <v>492</v>
      </c>
      <c r="H79" s="10" t="s">
        <v>496</v>
      </c>
      <c r="I79" s="10" t="s">
        <v>497</v>
      </c>
      <c r="J79" s="41">
        <f>1/4</f>
        <v>0.25</v>
      </c>
      <c r="L79">
        <v>3</v>
      </c>
    </row>
    <row r="80" spans="1:12">
      <c r="A80" s="3" t="s">
        <v>498</v>
      </c>
      <c r="B80" s="3" t="s">
        <v>322</v>
      </c>
      <c r="C80" s="3" t="s">
        <v>323</v>
      </c>
      <c r="D80" s="10" t="s">
        <v>489</v>
      </c>
      <c r="E80" s="10" t="s">
        <v>490</v>
      </c>
      <c r="F80" s="10" t="s">
        <v>491</v>
      </c>
      <c r="G80" s="10" t="s">
        <v>492</v>
      </c>
      <c r="H80" s="10" t="s">
        <v>499</v>
      </c>
      <c r="I80" s="10" t="s">
        <v>500</v>
      </c>
      <c r="J80" s="41">
        <f>1/4</f>
        <v>0.25</v>
      </c>
      <c r="L80">
        <v>3</v>
      </c>
    </row>
    <row r="81" spans="1:12" s="33" customFormat="1">
      <c r="A81" s="31" t="s">
        <v>501</v>
      </c>
      <c r="B81" s="31" t="s">
        <v>322</v>
      </c>
      <c r="C81" s="31" t="s">
        <v>323</v>
      </c>
      <c r="D81" s="32" t="s">
        <v>489</v>
      </c>
      <c r="E81" s="32" t="s">
        <v>490</v>
      </c>
      <c r="F81" s="32" t="s">
        <v>491</v>
      </c>
      <c r="G81" s="32" t="s">
        <v>492</v>
      </c>
      <c r="H81" s="32" t="s">
        <v>502</v>
      </c>
      <c r="I81" s="32" t="s">
        <v>503</v>
      </c>
      <c r="J81" s="42">
        <f>1/4</f>
        <v>0.25</v>
      </c>
      <c r="L81" s="33">
        <v>3</v>
      </c>
    </row>
    <row r="82" spans="1:12" s="36" customFormat="1">
      <c r="A82" s="34" t="s">
        <v>504</v>
      </c>
      <c r="B82" s="34" t="s">
        <v>322</v>
      </c>
      <c r="C82" s="34" t="s">
        <v>323</v>
      </c>
      <c r="D82" s="35" t="s">
        <v>489</v>
      </c>
      <c r="E82" s="35" t="s">
        <v>490</v>
      </c>
      <c r="F82" s="35" t="s">
        <v>505</v>
      </c>
      <c r="G82" s="35" t="s">
        <v>506</v>
      </c>
      <c r="H82" s="35" t="s">
        <v>507</v>
      </c>
      <c r="I82" s="35" t="s">
        <v>508</v>
      </c>
      <c r="J82" s="43">
        <v>1</v>
      </c>
      <c r="L82" s="36">
        <v>2</v>
      </c>
    </row>
    <row r="83" spans="1:12" s="33" customFormat="1">
      <c r="A83" s="31" t="s">
        <v>509</v>
      </c>
      <c r="B83" s="31" t="s">
        <v>322</v>
      </c>
      <c r="C83" s="31" t="s">
        <v>323</v>
      </c>
      <c r="D83" s="32" t="s">
        <v>489</v>
      </c>
      <c r="E83" s="32" t="s">
        <v>490</v>
      </c>
      <c r="F83" s="32" t="s">
        <v>505</v>
      </c>
      <c r="G83" s="32" t="s">
        <v>506</v>
      </c>
      <c r="H83" s="32" t="s">
        <v>510</v>
      </c>
      <c r="I83" s="32" t="s">
        <v>511</v>
      </c>
      <c r="J83" s="42">
        <v>1</v>
      </c>
      <c r="L83" s="33">
        <v>3</v>
      </c>
    </row>
    <row r="84" spans="1:12" s="36" customFormat="1">
      <c r="A84" s="34" t="s">
        <v>512</v>
      </c>
      <c r="B84" s="34" t="s">
        <v>322</v>
      </c>
      <c r="C84" s="34" t="s">
        <v>323</v>
      </c>
      <c r="D84" s="35" t="s">
        <v>489</v>
      </c>
      <c r="E84" s="35" t="s">
        <v>490</v>
      </c>
      <c r="F84" s="35" t="s">
        <v>513</v>
      </c>
      <c r="G84" s="35" t="s">
        <v>514</v>
      </c>
      <c r="H84" s="35" t="s">
        <v>515</v>
      </c>
      <c r="I84" s="35" t="s">
        <v>516</v>
      </c>
      <c r="J84" s="43">
        <f>1/2</f>
        <v>0.5</v>
      </c>
      <c r="L84" s="36">
        <v>2</v>
      </c>
    </row>
    <row r="85" spans="1:12" s="33" customFormat="1">
      <c r="A85" s="31" t="s">
        <v>517</v>
      </c>
      <c r="B85" s="31" t="s">
        <v>322</v>
      </c>
      <c r="C85" s="31" t="s">
        <v>323</v>
      </c>
      <c r="D85" s="32" t="s">
        <v>489</v>
      </c>
      <c r="E85" s="32" t="s">
        <v>490</v>
      </c>
      <c r="F85" s="32" t="s">
        <v>513</v>
      </c>
      <c r="G85" s="32" t="s">
        <v>514</v>
      </c>
      <c r="H85" s="32" t="s">
        <v>518</v>
      </c>
      <c r="I85" s="32" t="s">
        <v>519</v>
      </c>
      <c r="J85" s="42">
        <f>1/2</f>
        <v>0.5</v>
      </c>
      <c r="L85" s="33">
        <v>3</v>
      </c>
    </row>
    <row r="86" spans="1:12" s="36" customFormat="1">
      <c r="A86" s="34" t="s">
        <v>520</v>
      </c>
      <c r="B86" s="34" t="s">
        <v>322</v>
      </c>
      <c r="C86" s="34" t="s">
        <v>323</v>
      </c>
      <c r="D86" s="35" t="s">
        <v>489</v>
      </c>
      <c r="E86" s="35" t="s">
        <v>490</v>
      </c>
      <c r="F86" s="35" t="s">
        <v>521</v>
      </c>
      <c r="G86" s="35" t="s">
        <v>522</v>
      </c>
      <c r="H86" s="35" t="s">
        <v>523</v>
      </c>
      <c r="I86" s="35" t="s">
        <v>524</v>
      </c>
      <c r="J86" s="43">
        <f>1/5</f>
        <v>0.2</v>
      </c>
      <c r="L86" s="36">
        <v>3</v>
      </c>
    </row>
    <row r="87" spans="1:12">
      <c r="A87" s="3" t="s">
        <v>525</v>
      </c>
      <c r="B87" s="3" t="s">
        <v>322</v>
      </c>
      <c r="C87" s="3" t="s">
        <v>323</v>
      </c>
      <c r="D87" s="10" t="s">
        <v>489</v>
      </c>
      <c r="E87" s="10" t="s">
        <v>490</v>
      </c>
      <c r="F87" s="10" t="s">
        <v>521</v>
      </c>
      <c r="G87" s="10" t="s">
        <v>522</v>
      </c>
      <c r="H87" s="10" t="s">
        <v>526</v>
      </c>
      <c r="I87" s="10" t="s">
        <v>527</v>
      </c>
      <c r="J87" s="41">
        <f>1/5</f>
        <v>0.2</v>
      </c>
      <c r="L87">
        <v>3</v>
      </c>
    </row>
    <row r="88" spans="1:12">
      <c r="A88" s="3" t="s">
        <v>528</v>
      </c>
      <c r="B88" s="3" t="s">
        <v>322</v>
      </c>
      <c r="C88" s="3" t="s">
        <v>323</v>
      </c>
      <c r="D88" s="10" t="s">
        <v>489</v>
      </c>
      <c r="E88" s="10" t="s">
        <v>490</v>
      </c>
      <c r="F88" s="10" t="s">
        <v>521</v>
      </c>
      <c r="G88" s="10" t="s">
        <v>522</v>
      </c>
      <c r="H88" s="10" t="s">
        <v>529</v>
      </c>
      <c r="I88" s="10" t="s">
        <v>530</v>
      </c>
      <c r="J88" s="41">
        <f>1/5</f>
        <v>0.2</v>
      </c>
      <c r="L88">
        <v>3</v>
      </c>
    </row>
    <row r="89" spans="1:12">
      <c r="A89" s="3" t="s">
        <v>531</v>
      </c>
      <c r="B89" s="3" t="s">
        <v>322</v>
      </c>
      <c r="C89" s="3" t="s">
        <v>323</v>
      </c>
      <c r="D89" s="10" t="s">
        <v>489</v>
      </c>
      <c r="E89" s="10" t="s">
        <v>490</v>
      </c>
      <c r="F89" s="10" t="s">
        <v>521</v>
      </c>
      <c r="G89" s="10" t="s">
        <v>522</v>
      </c>
      <c r="H89" s="10" t="s">
        <v>532</v>
      </c>
      <c r="I89" s="10" t="s">
        <v>533</v>
      </c>
      <c r="J89" s="41">
        <f>1/5</f>
        <v>0.2</v>
      </c>
      <c r="L89">
        <v>3</v>
      </c>
    </row>
    <row r="90" spans="1:12" s="33" customFormat="1">
      <c r="A90" s="31" t="s">
        <v>534</v>
      </c>
      <c r="B90" s="31" t="s">
        <v>322</v>
      </c>
      <c r="C90" s="31" t="s">
        <v>323</v>
      </c>
      <c r="D90" s="32" t="s">
        <v>489</v>
      </c>
      <c r="E90" s="32" t="s">
        <v>490</v>
      </c>
      <c r="F90" s="32" t="s">
        <v>521</v>
      </c>
      <c r="G90" s="32" t="s">
        <v>522</v>
      </c>
      <c r="H90" s="32" t="s">
        <v>535</v>
      </c>
      <c r="I90" s="32" t="s">
        <v>536</v>
      </c>
      <c r="J90" s="42">
        <f>1/5</f>
        <v>0.2</v>
      </c>
      <c r="L90" s="33">
        <v>1</v>
      </c>
    </row>
    <row r="91" spans="1:12" s="36" customFormat="1">
      <c r="A91" s="34" t="s">
        <v>537</v>
      </c>
      <c r="B91" s="34" t="s">
        <v>322</v>
      </c>
      <c r="C91" s="34" t="s">
        <v>323</v>
      </c>
      <c r="D91" s="35" t="s">
        <v>489</v>
      </c>
      <c r="E91" s="35" t="s">
        <v>490</v>
      </c>
      <c r="F91" s="35" t="s">
        <v>538</v>
      </c>
      <c r="G91" s="35" t="s">
        <v>539</v>
      </c>
      <c r="H91" s="35" t="s">
        <v>540</v>
      </c>
      <c r="I91" s="35" t="s">
        <v>541</v>
      </c>
      <c r="J91" s="43">
        <f>1/6</f>
        <v>0.16666666666666666</v>
      </c>
      <c r="L91" s="36">
        <v>1</v>
      </c>
    </row>
    <row r="92" spans="1:12">
      <c r="A92" s="3" t="s">
        <v>542</v>
      </c>
      <c r="B92" s="3" t="s">
        <v>322</v>
      </c>
      <c r="C92" s="3" t="s">
        <v>323</v>
      </c>
      <c r="D92" s="10" t="s">
        <v>489</v>
      </c>
      <c r="E92" s="10" t="s">
        <v>490</v>
      </c>
      <c r="F92" s="10" t="s">
        <v>538</v>
      </c>
      <c r="G92" s="10" t="s">
        <v>539</v>
      </c>
      <c r="H92" s="10" t="s">
        <v>543</v>
      </c>
      <c r="I92" s="10" t="s">
        <v>544</v>
      </c>
      <c r="J92" s="41">
        <f>1/6</f>
        <v>0.16666666666666666</v>
      </c>
      <c r="L92">
        <v>1</v>
      </c>
    </row>
    <row r="93" spans="1:12">
      <c r="A93" s="3" t="s">
        <v>545</v>
      </c>
      <c r="B93" s="3" t="s">
        <v>322</v>
      </c>
      <c r="C93" s="3" t="s">
        <v>323</v>
      </c>
      <c r="D93" s="10" t="s">
        <v>489</v>
      </c>
      <c r="E93" s="10" t="s">
        <v>490</v>
      </c>
      <c r="F93" s="10" t="s">
        <v>538</v>
      </c>
      <c r="G93" s="10" t="s">
        <v>539</v>
      </c>
      <c r="H93" s="10" t="s">
        <v>546</v>
      </c>
      <c r="I93" s="10" t="s">
        <v>547</v>
      </c>
      <c r="J93" s="41">
        <f>1/6</f>
        <v>0.16666666666666666</v>
      </c>
      <c r="L93">
        <v>1</v>
      </c>
    </row>
    <row r="94" spans="1:12">
      <c r="A94" s="3" t="s">
        <v>548</v>
      </c>
      <c r="B94" s="3" t="s">
        <v>322</v>
      </c>
      <c r="C94" s="3" t="s">
        <v>323</v>
      </c>
      <c r="D94" s="10" t="s">
        <v>489</v>
      </c>
      <c r="E94" s="10" t="s">
        <v>490</v>
      </c>
      <c r="F94" s="10" t="s">
        <v>538</v>
      </c>
      <c r="G94" s="10" t="s">
        <v>539</v>
      </c>
      <c r="H94" s="10" t="s">
        <v>549</v>
      </c>
      <c r="I94" s="10" t="s">
        <v>550</v>
      </c>
      <c r="J94" s="41">
        <f>1/6</f>
        <v>0.16666666666666666</v>
      </c>
      <c r="L94">
        <v>3</v>
      </c>
    </row>
    <row r="95" spans="1:12">
      <c r="A95" s="3" t="s">
        <v>551</v>
      </c>
      <c r="B95" s="3" t="s">
        <v>322</v>
      </c>
      <c r="C95" s="3" t="s">
        <v>323</v>
      </c>
      <c r="D95" s="10" t="s">
        <v>489</v>
      </c>
      <c r="E95" s="10" t="s">
        <v>490</v>
      </c>
      <c r="F95" s="10" t="s">
        <v>538</v>
      </c>
      <c r="G95" s="10" t="s">
        <v>539</v>
      </c>
      <c r="H95" s="10" t="s">
        <v>552</v>
      </c>
      <c r="I95" s="10" t="s">
        <v>553</v>
      </c>
      <c r="J95" s="41">
        <f>1/6</f>
        <v>0.16666666666666666</v>
      </c>
      <c r="L95">
        <v>3</v>
      </c>
    </row>
    <row r="96" spans="1:12" s="33" customFormat="1">
      <c r="A96" s="31" t="s">
        <v>554</v>
      </c>
      <c r="B96" s="31" t="s">
        <v>322</v>
      </c>
      <c r="C96" s="31" t="s">
        <v>323</v>
      </c>
      <c r="D96" s="32" t="s">
        <v>489</v>
      </c>
      <c r="E96" s="32" t="s">
        <v>490</v>
      </c>
      <c r="F96" s="32" t="s">
        <v>538</v>
      </c>
      <c r="G96" s="32" t="s">
        <v>539</v>
      </c>
      <c r="H96" s="32" t="s">
        <v>555</v>
      </c>
      <c r="I96" s="32" t="s">
        <v>556</v>
      </c>
      <c r="J96" s="42">
        <f>1/6</f>
        <v>0.16666666666666666</v>
      </c>
      <c r="L96" s="33">
        <v>3</v>
      </c>
    </row>
    <row r="97" spans="1:12" s="36" customFormat="1">
      <c r="A97" s="34" t="s">
        <v>557</v>
      </c>
      <c r="B97" s="34" t="s">
        <v>322</v>
      </c>
      <c r="C97" s="34" t="s">
        <v>323</v>
      </c>
      <c r="D97" s="35" t="s">
        <v>489</v>
      </c>
      <c r="E97" s="35" t="s">
        <v>490</v>
      </c>
      <c r="F97" s="35" t="s">
        <v>558</v>
      </c>
      <c r="G97" s="35" t="s">
        <v>559</v>
      </c>
      <c r="H97" s="35" t="s">
        <v>560</v>
      </c>
      <c r="I97" s="35" t="s">
        <v>561</v>
      </c>
      <c r="J97" s="43">
        <f>1/2</f>
        <v>0.5</v>
      </c>
      <c r="L97" s="36">
        <v>1</v>
      </c>
    </row>
    <row r="98" spans="1:12" s="33" customFormat="1">
      <c r="A98" s="31" t="s">
        <v>562</v>
      </c>
      <c r="B98" s="31" t="s">
        <v>322</v>
      </c>
      <c r="C98" s="31" t="s">
        <v>323</v>
      </c>
      <c r="D98" s="32" t="s">
        <v>489</v>
      </c>
      <c r="E98" s="32" t="s">
        <v>490</v>
      </c>
      <c r="F98" s="32" t="s">
        <v>558</v>
      </c>
      <c r="G98" s="32" t="s">
        <v>559</v>
      </c>
      <c r="H98" s="32" t="s">
        <v>563</v>
      </c>
      <c r="I98" s="32" t="s">
        <v>564</v>
      </c>
      <c r="J98" s="42">
        <f>1/2</f>
        <v>0.5</v>
      </c>
      <c r="L98" s="33">
        <v>1</v>
      </c>
    </row>
    <row r="99" spans="1:12" s="36" customFormat="1">
      <c r="A99" s="34" t="s">
        <v>565</v>
      </c>
      <c r="B99" s="34" t="s">
        <v>322</v>
      </c>
      <c r="C99" s="34" t="s">
        <v>323</v>
      </c>
      <c r="D99" s="35" t="s">
        <v>566</v>
      </c>
      <c r="E99" s="35" t="s">
        <v>567</v>
      </c>
      <c r="F99" s="35" t="s">
        <v>568</v>
      </c>
      <c r="G99" s="35" t="s">
        <v>569</v>
      </c>
      <c r="H99" s="35" t="s">
        <v>570</v>
      </c>
      <c r="I99" s="35" t="s">
        <v>571</v>
      </c>
      <c r="J99" s="43">
        <f>1/3</f>
        <v>0.33333333333333331</v>
      </c>
      <c r="L99" s="36">
        <v>2</v>
      </c>
    </row>
    <row r="100" spans="1:12">
      <c r="A100" s="3" t="s">
        <v>572</v>
      </c>
      <c r="B100" s="3" t="s">
        <v>322</v>
      </c>
      <c r="C100" s="3" t="s">
        <v>323</v>
      </c>
      <c r="D100" s="10" t="s">
        <v>566</v>
      </c>
      <c r="E100" s="10" t="s">
        <v>567</v>
      </c>
      <c r="F100" s="10" t="s">
        <v>568</v>
      </c>
      <c r="G100" s="10" t="s">
        <v>569</v>
      </c>
      <c r="H100" s="10" t="s">
        <v>573</v>
      </c>
      <c r="I100" s="10" t="s">
        <v>574</v>
      </c>
      <c r="J100" s="41">
        <f>1/3</f>
        <v>0.33333333333333331</v>
      </c>
      <c r="L100">
        <v>2</v>
      </c>
    </row>
    <row r="101" spans="1:12" s="33" customFormat="1">
      <c r="A101" s="31" t="s">
        <v>575</v>
      </c>
      <c r="B101" s="31" t="s">
        <v>322</v>
      </c>
      <c r="C101" s="31" t="s">
        <v>323</v>
      </c>
      <c r="D101" s="32" t="s">
        <v>566</v>
      </c>
      <c r="E101" s="32" t="s">
        <v>567</v>
      </c>
      <c r="F101" s="32" t="s">
        <v>568</v>
      </c>
      <c r="G101" s="32" t="s">
        <v>569</v>
      </c>
      <c r="H101" s="32" t="s">
        <v>576</v>
      </c>
      <c r="I101" s="32" t="s">
        <v>577</v>
      </c>
      <c r="J101" s="42">
        <f>1/3</f>
        <v>0.33333333333333331</v>
      </c>
      <c r="L101" s="33">
        <v>2</v>
      </c>
    </row>
    <row r="102" spans="1:12" s="36" customFormat="1">
      <c r="A102" s="34" t="s">
        <v>578</v>
      </c>
      <c r="B102" s="34" t="s">
        <v>322</v>
      </c>
      <c r="C102" s="34" t="s">
        <v>323</v>
      </c>
      <c r="D102" s="35" t="s">
        <v>566</v>
      </c>
      <c r="E102" s="35" t="s">
        <v>567</v>
      </c>
      <c r="F102" s="35" t="s">
        <v>579</v>
      </c>
      <c r="G102" s="35" t="s">
        <v>580</v>
      </c>
      <c r="H102" s="35" t="s">
        <v>581</v>
      </c>
      <c r="I102" s="35" t="s">
        <v>582</v>
      </c>
      <c r="J102" s="43">
        <f>1/3</f>
        <v>0.33333333333333331</v>
      </c>
      <c r="L102" s="36">
        <v>2</v>
      </c>
    </row>
    <row r="103" spans="1:12">
      <c r="A103" s="3" t="s">
        <v>583</v>
      </c>
      <c r="B103" s="3" t="s">
        <v>322</v>
      </c>
      <c r="C103" s="3" t="s">
        <v>323</v>
      </c>
      <c r="D103" s="10" t="s">
        <v>566</v>
      </c>
      <c r="E103" s="10" t="s">
        <v>567</v>
      </c>
      <c r="F103" s="10" t="s">
        <v>579</v>
      </c>
      <c r="G103" s="10" t="s">
        <v>580</v>
      </c>
      <c r="H103" s="10" t="s">
        <v>584</v>
      </c>
      <c r="I103" s="10" t="s">
        <v>585</v>
      </c>
      <c r="J103" s="41">
        <f>1/3</f>
        <v>0.33333333333333331</v>
      </c>
      <c r="L103">
        <v>2</v>
      </c>
    </row>
    <row r="104" spans="1:12" s="33" customFormat="1">
      <c r="A104" s="31" t="s">
        <v>586</v>
      </c>
      <c r="B104" s="31" t="s">
        <v>322</v>
      </c>
      <c r="C104" s="31" t="s">
        <v>323</v>
      </c>
      <c r="D104" s="32" t="s">
        <v>566</v>
      </c>
      <c r="E104" s="32" t="s">
        <v>567</v>
      </c>
      <c r="F104" s="32" t="s">
        <v>579</v>
      </c>
      <c r="G104" s="32" t="s">
        <v>580</v>
      </c>
      <c r="H104" s="32" t="s">
        <v>587</v>
      </c>
      <c r="I104" s="32" t="s">
        <v>588</v>
      </c>
      <c r="J104" s="42">
        <f>1/3</f>
        <v>0.33333333333333331</v>
      </c>
      <c r="L104" s="33">
        <v>3</v>
      </c>
    </row>
    <row r="105" spans="1:12" s="36" customFormat="1">
      <c r="A105" s="34" t="s">
        <v>589</v>
      </c>
      <c r="B105" s="34" t="s">
        <v>322</v>
      </c>
      <c r="C105" s="34" t="s">
        <v>323</v>
      </c>
      <c r="D105" s="35" t="s">
        <v>566</v>
      </c>
      <c r="E105" s="35" t="s">
        <v>567</v>
      </c>
      <c r="F105" s="35" t="s">
        <v>590</v>
      </c>
      <c r="G105" s="35" t="s">
        <v>591</v>
      </c>
      <c r="H105" s="35" t="s">
        <v>592</v>
      </c>
      <c r="I105" s="35" t="s">
        <v>593</v>
      </c>
      <c r="J105" s="43">
        <f>1/3</f>
        <v>0.33333333333333331</v>
      </c>
      <c r="L105" s="36">
        <v>2</v>
      </c>
    </row>
    <row r="106" spans="1:12">
      <c r="A106" s="3" t="s">
        <v>594</v>
      </c>
      <c r="B106" s="3" t="s">
        <v>322</v>
      </c>
      <c r="C106" s="3" t="s">
        <v>323</v>
      </c>
      <c r="D106" s="10" t="s">
        <v>566</v>
      </c>
      <c r="E106" s="10" t="s">
        <v>567</v>
      </c>
      <c r="F106" s="10" t="s">
        <v>590</v>
      </c>
      <c r="G106" s="10" t="s">
        <v>591</v>
      </c>
      <c r="H106" s="10" t="s">
        <v>595</v>
      </c>
      <c r="I106" s="10" t="s">
        <v>596</v>
      </c>
      <c r="J106" s="41">
        <f>1/3</f>
        <v>0.33333333333333331</v>
      </c>
      <c r="L106">
        <v>2</v>
      </c>
    </row>
    <row r="107" spans="1:12" s="33" customFormat="1">
      <c r="A107" s="31" t="s">
        <v>597</v>
      </c>
      <c r="B107" s="31" t="s">
        <v>322</v>
      </c>
      <c r="C107" s="31" t="s">
        <v>323</v>
      </c>
      <c r="D107" s="32" t="s">
        <v>566</v>
      </c>
      <c r="E107" s="32" t="s">
        <v>567</v>
      </c>
      <c r="F107" s="32" t="s">
        <v>590</v>
      </c>
      <c r="G107" s="32" t="s">
        <v>591</v>
      </c>
      <c r="H107" s="32" t="s">
        <v>598</v>
      </c>
      <c r="I107" s="32" t="s">
        <v>599</v>
      </c>
      <c r="J107" s="42">
        <f>1/3</f>
        <v>0.33333333333333331</v>
      </c>
      <c r="L107" s="33">
        <v>2</v>
      </c>
    </row>
    <row r="108" spans="1:12" s="36" customFormat="1">
      <c r="A108" s="34" t="s">
        <v>600</v>
      </c>
      <c r="B108" s="34" t="s">
        <v>322</v>
      </c>
      <c r="C108" s="34" t="s">
        <v>323</v>
      </c>
      <c r="D108" s="35" t="s">
        <v>566</v>
      </c>
      <c r="E108" s="35" t="s">
        <v>567</v>
      </c>
      <c r="F108" s="35" t="s">
        <v>601</v>
      </c>
      <c r="G108" s="35" t="s">
        <v>602</v>
      </c>
      <c r="H108" s="35" t="s">
        <v>603</v>
      </c>
      <c r="I108" s="35" t="s">
        <v>604</v>
      </c>
      <c r="J108" s="43">
        <f>1/5</f>
        <v>0.2</v>
      </c>
      <c r="L108" s="36">
        <v>3</v>
      </c>
    </row>
    <row r="109" spans="1:12">
      <c r="A109" s="3" t="s">
        <v>605</v>
      </c>
      <c r="B109" s="3" t="s">
        <v>322</v>
      </c>
      <c r="C109" s="3" t="s">
        <v>323</v>
      </c>
      <c r="D109" s="10" t="s">
        <v>566</v>
      </c>
      <c r="E109" s="10" t="s">
        <v>567</v>
      </c>
      <c r="F109" s="10" t="s">
        <v>601</v>
      </c>
      <c r="G109" s="10" t="s">
        <v>602</v>
      </c>
      <c r="H109" s="10" t="s">
        <v>606</v>
      </c>
      <c r="I109" s="10" t="s">
        <v>607</v>
      </c>
      <c r="J109" s="41">
        <f>1/5</f>
        <v>0.2</v>
      </c>
      <c r="L109">
        <v>3</v>
      </c>
    </row>
    <row r="110" spans="1:12">
      <c r="A110" s="3" t="s">
        <v>608</v>
      </c>
      <c r="B110" s="3" t="s">
        <v>322</v>
      </c>
      <c r="C110" s="3" t="s">
        <v>323</v>
      </c>
      <c r="D110" s="10" t="s">
        <v>566</v>
      </c>
      <c r="E110" s="10" t="s">
        <v>567</v>
      </c>
      <c r="F110" s="10" t="s">
        <v>601</v>
      </c>
      <c r="G110" s="10" t="s">
        <v>602</v>
      </c>
      <c r="H110" s="10" t="s">
        <v>609</v>
      </c>
      <c r="I110" s="10" t="s">
        <v>610</v>
      </c>
      <c r="J110" s="41">
        <f>1/5</f>
        <v>0.2</v>
      </c>
      <c r="L110">
        <v>3</v>
      </c>
    </row>
    <row r="111" spans="1:12">
      <c r="A111" s="3" t="s">
        <v>611</v>
      </c>
      <c r="B111" s="3" t="s">
        <v>322</v>
      </c>
      <c r="C111" s="3" t="s">
        <v>323</v>
      </c>
      <c r="D111" s="10" t="s">
        <v>566</v>
      </c>
      <c r="E111" s="10" t="s">
        <v>567</v>
      </c>
      <c r="F111" s="10" t="s">
        <v>601</v>
      </c>
      <c r="G111" s="10" t="s">
        <v>602</v>
      </c>
      <c r="H111" s="10" t="s">
        <v>612</v>
      </c>
      <c r="I111" s="10" t="s">
        <v>613</v>
      </c>
      <c r="J111" s="41">
        <f>1/5</f>
        <v>0.2</v>
      </c>
      <c r="L111">
        <v>3</v>
      </c>
    </row>
    <row r="112" spans="1:12" s="33" customFormat="1">
      <c r="A112" s="31" t="s">
        <v>614</v>
      </c>
      <c r="B112" s="31" t="s">
        <v>322</v>
      </c>
      <c r="C112" s="31" t="s">
        <v>323</v>
      </c>
      <c r="D112" s="32" t="s">
        <v>566</v>
      </c>
      <c r="E112" s="32" t="s">
        <v>567</v>
      </c>
      <c r="F112" s="32" t="s">
        <v>601</v>
      </c>
      <c r="G112" s="32" t="s">
        <v>602</v>
      </c>
      <c r="H112" s="32" t="s">
        <v>615</v>
      </c>
      <c r="I112" s="32" t="s">
        <v>616</v>
      </c>
      <c r="J112" s="42">
        <f>1/5</f>
        <v>0.2</v>
      </c>
      <c r="L112" s="33">
        <v>2</v>
      </c>
    </row>
    <row r="113" spans="1:12" s="36" customFormat="1">
      <c r="A113" s="34" t="s">
        <v>617</v>
      </c>
      <c r="B113" s="34" t="s">
        <v>322</v>
      </c>
      <c r="C113" s="34" t="s">
        <v>323</v>
      </c>
      <c r="D113" s="35" t="s">
        <v>566</v>
      </c>
      <c r="E113" s="35" t="s">
        <v>567</v>
      </c>
      <c r="F113" s="35" t="s">
        <v>618</v>
      </c>
      <c r="G113" s="35" t="s">
        <v>619</v>
      </c>
      <c r="H113" s="35" t="s">
        <v>620</v>
      </c>
      <c r="I113" s="35" t="s">
        <v>621</v>
      </c>
      <c r="J113" s="43">
        <f>1/2</f>
        <v>0.5</v>
      </c>
      <c r="L113" s="36">
        <v>1</v>
      </c>
    </row>
    <row r="114" spans="1:12" s="33" customFormat="1">
      <c r="A114" s="31" t="s">
        <v>622</v>
      </c>
      <c r="B114" s="31" t="s">
        <v>322</v>
      </c>
      <c r="C114" s="31" t="s">
        <v>323</v>
      </c>
      <c r="D114" s="32" t="s">
        <v>566</v>
      </c>
      <c r="E114" s="32" t="s">
        <v>567</v>
      </c>
      <c r="F114" s="32" t="s">
        <v>618</v>
      </c>
      <c r="G114" s="32" t="s">
        <v>619</v>
      </c>
      <c r="H114" s="32" t="s">
        <v>623</v>
      </c>
      <c r="I114" s="32" t="s">
        <v>624</v>
      </c>
      <c r="J114" s="42">
        <f>1/2</f>
        <v>0.5</v>
      </c>
      <c r="L114" s="33">
        <v>1</v>
      </c>
    </row>
    <row r="115" spans="1:12" s="36" customFormat="1">
      <c r="A115" s="34" t="s">
        <v>625</v>
      </c>
      <c r="B115" s="34" t="s">
        <v>626</v>
      </c>
      <c r="C115" s="34" t="s">
        <v>627</v>
      </c>
      <c r="D115" s="35" t="s">
        <v>628</v>
      </c>
      <c r="E115" s="35" t="s">
        <v>629</v>
      </c>
      <c r="F115" s="35" t="s">
        <v>630</v>
      </c>
      <c r="G115" s="35" t="s">
        <v>631</v>
      </c>
      <c r="H115" s="35" t="s">
        <v>632</v>
      </c>
      <c r="I115" s="35" t="s">
        <v>633</v>
      </c>
      <c r="J115" s="43">
        <f>1/2</f>
        <v>0.5</v>
      </c>
      <c r="L115" s="36">
        <v>1</v>
      </c>
    </row>
    <row r="116" spans="1:12" s="33" customFormat="1">
      <c r="A116" s="31" t="s">
        <v>634</v>
      </c>
      <c r="B116" s="31" t="s">
        <v>626</v>
      </c>
      <c r="C116" s="31" t="s">
        <v>627</v>
      </c>
      <c r="D116" s="32" t="s">
        <v>628</v>
      </c>
      <c r="E116" s="32" t="s">
        <v>629</v>
      </c>
      <c r="F116" s="32" t="s">
        <v>630</v>
      </c>
      <c r="G116" s="32" t="s">
        <v>631</v>
      </c>
      <c r="H116" s="32" t="s">
        <v>635</v>
      </c>
      <c r="I116" s="32" t="s">
        <v>636</v>
      </c>
      <c r="J116" s="42">
        <f>1/2</f>
        <v>0.5</v>
      </c>
      <c r="L116" s="33">
        <v>1</v>
      </c>
    </row>
    <row r="117" spans="1:12" s="36" customFormat="1">
      <c r="A117" s="34" t="s">
        <v>637</v>
      </c>
      <c r="B117" s="34" t="s">
        <v>626</v>
      </c>
      <c r="C117" s="34" t="s">
        <v>627</v>
      </c>
      <c r="D117" s="35" t="s">
        <v>628</v>
      </c>
      <c r="E117" s="35" t="s">
        <v>629</v>
      </c>
      <c r="F117" s="35" t="s">
        <v>638</v>
      </c>
      <c r="G117" s="35" t="s">
        <v>639</v>
      </c>
      <c r="H117" s="35" t="s">
        <v>640</v>
      </c>
      <c r="I117" s="35" t="s">
        <v>641</v>
      </c>
      <c r="J117" s="43">
        <f>1/4</f>
        <v>0.25</v>
      </c>
      <c r="L117" s="36">
        <v>3</v>
      </c>
    </row>
    <row r="118" spans="1:12">
      <c r="A118" s="3" t="s">
        <v>642</v>
      </c>
      <c r="B118" s="3" t="s">
        <v>626</v>
      </c>
      <c r="C118" s="3" t="s">
        <v>627</v>
      </c>
      <c r="D118" s="10" t="s">
        <v>628</v>
      </c>
      <c r="E118" s="10" t="s">
        <v>629</v>
      </c>
      <c r="F118" s="10" t="s">
        <v>638</v>
      </c>
      <c r="G118" s="10" t="s">
        <v>639</v>
      </c>
      <c r="H118" s="10" t="s">
        <v>643</v>
      </c>
      <c r="I118" s="10" t="s">
        <v>644</v>
      </c>
      <c r="J118" s="41">
        <f>1/4</f>
        <v>0.25</v>
      </c>
      <c r="L118">
        <v>3</v>
      </c>
    </row>
    <row r="119" spans="1:12">
      <c r="A119" s="3" t="s">
        <v>645</v>
      </c>
      <c r="B119" s="3" t="s">
        <v>626</v>
      </c>
      <c r="C119" s="3" t="s">
        <v>627</v>
      </c>
      <c r="D119" s="10" t="s">
        <v>628</v>
      </c>
      <c r="E119" s="10" t="s">
        <v>629</v>
      </c>
      <c r="F119" s="10" t="s">
        <v>638</v>
      </c>
      <c r="G119" s="10" t="s">
        <v>639</v>
      </c>
      <c r="H119" s="10" t="s">
        <v>646</v>
      </c>
      <c r="I119" s="10" t="s">
        <v>647</v>
      </c>
      <c r="J119" s="41">
        <f>1/4</f>
        <v>0.25</v>
      </c>
      <c r="L119">
        <v>3</v>
      </c>
    </row>
    <row r="120" spans="1:12" s="33" customFormat="1">
      <c r="A120" s="31" t="s">
        <v>648</v>
      </c>
      <c r="B120" s="31" t="s">
        <v>626</v>
      </c>
      <c r="C120" s="31" t="s">
        <v>627</v>
      </c>
      <c r="D120" s="32" t="s">
        <v>628</v>
      </c>
      <c r="E120" s="32" t="s">
        <v>629</v>
      </c>
      <c r="F120" s="32" t="s">
        <v>638</v>
      </c>
      <c r="G120" s="32" t="s">
        <v>639</v>
      </c>
      <c r="H120" s="32" t="s">
        <v>649</v>
      </c>
      <c r="I120" s="32" t="s">
        <v>650</v>
      </c>
      <c r="J120" s="42">
        <f>1/4</f>
        <v>0.25</v>
      </c>
      <c r="L120" s="33">
        <v>3</v>
      </c>
    </row>
    <row r="121" spans="1:12" s="36" customFormat="1">
      <c r="A121" s="34" t="s">
        <v>651</v>
      </c>
      <c r="B121" s="34" t="s">
        <v>626</v>
      </c>
      <c r="C121" s="34" t="s">
        <v>627</v>
      </c>
      <c r="D121" s="35" t="s">
        <v>628</v>
      </c>
      <c r="E121" s="35" t="s">
        <v>629</v>
      </c>
      <c r="F121" s="35" t="s">
        <v>652</v>
      </c>
      <c r="G121" s="35" t="s">
        <v>653</v>
      </c>
      <c r="H121" s="35" t="s">
        <v>654</v>
      </c>
      <c r="I121" s="35" t="s">
        <v>655</v>
      </c>
      <c r="J121" s="43">
        <f>1/3</f>
        <v>0.33333333333333331</v>
      </c>
      <c r="L121" s="36">
        <v>1</v>
      </c>
    </row>
    <row r="122" spans="1:12">
      <c r="A122" s="3" t="s">
        <v>656</v>
      </c>
      <c r="B122" s="3" t="s">
        <v>626</v>
      </c>
      <c r="C122" s="3" t="s">
        <v>627</v>
      </c>
      <c r="D122" s="10" t="s">
        <v>628</v>
      </c>
      <c r="E122" s="10" t="s">
        <v>629</v>
      </c>
      <c r="F122" s="10" t="s">
        <v>652</v>
      </c>
      <c r="G122" s="10" t="s">
        <v>653</v>
      </c>
      <c r="H122" s="10" t="s">
        <v>657</v>
      </c>
      <c r="I122" s="10" t="s">
        <v>658</v>
      </c>
      <c r="J122" s="41">
        <f>1/3</f>
        <v>0.33333333333333331</v>
      </c>
      <c r="L122">
        <v>1</v>
      </c>
    </row>
    <row r="123" spans="1:12" s="33" customFormat="1">
      <c r="A123" s="31" t="s">
        <v>659</v>
      </c>
      <c r="B123" s="31" t="s">
        <v>626</v>
      </c>
      <c r="C123" s="31" t="s">
        <v>627</v>
      </c>
      <c r="D123" s="32" t="s">
        <v>628</v>
      </c>
      <c r="E123" s="32" t="s">
        <v>629</v>
      </c>
      <c r="F123" s="32" t="s">
        <v>652</v>
      </c>
      <c r="G123" s="32" t="s">
        <v>653</v>
      </c>
      <c r="H123" s="32" t="s">
        <v>660</v>
      </c>
      <c r="I123" s="32" t="s">
        <v>661</v>
      </c>
      <c r="J123" s="42">
        <f>1/3</f>
        <v>0.33333333333333331</v>
      </c>
      <c r="L123" s="33">
        <v>1</v>
      </c>
    </row>
    <row r="124" spans="1:12" s="36" customFormat="1">
      <c r="A124" s="34" t="s">
        <v>662</v>
      </c>
      <c r="B124" s="34" t="s">
        <v>626</v>
      </c>
      <c r="C124" s="34" t="s">
        <v>627</v>
      </c>
      <c r="D124" s="35" t="s">
        <v>628</v>
      </c>
      <c r="E124" s="35" t="s">
        <v>629</v>
      </c>
      <c r="F124" s="35" t="s">
        <v>663</v>
      </c>
      <c r="G124" s="35" t="s">
        <v>664</v>
      </c>
      <c r="H124" s="35" t="s">
        <v>665</v>
      </c>
      <c r="I124" s="35" t="s">
        <v>666</v>
      </c>
      <c r="J124" s="43">
        <f>1/4</f>
        <v>0.25</v>
      </c>
      <c r="L124" s="36">
        <v>1</v>
      </c>
    </row>
    <row r="125" spans="1:12">
      <c r="A125" s="3" t="s">
        <v>667</v>
      </c>
      <c r="B125" s="3" t="s">
        <v>626</v>
      </c>
      <c r="C125" s="3" t="s">
        <v>627</v>
      </c>
      <c r="D125" s="10" t="s">
        <v>628</v>
      </c>
      <c r="E125" s="10" t="s">
        <v>629</v>
      </c>
      <c r="F125" s="10" t="s">
        <v>663</v>
      </c>
      <c r="G125" s="10" t="s">
        <v>664</v>
      </c>
      <c r="H125" s="10" t="s">
        <v>668</v>
      </c>
      <c r="I125" s="10" t="s">
        <v>669</v>
      </c>
      <c r="J125" s="41">
        <f>1/4</f>
        <v>0.25</v>
      </c>
      <c r="L125">
        <v>1</v>
      </c>
    </row>
    <row r="126" spans="1:12">
      <c r="A126" s="3" t="s">
        <v>670</v>
      </c>
      <c r="B126" s="3" t="s">
        <v>626</v>
      </c>
      <c r="C126" s="3" t="s">
        <v>627</v>
      </c>
      <c r="D126" s="10" t="s">
        <v>628</v>
      </c>
      <c r="E126" s="10" t="s">
        <v>629</v>
      </c>
      <c r="F126" s="10" t="s">
        <v>663</v>
      </c>
      <c r="G126" s="10" t="s">
        <v>664</v>
      </c>
      <c r="H126" s="10" t="s">
        <v>671</v>
      </c>
      <c r="I126" s="10" t="s">
        <v>672</v>
      </c>
      <c r="J126" s="41">
        <f>1/4</f>
        <v>0.25</v>
      </c>
      <c r="L126">
        <v>1</v>
      </c>
    </row>
    <row r="127" spans="1:12" s="33" customFormat="1">
      <c r="A127" s="31" t="s">
        <v>673</v>
      </c>
      <c r="B127" s="31" t="s">
        <v>626</v>
      </c>
      <c r="C127" s="31" t="s">
        <v>627</v>
      </c>
      <c r="D127" s="32" t="s">
        <v>628</v>
      </c>
      <c r="E127" s="32" t="s">
        <v>629</v>
      </c>
      <c r="F127" s="32" t="s">
        <v>663</v>
      </c>
      <c r="G127" s="32" t="s">
        <v>664</v>
      </c>
      <c r="H127" s="32" t="s">
        <v>674</v>
      </c>
      <c r="I127" s="32" t="s">
        <v>675</v>
      </c>
      <c r="J127" s="42">
        <f>1/4</f>
        <v>0.25</v>
      </c>
      <c r="L127" s="33">
        <v>1</v>
      </c>
    </row>
    <row r="128" spans="1:12" s="36" customFormat="1">
      <c r="A128" s="34" t="s">
        <v>676</v>
      </c>
      <c r="B128" s="34" t="s">
        <v>626</v>
      </c>
      <c r="C128" s="34" t="s">
        <v>627</v>
      </c>
      <c r="D128" s="35" t="s">
        <v>628</v>
      </c>
      <c r="E128" s="35" t="s">
        <v>629</v>
      </c>
      <c r="F128" s="35" t="s">
        <v>677</v>
      </c>
      <c r="G128" s="35" t="s">
        <v>678</v>
      </c>
      <c r="H128" s="35" t="s">
        <v>679</v>
      </c>
      <c r="I128" s="35" t="s">
        <v>680</v>
      </c>
      <c r="J128" s="43">
        <f>1/5</f>
        <v>0.2</v>
      </c>
      <c r="L128" s="36">
        <v>1</v>
      </c>
    </row>
    <row r="129" spans="1:12">
      <c r="A129" s="3" t="s">
        <v>681</v>
      </c>
      <c r="B129" s="3" t="s">
        <v>626</v>
      </c>
      <c r="C129" s="3" t="s">
        <v>627</v>
      </c>
      <c r="D129" s="10" t="s">
        <v>628</v>
      </c>
      <c r="E129" s="10" t="s">
        <v>629</v>
      </c>
      <c r="F129" s="10" t="s">
        <v>677</v>
      </c>
      <c r="G129" s="10" t="s">
        <v>678</v>
      </c>
      <c r="H129" s="10" t="s">
        <v>682</v>
      </c>
      <c r="I129" s="10" t="s">
        <v>683</v>
      </c>
      <c r="J129" s="41">
        <f>1/5</f>
        <v>0.2</v>
      </c>
      <c r="L129">
        <v>1</v>
      </c>
    </row>
    <row r="130" spans="1:12">
      <c r="A130" s="3" t="s">
        <v>684</v>
      </c>
      <c r="B130" s="3" t="s">
        <v>626</v>
      </c>
      <c r="C130" s="3" t="s">
        <v>627</v>
      </c>
      <c r="D130" s="10" t="s">
        <v>628</v>
      </c>
      <c r="E130" s="10" t="s">
        <v>629</v>
      </c>
      <c r="F130" s="10" t="s">
        <v>677</v>
      </c>
      <c r="G130" s="10" t="s">
        <v>678</v>
      </c>
      <c r="H130" s="10" t="s">
        <v>685</v>
      </c>
      <c r="I130" s="10" t="s">
        <v>686</v>
      </c>
      <c r="J130" s="41">
        <f>1/5</f>
        <v>0.2</v>
      </c>
      <c r="L130">
        <v>1</v>
      </c>
    </row>
    <row r="131" spans="1:12">
      <c r="A131" s="3" t="s">
        <v>687</v>
      </c>
      <c r="B131" s="3" t="s">
        <v>626</v>
      </c>
      <c r="C131" s="3" t="s">
        <v>627</v>
      </c>
      <c r="D131" s="10" t="s">
        <v>628</v>
      </c>
      <c r="E131" s="10" t="s">
        <v>629</v>
      </c>
      <c r="F131" s="10" t="s">
        <v>677</v>
      </c>
      <c r="G131" s="10" t="s">
        <v>678</v>
      </c>
      <c r="H131" s="10" t="s">
        <v>688</v>
      </c>
      <c r="I131" s="10" t="s">
        <v>689</v>
      </c>
      <c r="J131" s="41">
        <f>1/5</f>
        <v>0.2</v>
      </c>
      <c r="L131">
        <v>1</v>
      </c>
    </row>
    <row r="132" spans="1:12" s="33" customFormat="1">
      <c r="A132" s="31" t="s">
        <v>690</v>
      </c>
      <c r="B132" s="31" t="s">
        <v>626</v>
      </c>
      <c r="C132" s="31" t="s">
        <v>627</v>
      </c>
      <c r="D132" s="32" t="s">
        <v>628</v>
      </c>
      <c r="E132" s="32" t="s">
        <v>629</v>
      </c>
      <c r="F132" s="32" t="s">
        <v>677</v>
      </c>
      <c r="G132" s="32" t="s">
        <v>678</v>
      </c>
      <c r="H132" s="32" t="s">
        <v>691</v>
      </c>
      <c r="I132" s="32" t="s">
        <v>692</v>
      </c>
      <c r="J132" s="42">
        <f>1/5</f>
        <v>0.2</v>
      </c>
      <c r="L132" s="33">
        <v>1</v>
      </c>
    </row>
    <row r="133" spans="1:12" s="36" customFormat="1">
      <c r="A133" s="34" t="s">
        <v>693</v>
      </c>
      <c r="B133" s="34" t="s">
        <v>626</v>
      </c>
      <c r="C133" s="34" t="s">
        <v>627</v>
      </c>
      <c r="D133" s="35" t="s">
        <v>628</v>
      </c>
      <c r="E133" s="35" t="s">
        <v>629</v>
      </c>
      <c r="F133" s="35" t="s">
        <v>694</v>
      </c>
      <c r="G133" s="35" t="s">
        <v>695</v>
      </c>
      <c r="H133" s="35" t="s">
        <v>696</v>
      </c>
      <c r="I133" s="35" t="s">
        <v>697</v>
      </c>
      <c r="J133" s="43">
        <f>1/2</f>
        <v>0.5</v>
      </c>
      <c r="L133" s="36">
        <v>1</v>
      </c>
    </row>
    <row r="134" spans="1:12" s="33" customFormat="1">
      <c r="A134" s="31" t="s">
        <v>698</v>
      </c>
      <c r="B134" s="31" t="s">
        <v>626</v>
      </c>
      <c r="C134" s="31" t="s">
        <v>627</v>
      </c>
      <c r="D134" s="32" t="s">
        <v>628</v>
      </c>
      <c r="E134" s="32" t="s">
        <v>629</v>
      </c>
      <c r="F134" s="32" t="s">
        <v>694</v>
      </c>
      <c r="G134" s="32" t="s">
        <v>695</v>
      </c>
      <c r="H134" s="32" t="s">
        <v>699</v>
      </c>
      <c r="I134" s="32" t="s">
        <v>700</v>
      </c>
      <c r="J134" s="42">
        <f>1/2</f>
        <v>0.5</v>
      </c>
      <c r="L134" s="33">
        <v>1</v>
      </c>
    </row>
    <row r="135" spans="1:12" s="36" customFormat="1">
      <c r="A135" s="34" t="s">
        <v>701</v>
      </c>
      <c r="B135" s="34" t="s">
        <v>626</v>
      </c>
      <c r="C135" s="34" t="s">
        <v>627</v>
      </c>
      <c r="D135" s="35" t="s">
        <v>628</v>
      </c>
      <c r="E135" s="35" t="s">
        <v>629</v>
      </c>
      <c r="F135" s="35" t="s">
        <v>702</v>
      </c>
      <c r="G135" s="35" t="s">
        <v>703</v>
      </c>
      <c r="H135" s="35" t="s">
        <v>704</v>
      </c>
      <c r="I135" s="35" t="s">
        <v>705</v>
      </c>
      <c r="J135" s="43">
        <f>1/5</f>
        <v>0.2</v>
      </c>
      <c r="L135" s="36">
        <v>1</v>
      </c>
    </row>
    <row r="136" spans="1:12">
      <c r="A136" s="3" t="s">
        <v>706</v>
      </c>
      <c r="B136" s="3" t="s">
        <v>626</v>
      </c>
      <c r="C136" s="3" t="s">
        <v>627</v>
      </c>
      <c r="D136" s="10" t="s">
        <v>628</v>
      </c>
      <c r="E136" s="10" t="s">
        <v>629</v>
      </c>
      <c r="F136" s="10" t="s">
        <v>702</v>
      </c>
      <c r="G136" s="10" t="s">
        <v>703</v>
      </c>
      <c r="H136" s="10" t="s">
        <v>707</v>
      </c>
      <c r="I136" s="10" t="s">
        <v>708</v>
      </c>
      <c r="J136" s="41">
        <f>1/5</f>
        <v>0.2</v>
      </c>
      <c r="L136">
        <v>1</v>
      </c>
    </row>
    <row r="137" spans="1:12">
      <c r="A137" s="3" t="s">
        <v>709</v>
      </c>
      <c r="B137" s="3" t="s">
        <v>626</v>
      </c>
      <c r="C137" s="3" t="s">
        <v>627</v>
      </c>
      <c r="D137" s="10" t="s">
        <v>628</v>
      </c>
      <c r="E137" s="10" t="s">
        <v>629</v>
      </c>
      <c r="F137" s="10" t="s">
        <v>702</v>
      </c>
      <c r="G137" s="10" t="s">
        <v>703</v>
      </c>
      <c r="H137" s="10" t="s">
        <v>710</v>
      </c>
      <c r="I137" s="10" t="s">
        <v>711</v>
      </c>
      <c r="J137" s="41">
        <f>1/5</f>
        <v>0.2</v>
      </c>
      <c r="L137">
        <v>1</v>
      </c>
    </row>
    <row r="138" spans="1:12">
      <c r="A138" s="3" t="s">
        <v>712</v>
      </c>
      <c r="B138" s="3" t="s">
        <v>626</v>
      </c>
      <c r="C138" s="3" t="s">
        <v>627</v>
      </c>
      <c r="D138" s="10" t="s">
        <v>628</v>
      </c>
      <c r="E138" s="10" t="s">
        <v>629</v>
      </c>
      <c r="F138" s="10" t="s">
        <v>702</v>
      </c>
      <c r="G138" s="10" t="s">
        <v>703</v>
      </c>
      <c r="H138" s="10" t="s">
        <v>713</v>
      </c>
      <c r="I138" s="10" t="s">
        <v>714</v>
      </c>
      <c r="J138" s="41">
        <f>1/5</f>
        <v>0.2</v>
      </c>
      <c r="L138">
        <v>1</v>
      </c>
    </row>
    <row r="139" spans="1:12" s="33" customFormat="1">
      <c r="A139" s="31" t="s">
        <v>715</v>
      </c>
      <c r="B139" s="31" t="s">
        <v>626</v>
      </c>
      <c r="C139" s="31" t="s">
        <v>627</v>
      </c>
      <c r="D139" s="32" t="s">
        <v>628</v>
      </c>
      <c r="E139" s="32" t="s">
        <v>629</v>
      </c>
      <c r="F139" s="32" t="s">
        <v>702</v>
      </c>
      <c r="G139" s="32" t="s">
        <v>703</v>
      </c>
      <c r="H139" s="32" t="s">
        <v>716</v>
      </c>
      <c r="I139" s="32" t="s">
        <v>717</v>
      </c>
      <c r="J139" s="42">
        <f>1/5</f>
        <v>0.2</v>
      </c>
      <c r="L139" s="33">
        <v>1</v>
      </c>
    </row>
    <row r="140" spans="1:12" s="36" customFormat="1">
      <c r="A140" s="34" t="s">
        <v>718</v>
      </c>
      <c r="B140" s="34" t="s">
        <v>626</v>
      </c>
      <c r="C140" s="34" t="s">
        <v>627</v>
      </c>
      <c r="D140" s="35" t="s">
        <v>719</v>
      </c>
      <c r="E140" s="35" t="s">
        <v>720</v>
      </c>
      <c r="F140" s="35" t="s">
        <v>721</v>
      </c>
      <c r="G140" s="35" t="s">
        <v>722</v>
      </c>
      <c r="H140" s="35" t="s">
        <v>723</v>
      </c>
      <c r="I140" s="35" t="s">
        <v>724</v>
      </c>
      <c r="J140" s="43">
        <f>1/3</f>
        <v>0.33333333333333331</v>
      </c>
      <c r="L140" s="36">
        <v>1</v>
      </c>
    </row>
    <row r="141" spans="1:12">
      <c r="A141" s="3" t="s">
        <v>725</v>
      </c>
      <c r="B141" s="3" t="s">
        <v>626</v>
      </c>
      <c r="C141" s="3" t="s">
        <v>627</v>
      </c>
      <c r="D141" s="10" t="s">
        <v>719</v>
      </c>
      <c r="E141" s="10" t="s">
        <v>720</v>
      </c>
      <c r="F141" s="10" t="s">
        <v>721</v>
      </c>
      <c r="G141" s="10" t="s">
        <v>722</v>
      </c>
      <c r="H141" s="10" t="s">
        <v>726</v>
      </c>
      <c r="I141" s="10" t="s">
        <v>727</v>
      </c>
      <c r="J141" s="41">
        <f>1/3</f>
        <v>0.33333333333333331</v>
      </c>
      <c r="L141">
        <v>1</v>
      </c>
    </row>
    <row r="142" spans="1:12" s="33" customFormat="1">
      <c r="A142" s="31" t="s">
        <v>728</v>
      </c>
      <c r="B142" s="31" t="s">
        <v>626</v>
      </c>
      <c r="C142" s="31" t="s">
        <v>627</v>
      </c>
      <c r="D142" s="32" t="s">
        <v>719</v>
      </c>
      <c r="E142" s="32" t="s">
        <v>720</v>
      </c>
      <c r="F142" s="32" t="s">
        <v>721</v>
      </c>
      <c r="G142" s="32" t="s">
        <v>722</v>
      </c>
      <c r="H142" s="32" t="s">
        <v>729</v>
      </c>
      <c r="I142" s="32" t="s">
        <v>730</v>
      </c>
      <c r="J142" s="42">
        <f>1/3</f>
        <v>0.33333333333333331</v>
      </c>
      <c r="L142" s="33">
        <v>1</v>
      </c>
    </row>
    <row r="143" spans="1:12" s="36" customFormat="1">
      <c r="A143" s="34" t="s">
        <v>731</v>
      </c>
      <c r="B143" s="34" t="s">
        <v>626</v>
      </c>
      <c r="C143" s="34" t="s">
        <v>627</v>
      </c>
      <c r="D143" s="35" t="s">
        <v>719</v>
      </c>
      <c r="E143" s="35" t="s">
        <v>720</v>
      </c>
      <c r="F143" s="35" t="s">
        <v>732</v>
      </c>
      <c r="G143" s="35" t="s">
        <v>733</v>
      </c>
      <c r="H143" s="35" t="s">
        <v>734</v>
      </c>
      <c r="I143" s="35" t="s">
        <v>735</v>
      </c>
      <c r="J143" s="43">
        <f>1/3</f>
        <v>0.33333333333333331</v>
      </c>
      <c r="L143" s="36">
        <v>1</v>
      </c>
    </row>
    <row r="144" spans="1:12">
      <c r="A144" s="3" t="s">
        <v>736</v>
      </c>
      <c r="B144" s="3" t="s">
        <v>626</v>
      </c>
      <c r="C144" s="3" t="s">
        <v>627</v>
      </c>
      <c r="D144" s="10" t="s">
        <v>719</v>
      </c>
      <c r="E144" s="10" t="s">
        <v>720</v>
      </c>
      <c r="F144" s="10" t="s">
        <v>732</v>
      </c>
      <c r="G144" s="10" t="s">
        <v>733</v>
      </c>
      <c r="H144" s="10" t="s">
        <v>737</v>
      </c>
      <c r="I144" s="10" t="s">
        <v>738</v>
      </c>
      <c r="J144" s="41">
        <f>1/3</f>
        <v>0.33333333333333331</v>
      </c>
      <c r="L144">
        <v>1</v>
      </c>
    </row>
    <row r="145" spans="1:12" s="33" customFormat="1">
      <c r="A145" s="31" t="s">
        <v>739</v>
      </c>
      <c r="B145" s="31" t="s">
        <v>626</v>
      </c>
      <c r="C145" s="31" t="s">
        <v>627</v>
      </c>
      <c r="D145" s="32" t="s">
        <v>719</v>
      </c>
      <c r="E145" s="32" t="s">
        <v>720</v>
      </c>
      <c r="F145" s="32" t="s">
        <v>732</v>
      </c>
      <c r="G145" s="32" t="s">
        <v>733</v>
      </c>
      <c r="H145" s="32" t="s">
        <v>740</v>
      </c>
      <c r="I145" s="32" t="s">
        <v>741</v>
      </c>
      <c r="J145" s="42">
        <f>1/3</f>
        <v>0.33333333333333331</v>
      </c>
      <c r="L145" s="33">
        <v>1</v>
      </c>
    </row>
    <row r="146" spans="1:12" s="36" customFormat="1">
      <c r="A146" s="34" t="s">
        <v>742</v>
      </c>
      <c r="B146" s="34" t="s">
        <v>626</v>
      </c>
      <c r="C146" s="34" t="s">
        <v>627</v>
      </c>
      <c r="D146" s="35" t="s">
        <v>719</v>
      </c>
      <c r="E146" s="35" t="s">
        <v>720</v>
      </c>
      <c r="F146" s="35" t="s">
        <v>743</v>
      </c>
      <c r="G146" s="35" t="s">
        <v>744</v>
      </c>
      <c r="H146" s="35" t="s">
        <v>745</v>
      </c>
      <c r="I146" s="35" t="s">
        <v>746</v>
      </c>
      <c r="J146" s="43">
        <f>1/3</f>
        <v>0.33333333333333331</v>
      </c>
      <c r="L146" s="36">
        <v>1</v>
      </c>
    </row>
    <row r="147" spans="1:12">
      <c r="A147" s="3" t="s">
        <v>747</v>
      </c>
      <c r="B147" s="3" t="s">
        <v>626</v>
      </c>
      <c r="C147" s="3" t="s">
        <v>627</v>
      </c>
      <c r="D147" s="10" t="s">
        <v>719</v>
      </c>
      <c r="E147" s="10" t="s">
        <v>720</v>
      </c>
      <c r="F147" s="10" t="s">
        <v>743</v>
      </c>
      <c r="G147" s="10" t="s">
        <v>744</v>
      </c>
      <c r="H147" s="10" t="s">
        <v>748</v>
      </c>
      <c r="I147" s="10" t="s">
        <v>749</v>
      </c>
      <c r="J147" s="41">
        <f>1/3</f>
        <v>0.33333333333333331</v>
      </c>
      <c r="L147">
        <v>1</v>
      </c>
    </row>
    <row r="148" spans="1:12" s="33" customFormat="1">
      <c r="A148" s="31" t="s">
        <v>750</v>
      </c>
      <c r="B148" s="31" t="s">
        <v>626</v>
      </c>
      <c r="C148" s="31" t="s">
        <v>627</v>
      </c>
      <c r="D148" s="32" t="s">
        <v>719</v>
      </c>
      <c r="E148" s="32" t="s">
        <v>720</v>
      </c>
      <c r="F148" s="32" t="s">
        <v>743</v>
      </c>
      <c r="G148" s="32" t="s">
        <v>744</v>
      </c>
      <c r="H148" s="32" t="s">
        <v>751</v>
      </c>
      <c r="I148" s="32" t="s">
        <v>752</v>
      </c>
      <c r="J148" s="42">
        <f>1/3</f>
        <v>0.33333333333333331</v>
      </c>
      <c r="L148" s="33">
        <v>1</v>
      </c>
    </row>
    <row r="149" spans="1:12" s="36" customFormat="1">
      <c r="A149" s="34" t="s">
        <v>753</v>
      </c>
      <c r="B149" s="34" t="s">
        <v>626</v>
      </c>
      <c r="C149" s="34" t="s">
        <v>627</v>
      </c>
      <c r="D149" s="35" t="s">
        <v>719</v>
      </c>
      <c r="E149" s="35" t="s">
        <v>720</v>
      </c>
      <c r="F149" s="35" t="s">
        <v>754</v>
      </c>
      <c r="G149" s="35" t="s">
        <v>755</v>
      </c>
      <c r="H149" s="35" t="s">
        <v>756</v>
      </c>
      <c r="I149" s="35" t="s">
        <v>757</v>
      </c>
      <c r="J149" s="43">
        <f>1/3</f>
        <v>0.33333333333333331</v>
      </c>
      <c r="L149" s="36">
        <v>1</v>
      </c>
    </row>
    <row r="150" spans="1:12">
      <c r="A150" s="3" t="s">
        <v>758</v>
      </c>
      <c r="B150" s="3" t="s">
        <v>626</v>
      </c>
      <c r="C150" s="3" t="s">
        <v>627</v>
      </c>
      <c r="D150" s="10" t="s">
        <v>719</v>
      </c>
      <c r="E150" s="10" t="s">
        <v>720</v>
      </c>
      <c r="F150" s="10" t="s">
        <v>754</v>
      </c>
      <c r="G150" s="10" t="s">
        <v>755</v>
      </c>
      <c r="H150" s="10" t="s">
        <v>759</v>
      </c>
      <c r="I150" s="10" t="s">
        <v>760</v>
      </c>
      <c r="J150" s="41">
        <f>1/3</f>
        <v>0.33333333333333331</v>
      </c>
      <c r="L150">
        <v>1</v>
      </c>
    </row>
    <row r="151" spans="1:12" s="33" customFormat="1">
      <c r="A151" s="31" t="s">
        <v>761</v>
      </c>
      <c r="B151" s="31" t="s">
        <v>626</v>
      </c>
      <c r="C151" s="31" t="s">
        <v>627</v>
      </c>
      <c r="D151" s="32" t="s">
        <v>719</v>
      </c>
      <c r="E151" s="32" t="s">
        <v>720</v>
      </c>
      <c r="F151" s="32" t="s">
        <v>754</v>
      </c>
      <c r="G151" s="32" t="s">
        <v>755</v>
      </c>
      <c r="H151" s="32" t="s">
        <v>762</v>
      </c>
      <c r="I151" s="32" t="s">
        <v>763</v>
      </c>
      <c r="J151" s="42">
        <f>1/3</f>
        <v>0.33333333333333331</v>
      </c>
      <c r="L151" s="33">
        <v>1</v>
      </c>
    </row>
    <row r="152" spans="1:12" s="36" customFormat="1">
      <c r="A152" s="34" t="s">
        <v>764</v>
      </c>
      <c r="B152" s="34" t="s">
        <v>626</v>
      </c>
      <c r="C152" s="34" t="s">
        <v>627</v>
      </c>
      <c r="D152" s="35" t="s">
        <v>719</v>
      </c>
      <c r="E152" s="35" t="s">
        <v>720</v>
      </c>
      <c r="F152" s="35" t="s">
        <v>765</v>
      </c>
      <c r="G152" s="35" t="s">
        <v>766</v>
      </c>
      <c r="H152" s="35" t="s">
        <v>767</v>
      </c>
      <c r="I152" s="35" t="s">
        <v>768</v>
      </c>
      <c r="J152" s="43">
        <f>1/2</f>
        <v>0.5</v>
      </c>
      <c r="L152" s="36">
        <v>1</v>
      </c>
    </row>
    <row r="153" spans="1:12" s="33" customFormat="1">
      <c r="A153" s="31" t="s">
        <v>769</v>
      </c>
      <c r="B153" s="31" t="s">
        <v>626</v>
      </c>
      <c r="C153" s="31" t="s">
        <v>627</v>
      </c>
      <c r="D153" s="32" t="s">
        <v>719</v>
      </c>
      <c r="E153" s="32" t="s">
        <v>720</v>
      </c>
      <c r="F153" s="32" t="s">
        <v>765</v>
      </c>
      <c r="G153" s="32" t="s">
        <v>766</v>
      </c>
      <c r="H153" s="32" t="s">
        <v>770</v>
      </c>
      <c r="I153" s="32" t="s">
        <v>771</v>
      </c>
      <c r="J153" s="42">
        <f>1/2</f>
        <v>0.5</v>
      </c>
      <c r="L153" s="33">
        <v>1</v>
      </c>
    </row>
    <row r="154" spans="1:12" s="36" customFormat="1">
      <c r="A154" s="34" t="s">
        <v>772</v>
      </c>
      <c r="B154" s="34" t="s">
        <v>626</v>
      </c>
      <c r="C154" s="34" t="s">
        <v>627</v>
      </c>
      <c r="D154" s="35" t="s">
        <v>773</v>
      </c>
      <c r="E154" s="35" t="s">
        <v>774</v>
      </c>
      <c r="F154" s="35" t="s">
        <v>775</v>
      </c>
      <c r="G154" s="35" t="s">
        <v>776</v>
      </c>
      <c r="H154" s="35" t="s">
        <v>777</v>
      </c>
      <c r="I154" s="35" t="s">
        <v>778</v>
      </c>
      <c r="J154" s="43">
        <f>1/6</f>
        <v>0.16666666666666666</v>
      </c>
      <c r="L154" s="36">
        <v>2</v>
      </c>
    </row>
    <row r="155" spans="1:12">
      <c r="A155" s="3" t="s">
        <v>779</v>
      </c>
      <c r="B155" s="3" t="s">
        <v>626</v>
      </c>
      <c r="C155" s="3" t="s">
        <v>627</v>
      </c>
      <c r="D155" s="10" t="s">
        <v>773</v>
      </c>
      <c r="E155" s="10" t="s">
        <v>774</v>
      </c>
      <c r="F155" s="10" t="s">
        <v>775</v>
      </c>
      <c r="G155" s="10" t="s">
        <v>776</v>
      </c>
      <c r="H155" s="10" t="s">
        <v>780</v>
      </c>
      <c r="I155" s="10" t="s">
        <v>781</v>
      </c>
      <c r="J155" s="41">
        <f>1/6</f>
        <v>0.16666666666666666</v>
      </c>
      <c r="L155">
        <v>2</v>
      </c>
    </row>
    <row r="156" spans="1:12">
      <c r="A156" s="3" t="s">
        <v>782</v>
      </c>
      <c r="B156" s="3" t="s">
        <v>626</v>
      </c>
      <c r="C156" s="3" t="s">
        <v>627</v>
      </c>
      <c r="D156" s="10" t="s">
        <v>773</v>
      </c>
      <c r="E156" s="10" t="s">
        <v>774</v>
      </c>
      <c r="F156" s="10" t="s">
        <v>775</v>
      </c>
      <c r="G156" s="10" t="s">
        <v>776</v>
      </c>
      <c r="H156" s="10" t="s">
        <v>783</v>
      </c>
      <c r="I156" s="10" t="s">
        <v>784</v>
      </c>
      <c r="J156" s="41">
        <f>1/6</f>
        <v>0.16666666666666666</v>
      </c>
      <c r="L156">
        <v>2</v>
      </c>
    </row>
    <row r="157" spans="1:12">
      <c r="A157" s="3" t="s">
        <v>785</v>
      </c>
      <c r="B157" s="3" t="s">
        <v>626</v>
      </c>
      <c r="C157" s="3" t="s">
        <v>627</v>
      </c>
      <c r="D157" s="10" t="s">
        <v>773</v>
      </c>
      <c r="E157" s="10" t="s">
        <v>774</v>
      </c>
      <c r="F157" s="10" t="s">
        <v>775</v>
      </c>
      <c r="G157" s="10" t="s">
        <v>776</v>
      </c>
      <c r="H157" s="10" t="s">
        <v>786</v>
      </c>
      <c r="I157" s="10" t="s">
        <v>787</v>
      </c>
      <c r="J157" s="41">
        <f>1/6</f>
        <v>0.16666666666666666</v>
      </c>
      <c r="L157">
        <v>2</v>
      </c>
    </row>
    <row r="158" spans="1:12">
      <c r="A158" s="3" t="s">
        <v>788</v>
      </c>
      <c r="B158" s="3" t="s">
        <v>626</v>
      </c>
      <c r="C158" s="3" t="s">
        <v>627</v>
      </c>
      <c r="D158" s="10" t="s">
        <v>773</v>
      </c>
      <c r="E158" s="10" t="s">
        <v>774</v>
      </c>
      <c r="F158" s="10" t="s">
        <v>775</v>
      </c>
      <c r="G158" s="10" t="s">
        <v>776</v>
      </c>
      <c r="H158" s="10" t="s">
        <v>789</v>
      </c>
      <c r="I158" s="10" t="s">
        <v>790</v>
      </c>
      <c r="J158" s="41">
        <f>1/6</f>
        <v>0.16666666666666666</v>
      </c>
      <c r="L158">
        <v>2</v>
      </c>
    </row>
    <row r="159" spans="1:12" s="33" customFormat="1">
      <c r="A159" s="31" t="s">
        <v>791</v>
      </c>
      <c r="B159" s="31" t="s">
        <v>626</v>
      </c>
      <c r="C159" s="31" t="s">
        <v>627</v>
      </c>
      <c r="D159" s="32" t="s">
        <v>773</v>
      </c>
      <c r="E159" s="32" t="s">
        <v>774</v>
      </c>
      <c r="F159" s="32" t="s">
        <v>775</v>
      </c>
      <c r="G159" s="32" t="s">
        <v>776</v>
      </c>
      <c r="H159" s="32" t="s">
        <v>792</v>
      </c>
      <c r="I159" s="32" t="s">
        <v>793</v>
      </c>
      <c r="J159" s="42">
        <f>1/6</f>
        <v>0.16666666666666666</v>
      </c>
      <c r="L159" s="33">
        <v>2</v>
      </c>
    </row>
    <row r="160" spans="1:12" s="36" customFormat="1">
      <c r="A160" s="34" t="s">
        <v>794</v>
      </c>
      <c r="B160" s="34" t="s">
        <v>626</v>
      </c>
      <c r="C160" s="34" t="s">
        <v>627</v>
      </c>
      <c r="D160" s="35" t="s">
        <v>773</v>
      </c>
      <c r="E160" s="35" t="s">
        <v>774</v>
      </c>
      <c r="F160" s="35" t="s">
        <v>795</v>
      </c>
      <c r="G160" s="35" t="s">
        <v>796</v>
      </c>
      <c r="H160" s="35" t="s">
        <v>797</v>
      </c>
      <c r="I160" s="35" t="s">
        <v>798</v>
      </c>
      <c r="J160" s="43">
        <f>1/4</f>
        <v>0.25</v>
      </c>
      <c r="L160" s="36">
        <v>2</v>
      </c>
    </row>
    <row r="161" spans="1:12">
      <c r="A161" s="3" t="s">
        <v>799</v>
      </c>
      <c r="B161" s="3" t="s">
        <v>626</v>
      </c>
      <c r="C161" s="3" t="s">
        <v>627</v>
      </c>
      <c r="D161" s="10" t="s">
        <v>773</v>
      </c>
      <c r="E161" s="10" t="s">
        <v>774</v>
      </c>
      <c r="F161" s="10" t="s">
        <v>795</v>
      </c>
      <c r="G161" s="10" t="s">
        <v>796</v>
      </c>
      <c r="H161" s="10" t="s">
        <v>800</v>
      </c>
      <c r="I161" s="10" t="s">
        <v>801</v>
      </c>
      <c r="J161" s="41">
        <f>1/4</f>
        <v>0.25</v>
      </c>
      <c r="L161">
        <v>2</v>
      </c>
    </row>
    <row r="162" spans="1:12">
      <c r="A162" s="3" t="s">
        <v>802</v>
      </c>
      <c r="B162" s="3" t="s">
        <v>626</v>
      </c>
      <c r="C162" s="3" t="s">
        <v>627</v>
      </c>
      <c r="D162" s="10" t="s">
        <v>773</v>
      </c>
      <c r="E162" s="10" t="s">
        <v>774</v>
      </c>
      <c r="F162" s="10" t="s">
        <v>795</v>
      </c>
      <c r="G162" s="10" t="s">
        <v>796</v>
      </c>
      <c r="H162" s="10" t="s">
        <v>803</v>
      </c>
      <c r="I162" s="10" t="s">
        <v>804</v>
      </c>
      <c r="J162" s="41">
        <f>1/4</f>
        <v>0.25</v>
      </c>
      <c r="L162">
        <v>2</v>
      </c>
    </row>
    <row r="163" spans="1:12" s="33" customFormat="1">
      <c r="A163" s="31" t="s">
        <v>805</v>
      </c>
      <c r="B163" s="31" t="s">
        <v>626</v>
      </c>
      <c r="C163" s="31" t="s">
        <v>627</v>
      </c>
      <c r="D163" s="32" t="s">
        <v>773</v>
      </c>
      <c r="E163" s="32" t="s">
        <v>774</v>
      </c>
      <c r="F163" s="32" t="s">
        <v>795</v>
      </c>
      <c r="G163" s="32" t="s">
        <v>796</v>
      </c>
      <c r="H163" s="32" t="s">
        <v>806</v>
      </c>
      <c r="I163" s="32" t="s">
        <v>807</v>
      </c>
      <c r="J163" s="42">
        <f>1/4</f>
        <v>0.25</v>
      </c>
      <c r="L163" s="33">
        <v>2</v>
      </c>
    </row>
    <row r="164" spans="1:12" s="39" customFormat="1">
      <c r="A164" s="37" t="s">
        <v>808</v>
      </c>
      <c r="B164" s="37" t="s">
        <v>626</v>
      </c>
      <c r="C164" s="37" t="s">
        <v>627</v>
      </c>
      <c r="D164" s="38" t="s">
        <v>773</v>
      </c>
      <c r="E164" s="38" t="s">
        <v>774</v>
      </c>
      <c r="F164" s="38" t="s">
        <v>809</v>
      </c>
      <c r="G164" s="38" t="s">
        <v>810</v>
      </c>
      <c r="H164" s="38" t="s">
        <v>811</v>
      </c>
      <c r="I164" s="38" t="s">
        <v>812</v>
      </c>
      <c r="J164" s="44">
        <v>1</v>
      </c>
      <c r="L164" s="39">
        <v>2</v>
      </c>
    </row>
    <row r="165" spans="1:12" s="36" customFormat="1">
      <c r="A165" s="34" t="s">
        <v>813</v>
      </c>
      <c r="B165" s="34" t="s">
        <v>626</v>
      </c>
      <c r="C165" s="34" t="s">
        <v>627</v>
      </c>
      <c r="D165" s="35" t="s">
        <v>773</v>
      </c>
      <c r="E165" s="35" t="s">
        <v>774</v>
      </c>
      <c r="F165" s="35" t="s">
        <v>814</v>
      </c>
      <c r="G165" s="35" t="s">
        <v>815</v>
      </c>
      <c r="H165" s="35" t="s">
        <v>816</v>
      </c>
      <c r="I165" s="35" t="s">
        <v>817</v>
      </c>
      <c r="J165" s="43">
        <f>1/2</f>
        <v>0.5</v>
      </c>
      <c r="L165" s="36">
        <v>3</v>
      </c>
    </row>
    <row r="166" spans="1:12" s="33" customFormat="1">
      <c r="A166" s="31" t="s">
        <v>818</v>
      </c>
      <c r="B166" s="31" t="s">
        <v>626</v>
      </c>
      <c r="C166" s="31" t="s">
        <v>627</v>
      </c>
      <c r="D166" s="32" t="s">
        <v>773</v>
      </c>
      <c r="E166" s="32" t="s">
        <v>774</v>
      </c>
      <c r="F166" s="32" t="s">
        <v>814</v>
      </c>
      <c r="G166" s="32" t="s">
        <v>815</v>
      </c>
      <c r="H166" s="32" t="s">
        <v>819</v>
      </c>
      <c r="I166" s="32" t="s">
        <v>820</v>
      </c>
      <c r="J166" s="42">
        <f>1/2</f>
        <v>0.5</v>
      </c>
      <c r="L166" s="33">
        <v>3</v>
      </c>
    </row>
    <row r="167" spans="1:12" s="36" customFormat="1">
      <c r="A167" s="34" t="s">
        <v>821</v>
      </c>
      <c r="B167" s="34" t="s">
        <v>626</v>
      </c>
      <c r="C167" s="34" t="s">
        <v>627</v>
      </c>
      <c r="D167" s="35" t="s">
        <v>773</v>
      </c>
      <c r="E167" s="35" t="s">
        <v>774</v>
      </c>
      <c r="F167" s="35" t="s">
        <v>822</v>
      </c>
      <c r="G167" s="35" t="s">
        <v>823</v>
      </c>
      <c r="H167" s="35" t="s">
        <v>824</v>
      </c>
      <c r="I167" s="35" t="s">
        <v>825</v>
      </c>
      <c r="J167" s="43">
        <f>1/4</f>
        <v>0.25</v>
      </c>
      <c r="L167" s="36">
        <v>3</v>
      </c>
    </row>
    <row r="168" spans="1:12">
      <c r="A168" s="3" t="s">
        <v>826</v>
      </c>
      <c r="B168" s="3" t="s">
        <v>626</v>
      </c>
      <c r="C168" s="3" t="s">
        <v>627</v>
      </c>
      <c r="D168" s="10" t="s">
        <v>773</v>
      </c>
      <c r="E168" s="10" t="s">
        <v>774</v>
      </c>
      <c r="F168" s="10" t="s">
        <v>822</v>
      </c>
      <c r="G168" s="10" t="s">
        <v>823</v>
      </c>
      <c r="H168" s="10" t="s">
        <v>827</v>
      </c>
      <c r="I168" s="10" t="s">
        <v>828</v>
      </c>
      <c r="J168" s="41">
        <f>1/4</f>
        <v>0.25</v>
      </c>
      <c r="L168">
        <v>3</v>
      </c>
    </row>
    <row r="169" spans="1:12">
      <c r="A169" s="3" t="s">
        <v>829</v>
      </c>
      <c r="B169" s="3" t="s">
        <v>626</v>
      </c>
      <c r="C169" s="3" t="s">
        <v>627</v>
      </c>
      <c r="D169" s="10" t="s">
        <v>773</v>
      </c>
      <c r="E169" s="10" t="s">
        <v>774</v>
      </c>
      <c r="F169" s="10" t="s">
        <v>822</v>
      </c>
      <c r="G169" s="10" t="s">
        <v>823</v>
      </c>
      <c r="H169" s="10" t="s">
        <v>830</v>
      </c>
      <c r="I169" s="10" t="s">
        <v>831</v>
      </c>
      <c r="J169" s="41">
        <f>1/4</f>
        <v>0.25</v>
      </c>
      <c r="L169">
        <v>3</v>
      </c>
    </row>
    <row r="170" spans="1:12" s="33" customFormat="1">
      <c r="A170" s="31" t="s">
        <v>832</v>
      </c>
      <c r="B170" s="31" t="s">
        <v>626</v>
      </c>
      <c r="C170" s="31" t="s">
        <v>627</v>
      </c>
      <c r="D170" s="32" t="s">
        <v>773</v>
      </c>
      <c r="E170" s="32" t="s">
        <v>774</v>
      </c>
      <c r="F170" s="32" t="s">
        <v>822</v>
      </c>
      <c r="G170" s="32" t="s">
        <v>823</v>
      </c>
      <c r="H170" s="32" t="s">
        <v>833</v>
      </c>
      <c r="I170" s="32" t="s">
        <v>834</v>
      </c>
      <c r="J170" s="42">
        <f>1/4</f>
        <v>0.25</v>
      </c>
      <c r="L170" s="33">
        <v>3</v>
      </c>
    </row>
    <row r="171" spans="1:12" s="36" customFormat="1">
      <c r="A171" s="34" t="s">
        <v>835</v>
      </c>
      <c r="B171" s="34" t="s">
        <v>626</v>
      </c>
      <c r="C171" s="34" t="s">
        <v>627</v>
      </c>
      <c r="D171" s="35" t="s">
        <v>773</v>
      </c>
      <c r="E171" s="35" t="s">
        <v>774</v>
      </c>
      <c r="F171" s="35" t="s">
        <v>836</v>
      </c>
      <c r="G171" s="35" t="s">
        <v>837</v>
      </c>
      <c r="H171" s="35" t="s">
        <v>838</v>
      </c>
      <c r="I171" s="35" t="s">
        <v>839</v>
      </c>
      <c r="J171" s="43">
        <f>1/3</f>
        <v>0.33333333333333331</v>
      </c>
      <c r="L171" s="36">
        <v>2</v>
      </c>
    </row>
    <row r="172" spans="1:12">
      <c r="A172" s="3" t="s">
        <v>840</v>
      </c>
      <c r="B172" s="3" t="s">
        <v>626</v>
      </c>
      <c r="C172" s="3" t="s">
        <v>627</v>
      </c>
      <c r="D172" s="10" t="s">
        <v>773</v>
      </c>
      <c r="E172" s="10" t="s">
        <v>774</v>
      </c>
      <c r="F172" s="10" t="s">
        <v>836</v>
      </c>
      <c r="G172" s="10" t="s">
        <v>837</v>
      </c>
      <c r="H172" s="10" t="s">
        <v>841</v>
      </c>
      <c r="I172" s="10" t="s">
        <v>842</v>
      </c>
      <c r="J172" s="41">
        <f>1/3</f>
        <v>0.33333333333333331</v>
      </c>
      <c r="L172">
        <v>2</v>
      </c>
    </row>
    <row r="173" spans="1:12" s="33" customFormat="1">
      <c r="A173" s="31" t="s">
        <v>843</v>
      </c>
      <c r="B173" s="31" t="s">
        <v>626</v>
      </c>
      <c r="C173" s="31" t="s">
        <v>627</v>
      </c>
      <c r="D173" s="32" t="s">
        <v>773</v>
      </c>
      <c r="E173" s="32" t="s">
        <v>774</v>
      </c>
      <c r="F173" s="32" t="s">
        <v>836</v>
      </c>
      <c r="G173" s="32" t="s">
        <v>837</v>
      </c>
      <c r="H173" s="32" t="s">
        <v>844</v>
      </c>
      <c r="I173" s="32" t="s">
        <v>845</v>
      </c>
      <c r="J173" s="42">
        <f>1/3</f>
        <v>0.33333333333333331</v>
      </c>
      <c r="L173" s="33">
        <v>3</v>
      </c>
    </row>
    <row r="174" spans="1:12" s="36" customFormat="1">
      <c r="A174" s="34" t="s">
        <v>846</v>
      </c>
      <c r="B174" s="34" t="s">
        <v>626</v>
      </c>
      <c r="C174" s="34" t="s">
        <v>627</v>
      </c>
      <c r="D174" s="35" t="s">
        <v>773</v>
      </c>
      <c r="E174" s="35" t="s">
        <v>774</v>
      </c>
      <c r="F174" s="35" t="s">
        <v>847</v>
      </c>
      <c r="G174" s="35" t="s">
        <v>848</v>
      </c>
      <c r="H174" s="35" t="s">
        <v>849</v>
      </c>
      <c r="I174" s="35" t="s">
        <v>850</v>
      </c>
      <c r="J174" s="43">
        <f>1/4</f>
        <v>0.25</v>
      </c>
      <c r="L174" s="36">
        <v>3</v>
      </c>
    </row>
    <row r="175" spans="1:12">
      <c r="A175" s="3" t="s">
        <v>851</v>
      </c>
      <c r="B175" s="3" t="s">
        <v>626</v>
      </c>
      <c r="C175" s="3" t="s">
        <v>627</v>
      </c>
      <c r="D175" s="10" t="s">
        <v>773</v>
      </c>
      <c r="E175" s="10" t="s">
        <v>774</v>
      </c>
      <c r="F175" s="10" t="s">
        <v>847</v>
      </c>
      <c r="G175" s="10" t="s">
        <v>848</v>
      </c>
      <c r="H175" s="10" t="s">
        <v>852</v>
      </c>
      <c r="I175" s="10" t="s">
        <v>853</v>
      </c>
      <c r="J175" s="41">
        <f>1/4</f>
        <v>0.25</v>
      </c>
      <c r="L175">
        <v>3</v>
      </c>
    </row>
    <row r="176" spans="1:12">
      <c r="A176" s="3" t="s">
        <v>854</v>
      </c>
      <c r="B176" s="3" t="s">
        <v>626</v>
      </c>
      <c r="C176" s="3" t="s">
        <v>627</v>
      </c>
      <c r="D176" s="10" t="s">
        <v>773</v>
      </c>
      <c r="E176" s="10" t="s">
        <v>774</v>
      </c>
      <c r="F176" s="10" t="s">
        <v>847</v>
      </c>
      <c r="G176" s="10" t="s">
        <v>848</v>
      </c>
      <c r="H176" s="10" t="s">
        <v>855</v>
      </c>
      <c r="I176" s="10" t="s">
        <v>856</v>
      </c>
      <c r="J176" s="41">
        <f>1/4</f>
        <v>0.25</v>
      </c>
      <c r="L176">
        <v>3</v>
      </c>
    </row>
    <row r="177" spans="1:12" s="33" customFormat="1">
      <c r="A177" s="31" t="s">
        <v>857</v>
      </c>
      <c r="B177" s="31" t="s">
        <v>626</v>
      </c>
      <c r="C177" s="31" t="s">
        <v>627</v>
      </c>
      <c r="D177" s="32" t="s">
        <v>773</v>
      </c>
      <c r="E177" s="32" t="s">
        <v>774</v>
      </c>
      <c r="F177" s="32" t="s">
        <v>847</v>
      </c>
      <c r="G177" s="32" t="s">
        <v>848</v>
      </c>
      <c r="H177" s="32" t="s">
        <v>858</v>
      </c>
      <c r="I177" s="32" t="s">
        <v>859</v>
      </c>
      <c r="J177" s="42">
        <f>1/4</f>
        <v>0.25</v>
      </c>
      <c r="L177" s="33">
        <v>3</v>
      </c>
    </row>
    <row r="178" spans="1:12" s="36" customFormat="1">
      <c r="A178" s="34" t="s">
        <v>860</v>
      </c>
      <c r="B178" s="34" t="s">
        <v>626</v>
      </c>
      <c r="C178" s="34" t="s">
        <v>627</v>
      </c>
      <c r="D178" s="35" t="s">
        <v>861</v>
      </c>
      <c r="E178" s="35" t="s">
        <v>862</v>
      </c>
      <c r="F178" s="35" t="s">
        <v>863</v>
      </c>
      <c r="G178" s="35" t="s">
        <v>864</v>
      </c>
      <c r="H178" s="35" t="s">
        <v>865</v>
      </c>
      <c r="I178" s="35" t="s">
        <v>866</v>
      </c>
      <c r="J178" s="43">
        <f>1/2</f>
        <v>0.5</v>
      </c>
      <c r="L178" s="36">
        <v>1</v>
      </c>
    </row>
    <row r="179" spans="1:12" s="33" customFormat="1">
      <c r="A179" s="31" t="s">
        <v>867</v>
      </c>
      <c r="B179" s="31" t="s">
        <v>626</v>
      </c>
      <c r="C179" s="31" t="s">
        <v>627</v>
      </c>
      <c r="D179" s="32" t="s">
        <v>861</v>
      </c>
      <c r="E179" s="32" t="s">
        <v>862</v>
      </c>
      <c r="F179" s="32" t="s">
        <v>863</v>
      </c>
      <c r="G179" s="32" t="s">
        <v>864</v>
      </c>
      <c r="H179" s="32" t="s">
        <v>868</v>
      </c>
      <c r="I179" s="32" t="s">
        <v>869</v>
      </c>
      <c r="J179" s="42">
        <f>1/2</f>
        <v>0.5</v>
      </c>
      <c r="L179" s="33">
        <v>1</v>
      </c>
    </row>
    <row r="180" spans="1:12" s="39" customFormat="1">
      <c r="A180" s="37" t="s">
        <v>870</v>
      </c>
      <c r="B180" s="37" t="s">
        <v>626</v>
      </c>
      <c r="C180" s="37" t="s">
        <v>627</v>
      </c>
      <c r="D180" s="38" t="s">
        <v>861</v>
      </c>
      <c r="E180" s="38" t="s">
        <v>862</v>
      </c>
      <c r="F180" s="38" t="s">
        <v>871</v>
      </c>
      <c r="G180" s="38" t="s">
        <v>872</v>
      </c>
      <c r="H180" s="38" t="s">
        <v>873</v>
      </c>
      <c r="I180" s="38" t="s">
        <v>874</v>
      </c>
      <c r="J180" s="44">
        <v>1</v>
      </c>
      <c r="L180" s="39">
        <v>1</v>
      </c>
    </row>
    <row r="181" spans="1:12" s="39" customFormat="1">
      <c r="A181" s="37" t="s">
        <v>875</v>
      </c>
      <c r="B181" s="37" t="s">
        <v>626</v>
      </c>
      <c r="C181" s="37" t="s">
        <v>627</v>
      </c>
      <c r="D181" s="38" t="s">
        <v>861</v>
      </c>
      <c r="E181" s="38" t="s">
        <v>862</v>
      </c>
      <c r="F181" s="38" t="s">
        <v>876</v>
      </c>
      <c r="G181" s="38" t="s">
        <v>877</v>
      </c>
      <c r="H181" s="38" t="s">
        <v>878</v>
      </c>
      <c r="I181" s="38" t="s">
        <v>879</v>
      </c>
      <c r="J181" s="44">
        <v>1</v>
      </c>
      <c r="L181" s="39">
        <v>1</v>
      </c>
    </row>
    <row r="182" spans="1:12" s="36" customFormat="1">
      <c r="A182" s="34" t="s">
        <v>880</v>
      </c>
      <c r="B182" s="34" t="s">
        <v>626</v>
      </c>
      <c r="C182" s="34" t="s">
        <v>627</v>
      </c>
      <c r="D182" s="35" t="s">
        <v>861</v>
      </c>
      <c r="E182" s="35" t="s">
        <v>862</v>
      </c>
      <c r="F182" s="35" t="s">
        <v>881</v>
      </c>
      <c r="G182" s="35" t="s">
        <v>882</v>
      </c>
      <c r="H182" s="35" t="s">
        <v>883</v>
      </c>
      <c r="I182" s="35" t="s">
        <v>884</v>
      </c>
      <c r="J182" s="43">
        <f>1/3</f>
        <v>0.33333333333333331</v>
      </c>
      <c r="L182" s="36">
        <v>1</v>
      </c>
    </row>
    <row r="183" spans="1:12">
      <c r="A183" s="3" t="s">
        <v>885</v>
      </c>
      <c r="B183" s="3" t="s">
        <v>626</v>
      </c>
      <c r="C183" s="3" t="s">
        <v>627</v>
      </c>
      <c r="D183" s="10" t="s">
        <v>861</v>
      </c>
      <c r="E183" s="10" t="s">
        <v>862</v>
      </c>
      <c r="F183" s="10" t="s">
        <v>881</v>
      </c>
      <c r="G183" s="10" t="s">
        <v>882</v>
      </c>
      <c r="H183" s="10" t="s">
        <v>886</v>
      </c>
      <c r="I183" s="10" t="s">
        <v>887</v>
      </c>
      <c r="J183" s="41">
        <f>1/3</f>
        <v>0.33333333333333331</v>
      </c>
      <c r="L183">
        <v>1</v>
      </c>
    </row>
    <row r="184" spans="1:12" s="33" customFormat="1">
      <c r="A184" s="31" t="s">
        <v>888</v>
      </c>
      <c r="B184" s="31" t="s">
        <v>626</v>
      </c>
      <c r="C184" s="31" t="s">
        <v>627</v>
      </c>
      <c r="D184" s="32" t="s">
        <v>861</v>
      </c>
      <c r="E184" s="32" t="s">
        <v>862</v>
      </c>
      <c r="F184" s="32" t="s">
        <v>881</v>
      </c>
      <c r="G184" s="32" t="s">
        <v>882</v>
      </c>
      <c r="H184" s="32" t="s">
        <v>889</v>
      </c>
      <c r="I184" s="32" t="s">
        <v>890</v>
      </c>
      <c r="J184" s="42">
        <f>1/3</f>
        <v>0.33333333333333331</v>
      </c>
      <c r="L184" s="33">
        <v>1</v>
      </c>
    </row>
    <row r="185" spans="1:12" s="36" customFormat="1">
      <c r="A185" s="34" t="s">
        <v>891</v>
      </c>
      <c r="B185" s="34" t="s">
        <v>626</v>
      </c>
      <c r="C185" s="34" t="s">
        <v>627</v>
      </c>
      <c r="D185" s="35" t="s">
        <v>861</v>
      </c>
      <c r="E185" s="35" t="s">
        <v>862</v>
      </c>
      <c r="F185" s="35" t="s">
        <v>892</v>
      </c>
      <c r="G185" s="35" t="s">
        <v>893</v>
      </c>
      <c r="H185" s="35" t="s">
        <v>894</v>
      </c>
      <c r="I185" s="35" t="s">
        <v>895</v>
      </c>
      <c r="J185" s="43">
        <f>1/2</f>
        <v>0.5</v>
      </c>
      <c r="L185" s="36">
        <v>1</v>
      </c>
    </row>
    <row r="186" spans="1:12" s="33" customFormat="1">
      <c r="A186" s="31" t="s">
        <v>896</v>
      </c>
      <c r="B186" s="31" t="s">
        <v>626</v>
      </c>
      <c r="C186" s="31" t="s">
        <v>627</v>
      </c>
      <c r="D186" s="32" t="s">
        <v>861</v>
      </c>
      <c r="E186" s="32" t="s">
        <v>897</v>
      </c>
      <c r="F186" s="32" t="s">
        <v>892</v>
      </c>
      <c r="G186" s="32" t="s">
        <v>893</v>
      </c>
      <c r="H186" s="32" t="s">
        <v>898</v>
      </c>
      <c r="I186" s="32" t="s">
        <v>899</v>
      </c>
      <c r="J186" s="42">
        <f>1/2</f>
        <v>0.5</v>
      </c>
      <c r="L186" s="33">
        <v>1</v>
      </c>
    </row>
    <row r="187" spans="1:12" s="39" customFormat="1">
      <c r="A187" s="37" t="s">
        <v>900</v>
      </c>
      <c r="B187" s="37" t="s">
        <v>626</v>
      </c>
      <c r="C187" s="37" t="s">
        <v>627</v>
      </c>
      <c r="D187" s="38" t="s">
        <v>901</v>
      </c>
      <c r="E187" s="38" t="s">
        <v>902</v>
      </c>
      <c r="F187" s="38" t="s">
        <v>903</v>
      </c>
      <c r="G187" s="38" t="s">
        <v>904</v>
      </c>
      <c r="H187" s="38" t="s">
        <v>905</v>
      </c>
      <c r="I187" s="38" t="s">
        <v>906</v>
      </c>
      <c r="J187" s="44">
        <v>1</v>
      </c>
      <c r="L187" s="39">
        <v>1</v>
      </c>
    </row>
    <row r="188" spans="1:12" s="39" customFormat="1">
      <c r="A188" s="37" t="s">
        <v>907</v>
      </c>
      <c r="B188" s="37" t="s">
        <v>626</v>
      </c>
      <c r="C188" s="37" t="s">
        <v>627</v>
      </c>
      <c r="D188" s="38" t="s">
        <v>901</v>
      </c>
      <c r="E188" s="38" t="s">
        <v>902</v>
      </c>
      <c r="F188" s="38" t="s">
        <v>908</v>
      </c>
      <c r="G188" s="38" t="s">
        <v>909</v>
      </c>
      <c r="H188" s="38" t="s">
        <v>910</v>
      </c>
      <c r="I188" s="38" t="s">
        <v>911</v>
      </c>
      <c r="J188" s="44">
        <v>1</v>
      </c>
      <c r="L188" s="39">
        <v>1</v>
      </c>
    </row>
    <row r="189" spans="1:12" s="36" customFormat="1">
      <c r="A189" s="34" t="s">
        <v>912</v>
      </c>
      <c r="B189" s="34" t="s">
        <v>913</v>
      </c>
      <c r="C189" s="34" t="s">
        <v>914</v>
      </c>
      <c r="D189" s="35" t="s">
        <v>915</v>
      </c>
      <c r="E189" s="35" t="s">
        <v>916</v>
      </c>
      <c r="F189" s="35" t="s">
        <v>917</v>
      </c>
      <c r="G189" s="35" t="s">
        <v>918</v>
      </c>
      <c r="H189" s="35" t="s">
        <v>919</v>
      </c>
      <c r="I189" s="35" t="s">
        <v>920</v>
      </c>
      <c r="J189" s="43">
        <f>1/5</f>
        <v>0.2</v>
      </c>
      <c r="L189" s="36">
        <v>3</v>
      </c>
    </row>
    <row r="190" spans="1:12">
      <c r="A190" s="3" t="s">
        <v>921</v>
      </c>
      <c r="B190" s="3" t="s">
        <v>913</v>
      </c>
      <c r="C190" s="3" t="s">
        <v>914</v>
      </c>
      <c r="D190" s="10" t="s">
        <v>915</v>
      </c>
      <c r="E190" s="10" t="s">
        <v>916</v>
      </c>
      <c r="F190" s="10" t="s">
        <v>917</v>
      </c>
      <c r="G190" s="10" t="s">
        <v>918</v>
      </c>
      <c r="H190" s="10" t="s">
        <v>922</v>
      </c>
      <c r="I190" s="10" t="s">
        <v>923</v>
      </c>
      <c r="J190" s="41">
        <f>1/5</f>
        <v>0.2</v>
      </c>
      <c r="L190">
        <v>3</v>
      </c>
    </row>
    <row r="191" spans="1:12">
      <c r="A191" s="3" t="s">
        <v>924</v>
      </c>
      <c r="B191" s="3" t="s">
        <v>913</v>
      </c>
      <c r="C191" s="3" t="s">
        <v>914</v>
      </c>
      <c r="D191" s="10" t="s">
        <v>915</v>
      </c>
      <c r="E191" s="10" t="s">
        <v>916</v>
      </c>
      <c r="F191" s="10" t="s">
        <v>917</v>
      </c>
      <c r="G191" s="10" t="s">
        <v>918</v>
      </c>
      <c r="H191" s="10" t="s">
        <v>925</v>
      </c>
      <c r="I191" s="10" t="s">
        <v>926</v>
      </c>
      <c r="J191" s="41">
        <f>1/5</f>
        <v>0.2</v>
      </c>
      <c r="L191">
        <v>3</v>
      </c>
    </row>
    <row r="192" spans="1:12">
      <c r="A192" s="3" t="s">
        <v>927</v>
      </c>
      <c r="B192" s="3" t="s">
        <v>913</v>
      </c>
      <c r="C192" s="3" t="s">
        <v>914</v>
      </c>
      <c r="D192" s="10" t="s">
        <v>915</v>
      </c>
      <c r="E192" s="10" t="s">
        <v>916</v>
      </c>
      <c r="F192" s="10" t="s">
        <v>917</v>
      </c>
      <c r="G192" s="10" t="s">
        <v>918</v>
      </c>
      <c r="H192" s="10" t="s">
        <v>928</v>
      </c>
      <c r="I192" s="10" t="s">
        <v>929</v>
      </c>
      <c r="J192" s="41">
        <f>1/5</f>
        <v>0.2</v>
      </c>
      <c r="L192">
        <v>3</v>
      </c>
    </row>
    <row r="193" spans="1:12" s="33" customFormat="1">
      <c r="A193" s="31" t="s">
        <v>930</v>
      </c>
      <c r="B193" s="31" t="s">
        <v>913</v>
      </c>
      <c r="C193" s="31" t="s">
        <v>914</v>
      </c>
      <c r="D193" s="32" t="s">
        <v>915</v>
      </c>
      <c r="E193" s="32" t="s">
        <v>916</v>
      </c>
      <c r="F193" s="32" t="s">
        <v>917</v>
      </c>
      <c r="G193" s="32" t="s">
        <v>918</v>
      </c>
      <c r="H193" s="32" t="s">
        <v>931</v>
      </c>
      <c r="I193" s="32" t="s">
        <v>932</v>
      </c>
      <c r="J193" s="42">
        <f>1/5</f>
        <v>0.2</v>
      </c>
      <c r="L193" s="33">
        <v>3</v>
      </c>
    </row>
    <row r="194" spans="1:12" s="36" customFormat="1">
      <c r="A194" s="34" t="s">
        <v>933</v>
      </c>
      <c r="B194" s="34" t="s">
        <v>913</v>
      </c>
      <c r="C194" s="34" t="s">
        <v>914</v>
      </c>
      <c r="D194" s="35" t="s">
        <v>915</v>
      </c>
      <c r="E194" s="35" t="s">
        <v>916</v>
      </c>
      <c r="F194" s="35" t="s">
        <v>934</v>
      </c>
      <c r="G194" s="35" t="s">
        <v>935</v>
      </c>
      <c r="H194" s="35" t="s">
        <v>936</v>
      </c>
      <c r="I194" s="35" t="s">
        <v>937</v>
      </c>
      <c r="J194" s="43">
        <f>1/4</f>
        <v>0.25</v>
      </c>
      <c r="L194" s="36">
        <v>3</v>
      </c>
    </row>
    <row r="195" spans="1:12">
      <c r="A195" s="3" t="s">
        <v>938</v>
      </c>
      <c r="B195" s="3" t="s">
        <v>913</v>
      </c>
      <c r="C195" s="3" t="s">
        <v>914</v>
      </c>
      <c r="D195" s="10" t="s">
        <v>915</v>
      </c>
      <c r="E195" s="10" t="s">
        <v>916</v>
      </c>
      <c r="F195" s="10" t="s">
        <v>934</v>
      </c>
      <c r="G195" s="10" t="s">
        <v>935</v>
      </c>
      <c r="H195" s="10" t="s">
        <v>939</v>
      </c>
      <c r="I195" s="10" t="s">
        <v>940</v>
      </c>
      <c r="J195" s="41">
        <f>1/4</f>
        <v>0.25</v>
      </c>
      <c r="L195">
        <v>3</v>
      </c>
    </row>
    <row r="196" spans="1:12">
      <c r="A196" s="3" t="s">
        <v>941</v>
      </c>
      <c r="B196" s="3" t="s">
        <v>913</v>
      </c>
      <c r="C196" s="3" t="s">
        <v>914</v>
      </c>
      <c r="D196" s="10" t="s">
        <v>915</v>
      </c>
      <c r="E196" s="10" t="s">
        <v>916</v>
      </c>
      <c r="F196" s="10" t="s">
        <v>934</v>
      </c>
      <c r="G196" s="10" t="s">
        <v>935</v>
      </c>
      <c r="H196" s="10" t="s">
        <v>942</v>
      </c>
      <c r="I196" s="10" t="s">
        <v>943</v>
      </c>
      <c r="J196" s="41">
        <f>1/4</f>
        <v>0.25</v>
      </c>
      <c r="L196">
        <v>3</v>
      </c>
    </row>
    <row r="197" spans="1:12" s="33" customFormat="1">
      <c r="A197" s="31" t="s">
        <v>944</v>
      </c>
      <c r="B197" s="31" t="s">
        <v>913</v>
      </c>
      <c r="C197" s="31" t="s">
        <v>914</v>
      </c>
      <c r="D197" s="32" t="s">
        <v>915</v>
      </c>
      <c r="E197" s="32" t="s">
        <v>916</v>
      </c>
      <c r="F197" s="32" t="s">
        <v>934</v>
      </c>
      <c r="G197" s="32" t="s">
        <v>935</v>
      </c>
      <c r="H197" s="32" t="s">
        <v>945</v>
      </c>
      <c r="I197" s="32" t="s">
        <v>946</v>
      </c>
      <c r="J197" s="42">
        <f>1/4</f>
        <v>0.25</v>
      </c>
      <c r="L197" s="33">
        <v>3</v>
      </c>
    </row>
    <row r="198" spans="1:12" s="36" customFormat="1">
      <c r="A198" s="34" t="s">
        <v>947</v>
      </c>
      <c r="B198" s="34" t="s">
        <v>913</v>
      </c>
      <c r="C198" s="34" t="s">
        <v>914</v>
      </c>
      <c r="D198" s="35" t="s">
        <v>915</v>
      </c>
      <c r="E198" s="35" t="s">
        <v>916</v>
      </c>
      <c r="F198" s="35" t="s">
        <v>948</v>
      </c>
      <c r="G198" s="35" t="s">
        <v>949</v>
      </c>
      <c r="H198" s="35" t="s">
        <v>950</v>
      </c>
      <c r="I198" s="35" t="s">
        <v>951</v>
      </c>
      <c r="J198" s="43">
        <f>1/6</f>
        <v>0.16666666666666666</v>
      </c>
      <c r="L198" s="36">
        <v>3</v>
      </c>
    </row>
    <row r="199" spans="1:12">
      <c r="A199" s="3" t="s">
        <v>952</v>
      </c>
      <c r="B199" s="3" t="s">
        <v>913</v>
      </c>
      <c r="C199" s="3" t="s">
        <v>914</v>
      </c>
      <c r="D199" s="10" t="s">
        <v>915</v>
      </c>
      <c r="E199" s="10" t="s">
        <v>916</v>
      </c>
      <c r="F199" s="10" t="s">
        <v>948</v>
      </c>
      <c r="G199" s="10" t="s">
        <v>949</v>
      </c>
      <c r="H199" s="10" t="s">
        <v>953</v>
      </c>
      <c r="I199" s="10" t="s">
        <v>954</v>
      </c>
      <c r="J199" s="41">
        <f>1/6</f>
        <v>0.16666666666666666</v>
      </c>
      <c r="L199">
        <v>3</v>
      </c>
    </row>
    <row r="200" spans="1:12">
      <c r="A200" s="3" t="s">
        <v>955</v>
      </c>
      <c r="B200" s="3" t="s">
        <v>913</v>
      </c>
      <c r="C200" s="3" t="s">
        <v>914</v>
      </c>
      <c r="D200" s="10" t="s">
        <v>915</v>
      </c>
      <c r="E200" s="10" t="s">
        <v>916</v>
      </c>
      <c r="F200" s="10" t="s">
        <v>948</v>
      </c>
      <c r="G200" s="10" t="s">
        <v>949</v>
      </c>
      <c r="H200" s="10" t="s">
        <v>956</v>
      </c>
      <c r="I200" s="10" t="s">
        <v>957</v>
      </c>
      <c r="J200" s="41">
        <f>1/6</f>
        <v>0.16666666666666666</v>
      </c>
      <c r="L200">
        <v>3</v>
      </c>
    </row>
    <row r="201" spans="1:12">
      <c r="A201" s="3" t="s">
        <v>958</v>
      </c>
      <c r="B201" s="3" t="s">
        <v>913</v>
      </c>
      <c r="C201" s="3" t="s">
        <v>914</v>
      </c>
      <c r="D201" s="10" t="s">
        <v>915</v>
      </c>
      <c r="E201" s="10" t="s">
        <v>916</v>
      </c>
      <c r="F201" s="10" t="s">
        <v>948</v>
      </c>
      <c r="G201" s="10" t="s">
        <v>949</v>
      </c>
      <c r="H201" s="10" t="s">
        <v>959</v>
      </c>
      <c r="I201" s="10" t="s">
        <v>960</v>
      </c>
      <c r="J201" s="41">
        <f>1/6</f>
        <v>0.16666666666666666</v>
      </c>
      <c r="L201">
        <v>3</v>
      </c>
    </row>
    <row r="202" spans="1:12">
      <c r="A202" s="3" t="s">
        <v>961</v>
      </c>
      <c r="B202" s="3" t="s">
        <v>913</v>
      </c>
      <c r="C202" s="3" t="s">
        <v>914</v>
      </c>
      <c r="D202" s="10" t="s">
        <v>915</v>
      </c>
      <c r="E202" s="10" t="s">
        <v>916</v>
      </c>
      <c r="F202" s="10" t="s">
        <v>948</v>
      </c>
      <c r="G202" s="10" t="s">
        <v>949</v>
      </c>
      <c r="H202" s="10" t="s">
        <v>962</v>
      </c>
      <c r="I202" s="10" t="s">
        <v>963</v>
      </c>
      <c r="J202" s="41">
        <f>1/6</f>
        <v>0.16666666666666666</v>
      </c>
      <c r="L202">
        <v>3</v>
      </c>
    </row>
    <row r="203" spans="1:12" s="33" customFormat="1">
      <c r="A203" s="31" t="s">
        <v>964</v>
      </c>
      <c r="B203" s="31" t="s">
        <v>913</v>
      </c>
      <c r="C203" s="31" t="s">
        <v>914</v>
      </c>
      <c r="D203" s="32" t="s">
        <v>915</v>
      </c>
      <c r="E203" s="32" t="s">
        <v>916</v>
      </c>
      <c r="F203" s="32" t="s">
        <v>948</v>
      </c>
      <c r="G203" s="32" t="s">
        <v>949</v>
      </c>
      <c r="H203" s="32" t="s">
        <v>965</v>
      </c>
      <c r="I203" s="32" t="s">
        <v>966</v>
      </c>
      <c r="J203" s="42">
        <f>1/6</f>
        <v>0.16666666666666666</v>
      </c>
      <c r="L203" s="33">
        <v>3</v>
      </c>
    </row>
    <row r="204" spans="1:12" s="36" customFormat="1">
      <c r="A204" s="34" t="s">
        <v>967</v>
      </c>
      <c r="B204" s="34" t="s">
        <v>913</v>
      </c>
      <c r="C204" s="34" t="s">
        <v>914</v>
      </c>
      <c r="D204" s="35" t="s">
        <v>915</v>
      </c>
      <c r="E204" s="35" t="s">
        <v>916</v>
      </c>
      <c r="F204" s="35" t="s">
        <v>968</v>
      </c>
      <c r="G204" s="35" t="s">
        <v>969</v>
      </c>
      <c r="H204" s="35" t="s">
        <v>970</v>
      </c>
      <c r="I204" s="35" t="s">
        <v>971</v>
      </c>
      <c r="J204" s="43">
        <f>1/2</f>
        <v>0.5</v>
      </c>
      <c r="L204" s="36">
        <v>3</v>
      </c>
    </row>
    <row r="205" spans="1:12" s="33" customFormat="1">
      <c r="A205" s="31" t="s">
        <v>972</v>
      </c>
      <c r="B205" s="31" t="s">
        <v>913</v>
      </c>
      <c r="C205" s="31" t="s">
        <v>914</v>
      </c>
      <c r="D205" s="32" t="s">
        <v>915</v>
      </c>
      <c r="E205" s="32" t="s">
        <v>916</v>
      </c>
      <c r="F205" s="32" t="s">
        <v>968</v>
      </c>
      <c r="G205" s="32" t="s">
        <v>969</v>
      </c>
      <c r="H205" s="32" t="s">
        <v>973</v>
      </c>
      <c r="I205" s="32" t="s">
        <v>974</v>
      </c>
      <c r="J205" s="42">
        <f>1/2</f>
        <v>0.5</v>
      </c>
      <c r="L205" s="33">
        <v>3</v>
      </c>
    </row>
    <row r="206" spans="1:12" s="36" customFormat="1">
      <c r="A206" s="34" t="s">
        <v>975</v>
      </c>
      <c r="B206" s="34" t="s">
        <v>913</v>
      </c>
      <c r="C206" s="34" t="s">
        <v>914</v>
      </c>
      <c r="D206" s="35" t="s">
        <v>976</v>
      </c>
      <c r="E206" s="35" t="s">
        <v>977</v>
      </c>
      <c r="F206" s="35" t="s">
        <v>978</v>
      </c>
      <c r="G206" s="35" t="s">
        <v>979</v>
      </c>
      <c r="H206" s="35" t="s">
        <v>980</v>
      </c>
      <c r="I206" s="35" t="s">
        <v>981</v>
      </c>
      <c r="J206" s="43">
        <f>1/2</f>
        <v>0.5</v>
      </c>
      <c r="L206" s="36">
        <v>3</v>
      </c>
    </row>
    <row r="207" spans="1:12" s="33" customFormat="1">
      <c r="A207" s="31" t="s">
        <v>982</v>
      </c>
      <c r="B207" s="31" t="s">
        <v>913</v>
      </c>
      <c r="C207" s="31" t="s">
        <v>914</v>
      </c>
      <c r="D207" s="32" t="s">
        <v>976</v>
      </c>
      <c r="E207" s="32" t="s">
        <v>977</v>
      </c>
      <c r="F207" s="32" t="s">
        <v>978</v>
      </c>
      <c r="G207" s="32" t="s">
        <v>979</v>
      </c>
      <c r="H207" s="32" t="s">
        <v>983</v>
      </c>
      <c r="I207" s="32" t="s">
        <v>984</v>
      </c>
      <c r="J207" s="42">
        <f>1/2</f>
        <v>0.5</v>
      </c>
      <c r="L207" s="33">
        <v>3</v>
      </c>
    </row>
    <row r="208" spans="1:12" s="36" customFormat="1">
      <c r="A208" s="34" t="s">
        <v>985</v>
      </c>
      <c r="B208" s="34" t="s">
        <v>913</v>
      </c>
      <c r="C208" s="34" t="s">
        <v>914</v>
      </c>
      <c r="D208" s="35" t="s">
        <v>976</v>
      </c>
      <c r="E208" s="35" t="s">
        <v>977</v>
      </c>
      <c r="F208" s="35" t="s">
        <v>986</v>
      </c>
      <c r="G208" s="35" t="s">
        <v>987</v>
      </c>
      <c r="H208" s="35" t="s">
        <v>988</v>
      </c>
      <c r="I208" s="35" t="s">
        <v>989</v>
      </c>
      <c r="J208" s="43">
        <f>1/2</f>
        <v>0.5</v>
      </c>
      <c r="L208" s="36">
        <v>3</v>
      </c>
    </row>
    <row r="209" spans="1:12" s="33" customFormat="1">
      <c r="A209" s="31" t="s">
        <v>990</v>
      </c>
      <c r="B209" s="31" t="s">
        <v>913</v>
      </c>
      <c r="C209" s="31" t="s">
        <v>914</v>
      </c>
      <c r="D209" s="32" t="s">
        <v>976</v>
      </c>
      <c r="E209" s="32" t="s">
        <v>977</v>
      </c>
      <c r="F209" s="32" t="s">
        <v>986</v>
      </c>
      <c r="G209" s="32" t="s">
        <v>987</v>
      </c>
      <c r="H209" s="32" t="s">
        <v>991</v>
      </c>
      <c r="I209" s="32" t="s">
        <v>992</v>
      </c>
      <c r="J209" s="42">
        <f>1/2</f>
        <v>0.5</v>
      </c>
      <c r="L209" s="33">
        <v>3</v>
      </c>
    </row>
    <row r="210" spans="1:12" s="36" customFormat="1">
      <c r="A210" s="34" t="s">
        <v>993</v>
      </c>
      <c r="B210" s="34" t="s">
        <v>913</v>
      </c>
      <c r="C210" s="34" t="s">
        <v>914</v>
      </c>
      <c r="D210" s="35" t="s">
        <v>976</v>
      </c>
      <c r="E210" s="35" t="s">
        <v>977</v>
      </c>
      <c r="F210" s="35" t="s">
        <v>994</v>
      </c>
      <c r="G210" s="35" t="s">
        <v>995</v>
      </c>
      <c r="H210" s="35" t="s">
        <v>996</v>
      </c>
      <c r="I210" s="35" t="s">
        <v>997</v>
      </c>
      <c r="J210" s="43">
        <f>1/3</f>
        <v>0.33333333333333331</v>
      </c>
      <c r="L210" s="36">
        <v>3</v>
      </c>
    </row>
    <row r="211" spans="1:12">
      <c r="A211" s="3" t="s">
        <v>998</v>
      </c>
      <c r="B211" s="3" t="s">
        <v>913</v>
      </c>
      <c r="C211" s="3" t="s">
        <v>914</v>
      </c>
      <c r="D211" s="10" t="s">
        <v>976</v>
      </c>
      <c r="E211" s="10" t="s">
        <v>977</v>
      </c>
      <c r="F211" s="10" t="s">
        <v>994</v>
      </c>
      <c r="G211" s="10" t="s">
        <v>995</v>
      </c>
      <c r="H211" s="10" t="s">
        <v>999</v>
      </c>
      <c r="I211" s="10" t="s">
        <v>1000</v>
      </c>
      <c r="J211" s="41">
        <f>1/3</f>
        <v>0.33333333333333331</v>
      </c>
      <c r="L211">
        <v>3</v>
      </c>
    </row>
    <row r="212" spans="1:12" s="33" customFormat="1">
      <c r="A212" s="31" t="s">
        <v>1001</v>
      </c>
      <c r="B212" s="31" t="s">
        <v>913</v>
      </c>
      <c r="C212" s="31" t="s">
        <v>914</v>
      </c>
      <c r="D212" s="32" t="s">
        <v>976</v>
      </c>
      <c r="E212" s="32" t="s">
        <v>977</v>
      </c>
      <c r="F212" s="32" t="s">
        <v>994</v>
      </c>
      <c r="G212" s="32" t="s">
        <v>995</v>
      </c>
      <c r="H212" s="32" t="s">
        <v>1002</v>
      </c>
      <c r="I212" s="32" t="s">
        <v>1003</v>
      </c>
      <c r="J212" s="42">
        <f>1/3</f>
        <v>0.33333333333333331</v>
      </c>
      <c r="L212" s="33">
        <v>3</v>
      </c>
    </row>
    <row r="213" spans="1:12" s="39" customFormat="1">
      <c r="A213" s="37" t="s">
        <v>1004</v>
      </c>
      <c r="B213" s="37" t="s">
        <v>913</v>
      </c>
      <c r="C213" s="37" t="s">
        <v>914</v>
      </c>
      <c r="D213" s="38" t="s">
        <v>976</v>
      </c>
      <c r="E213" s="38" t="s">
        <v>977</v>
      </c>
      <c r="F213" s="38" t="s">
        <v>1005</v>
      </c>
      <c r="G213" s="38" t="s">
        <v>1006</v>
      </c>
      <c r="H213" s="38" t="s">
        <v>1007</v>
      </c>
      <c r="I213" s="38" t="s">
        <v>1008</v>
      </c>
      <c r="J213" s="44">
        <v>1</v>
      </c>
      <c r="L213" s="39">
        <v>3</v>
      </c>
    </row>
    <row r="214" spans="1:12" s="36" customFormat="1">
      <c r="A214" s="34" t="s">
        <v>1009</v>
      </c>
      <c r="B214" s="34" t="s">
        <v>913</v>
      </c>
      <c r="C214" s="34" t="s">
        <v>914</v>
      </c>
      <c r="D214" s="35" t="s">
        <v>976</v>
      </c>
      <c r="E214" s="35" t="s">
        <v>977</v>
      </c>
      <c r="F214" s="35" t="s">
        <v>1010</v>
      </c>
      <c r="G214" s="35" t="s">
        <v>1011</v>
      </c>
      <c r="H214" s="35" t="s">
        <v>1012</v>
      </c>
      <c r="I214" s="35" t="s">
        <v>1013</v>
      </c>
      <c r="J214" s="43">
        <f>1/3</f>
        <v>0.33333333333333331</v>
      </c>
      <c r="L214" s="36">
        <v>3</v>
      </c>
    </row>
    <row r="215" spans="1:12">
      <c r="A215" s="3" t="s">
        <v>1014</v>
      </c>
      <c r="B215" s="3" t="s">
        <v>913</v>
      </c>
      <c r="C215" s="3" t="s">
        <v>914</v>
      </c>
      <c r="D215" s="10" t="s">
        <v>976</v>
      </c>
      <c r="E215" s="10" t="s">
        <v>977</v>
      </c>
      <c r="F215" s="10" t="s">
        <v>1010</v>
      </c>
      <c r="G215" s="10" t="s">
        <v>1011</v>
      </c>
      <c r="H215" s="10" t="s">
        <v>1015</v>
      </c>
      <c r="I215" s="10" t="s">
        <v>1016</v>
      </c>
      <c r="J215" s="41">
        <f>1/3</f>
        <v>0.33333333333333331</v>
      </c>
      <c r="L215">
        <v>3</v>
      </c>
    </row>
    <row r="216" spans="1:12" s="33" customFormat="1">
      <c r="A216" s="31" t="s">
        <v>1017</v>
      </c>
      <c r="B216" s="31" t="s">
        <v>913</v>
      </c>
      <c r="C216" s="31" t="s">
        <v>914</v>
      </c>
      <c r="D216" s="32" t="s">
        <v>976</v>
      </c>
      <c r="E216" s="32" t="s">
        <v>977</v>
      </c>
      <c r="F216" s="32" t="s">
        <v>1010</v>
      </c>
      <c r="G216" s="32" t="s">
        <v>1011</v>
      </c>
      <c r="H216" s="32" t="s">
        <v>1018</v>
      </c>
      <c r="I216" s="32" t="s">
        <v>1019</v>
      </c>
      <c r="J216" s="42">
        <f>1/3</f>
        <v>0.33333333333333331</v>
      </c>
      <c r="L216" s="33">
        <v>3</v>
      </c>
    </row>
    <row r="217" spans="1:12" s="36" customFormat="1">
      <c r="A217" s="34" t="s">
        <v>1020</v>
      </c>
      <c r="B217" s="34" t="s">
        <v>1021</v>
      </c>
      <c r="C217" s="34" t="s">
        <v>1022</v>
      </c>
      <c r="D217" s="35" t="s">
        <v>1023</v>
      </c>
      <c r="E217" s="35" t="s">
        <v>1024</v>
      </c>
      <c r="F217" s="35" t="s">
        <v>1025</v>
      </c>
      <c r="G217" s="35" t="s">
        <v>1026</v>
      </c>
      <c r="H217" s="35" t="s">
        <v>1027</v>
      </c>
      <c r="I217" s="35" t="s">
        <v>1028</v>
      </c>
      <c r="J217" s="43">
        <f>1/2</f>
        <v>0.5</v>
      </c>
      <c r="L217" s="36">
        <v>1</v>
      </c>
    </row>
    <row r="218" spans="1:12" s="33" customFormat="1">
      <c r="A218" s="31" t="s">
        <v>1029</v>
      </c>
      <c r="B218" s="31" t="s">
        <v>1021</v>
      </c>
      <c r="C218" s="31" t="s">
        <v>1022</v>
      </c>
      <c r="D218" s="32" t="s">
        <v>1023</v>
      </c>
      <c r="E218" s="32" t="s">
        <v>1024</v>
      </c>
      <c r="F218" s="32" t="s">
        <v>1025</v>
      </c>
      <c r="G218" s="32" t="s">
        <v>1026</v>
      </c>
      <c r="H218" s="32" t="s">
        <v>1030</v>
      </c>
      <c r="I218" s="32" t="s">
        <v>1031</v>
      </c>
      <c r="J218" s="42">
        <f>1/2</f>
        <v>0.5</v>
      </c>
      <c r="L218" s="33">
        <v>1</v>
      </c>
    </row>
    <row r="219" spans="1:12" s="36" customFormat="1">
      <c r="A219" s="34" t="s">
        <v>1032</v>
      </c>
      <c r="B219" s="34" t="s">
        <v>1021</v>
      </c>
      <c r="C219" s="34" t="s">
        <v>1022</v>
      </c>
      <c r="D219" s="35" t="s">
        <v>1023</v>
      </c>
      <c r="E219" s="35" t="s">
        <v>1024</v>
      </c>
      <c r="F219" s="35" t="s">
        <v>1033</v>
      </c>
      <c r="G219" s="35" t="s">
        <v>1034</v>
      </c>
      <c r="H219" s="35" t="s">
        <v>1035</v>
      </c>
      <c r="I219" s="35" t="s">
        <v>1036</v>
      </c>
      <c r="J219" s="43">
        <f>1/2</f>
        <v>0.5</v>
      </c>
      <c r="L219" s="36">
        <v>1</v>
      </c>
    </row>
    <row r="220" spans="1:12" s="33" customFormat="1">
      <c r="A220" s="31" t="s">
        <v>1037</v>
      </c>
      <c r="B220" s="31" t="s">
        <v>1021</v>
      </c>
      <c r="C220" s="31" t="s">
        <v>1022</v>
      </c>
      <c r="D220" s="32" t="s">
        <v>1023</v>
      </c>
      <c r="E220" s="32" t="s">
        <v>1024</v>
      </c>
      <c r="F220" s="32" t="s">
        <v>1033</v>
      </c>
      <c r="G220" s="32" t="s">
        <v>1034</v>
      </c>
      <c r="H220" s="32" t="s">
        <v>1038</v>
      </c>
      <c r="I220" s="32" t="s">
        <v>1039</v>
      </c>
      <c r="J220" s="42">
        <f>1/2</f>
        <v>0.5</v>
      </c>
      <c r="L220" s="33">
        <v>1</v>
      </c>
    </row>
    <row r="221" spans="1:12" s="36" customFormat="1">
      <c r="A221" s="34" t="s">
        <v>1040</v>
      </c>
      <c r="B221" s="34" t="s">
        <v>1021</v>
      </c>
      <c r="C221" s="34" t="s">
        <v>1022</v>
      </c>
      <c r="D221" s="35" t="s">
        <v>1023</v>
      </c>
      <c r="E221" s="35" t="s">
        <v>1024</v>
      </c>
      <c r="F221" s="35" t="s">
        <v>1041</v>
      </c>
      <c r="G221" s="35" t="s">
        <v>1042</v>
      </c>
      <c r="H221" s="35" t="s">
        <v>1043</v>
      </c>
      <c r="I221" s="35" t="s">
        <v>1044</v>
      </c>
      <c r="J221" s="43">
        <f>1/2</f>
        <v>0.5</v>
      </c>
      <c r="L221" s="36">
        <v>1</v>
      </c>
    </row>
    <row r="222" spans="1:12" s="33" customFormat="1">
      <c r="A222" s="31" t="s">
        <v>1045</v>
      </c>
      <c r="B222" s="31" t="s">
        <v>1021</v>
      </c>
      <c r="C222" s="31" t="s">
        <v>1022</v>
      </c>
      <c r="D222" s="32" t="s">
        <v>1023</v>
      </c>
      <c r="E222" s="32" t="s">
        <v>1024</v>
      </c>
      <c r="F222" s="32" t="s">
        <v>1041</v>
      </c>
      <c r="G222" s="32" t="s">
        <v>1042</v>
      </c>
      <c r="H222" s="32" t="s">
        <v>1046</v>
      </c>
      <c r="I222" s="32" t="s">
        <v>1047</v>
      </c>
      <c r="J222" s="42">
        <f>1/2</f>
        <v>0.5</v>
      </c>
      <c r="L222" s="33">
        <v>1</v>
      </c>
    </row>
  </sheetData>
  <pageMargins left="0.75" right="0.75" top="1" bottom="1" header="0.511811023622047" footer="0.511811023622047"/>
  <pageSetup paperSize="9" orientation="portrait" horizontalDpi="300" verticalDpi="300"/>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K232"/>
  <sheetViews>
    <sheetView zoomScaleNormal="100" workbookViewId="0">
      <pane ySplit="1" topLeftCell="A206" activePane="bottomLeft" state="frozen"/>
      <selection pane="bottomLeft" activeCell="B1" sqref="B1"/>
    </sheetView>
  </sheetViews>
  <sheetFormatPr defaultColWidth="8.7109375" defaultRowHeight="14.45"/>
  <cols>
    <col min="1" max="1" width="16.7109375" style="20" customWidth="1"/>
    <col min="2" max="2" width="52.140625" style="23" customWidth="1"/>
    <col min="3" max="3" width="18.140625" style="17" customWidth="1"/>
    <col min="4" max="4" width="11" customWidth="1"/>
    <col min="5" max="5" width="10" customWidth="1"/>
    <col min="6" max="6" width="15.140625" style="17" customWidth="1"/>
    <col min="7" max="7" width="15" style="45" customWidth="1"/>
    <col min="8" max="8" width="15" style="17" customWidth="1"/>
    <col min="9" max="9" width="16" style="17" customWidth="1"/>
    <col min="10" max="10" width="20.7109375" style="17" customWidth="1"/>
    <col min="11" max="11" width="15.42578125" customWidth="1"/>
  </cols>
  <sheetData>
    <row r="1" spans="1:11" ht="39.6">
      <c r="A1" s="12" t="s">
        <v>18</v>
      </c>
      <c r="B1" s="21" t="s">
        <v>19</v>
      </c>
      <c r="C1" s="9" t="s">
        <v>176</v>
      </c>
      <c r="D1" s="9" t="s">
        <v>179</v>
      </c>
      <c r="E1" s="9" t="s">
        <v>183</v>
      </c>
      <c r="F1" s="9" t="s">
        <v>1048</v>
      </c>
      <c r="G1" s="40" t="s">
        <v>1049</v>
      </c>
      <c r="H1" s="9" t="s">
        <v>1050</v>
      </c>
      <c r="I1" s="9" t="s">
        <v>1051</v>
      </c>
      <c r="J1" s="13" t="s">
        <v>1052</v>
      </c>
      <c r="K1" s="13" t="s">
        <v>1053</v>
      </c>
    </row>
    <row r="2" spans="1:11">
      <c r="A2" s="19" t="s">
        <v>37</v>
      </c>
      <c r="B2" s="22" t="str">
        <f>IFERROR(INDEX(Documentos!$B$2:$B$59,MATCH($A2,Documentos!$A$2:$A$59,0)),"")</f>
        <v>Compromiso de DDHH</v>
      </c>
      <c r="C2" s="18" t="s">
        <v>186</v>
      </c>
      <c r="D2" s="4" t="str">
        <f>IFERROR(INDEX('Criterios GISTM'!$D$2:$D$222,MATCH($C2,'Criterios GISTM'!$A$2:$A$222,0)),"")</f>
        <v>Principio 01</v>
      </c>
      <c r="E2" s="4" t="str">
        <f>IFERROR(INDEX('Criterios GISTM'!$H$2:$H$222,MATCH($C2,'Criterios GISTM'!$A$2:$A$222,0)),"")</f>
        <v xml:space="preserve"> 1.1 - A</v>
      </c>
      <c r="F2" s="16">
        <v>1</v>
      </c>
      <c r="G2" s="46">
        <f>IFERROR(INDEX('Criterios GISTM'!$J$2:$J$222,MATCH($C2,'Criterios GISTM'!$A$2:$A$222,0)),0)</f>
        <v>0.33333333333333331</v>
      </c>
      <c r="H2" s="24">
        <f>IFERROR(INDEX(Documentos!$F$2:$F$59,MATCH($A2,Documentos!$A$2:$A$59,0)),0)</f>
        <v>1</v>
      </c>
      <c r="I2" s="25">
        <f t="shared" ref="I2:J65" si="0">F2*G2*H2</f>
        <v>0.33333333333333331</v>
      </c>
      <c r="J2" s="48" t="s">
        <v>1054</v>
      </c>
      <c r="K2" s="48" t="s">
        <v>51</v>
      </c>
    </row>
    <row r="3" spans="1:11">
      <c r="A3" s="19" t="s">
        <v>48</v>
      </c>
      <c r="B3" s="22" t="str">
        <f>IFERROR(INDEX(Documentos!$B$2:$B$59,MATCH($A3,Documentos!$A$2:$A$59,0)),"")</f>
        <v>Informe de Proceso de Debida Diligencia</v>
      </c>
      <c r="C3" s="18" t="s">
        <v>195</v>
      </c>
      <c r="D3" s="4" t="str">
        <f>IFERROR(INDEX('Criterios GISTM'!$D$2:$D$222,MATCH($C3,'Criterios GISTM'!$A$2:$A$222,0)),"")</f>
        <v>Principio 01</v>
      </c>
      <c r="E3" s="4" t="str">
        <f>IFERROR(INDEX('Criterios GISTM'!$H$2:$H$222,MATCH($C3,'Criterios GISTM'!$A$2:$A$222,0)),"")</f>
        <v xml:space="preserve"> 1.1 - B</v>
      </c>
      <c r="F3" s="16">
        <v>1</v>
      </c>
      <c r="G3" s="46">
        <f>IFERROR(INDEX('Criterios GISTM'!$J$2:$J$222,MATCH($C3,'Criterios GISTM'!$A$2:$A$222,0)),0)</f>
        <v>0.33333333333333331</v>
      </c>
      <c r="H3" s="24">
        <f>IFERROR(INDEX(Documentos!$F$2:$F$59,MATCH($A3,Documentos!$A$2:$A$59,0)),0)</f>
        <v>0.7</v>
      </c>
      <c r="I3" s="25">
        <f t="shared" si="0"/>
        <v>0.23333333333333331</v>
      </c>
      <c r="J3" s="48" t="s">
        <v>1055</v>
      </c>
      <c r="K3" s="48" t="s">
        <v>51</v>
      </c>
    </row>
    <row r="4" spans="1:11">
      <c r="A4" s="19" t="s">
        <v>48</v>
      </c>
      <c r="B4" s="22" t="str">
        <f>IFERROR(INDEX(Documentos!$B$2:$B$59,MATCH($A4,Documentos!$A$2:$A$59,0)),"")</f>
        <v>Informe de Proceso de Debida Diligencia</v>
      </c>
      <c r="C4" s="18" t="s">
        <v>198</v>
      </c>
      <c r="D4" s="4" t="str">
        <f>IFERROR(INDEX('Criterios GISTM'!$D$2:$D$222,MATCH($C4,'Criterios GISTM'!$A$2:$A$222,0)),"")</f>
        <v>Principio 01</v>
      </c>
      <c r="E4" s="4" t="str">
        <f>IFERROR(INDEX('Criterios GISTM'!$H$2:$H$222,MATCH($C4,'Criterios GISTM'!$A$2:$A$222,0)),"")</f>
        <v xml:space="preserve"> 1.1 - C</v>
      </c>
      <c r="F4" s="16">
        <v>1</v>
      </c>
      <c r="G4" s="46">
        <f>IFERROR(INDEX('Criterios GISTM'!$J$2:$J$222,MATCH($C4,'Criterios GISTM'!$A$2:$A$222,0)),0)</f>
        <v>0.33333333333333331</v>
      </c>
      <c r="H4" s="24">
        <f>IFERROR(INDEX(Documentos!$F$2:$F$59,MATCH($A4,Documentos!$A$2:$A$59,0)),0)</f>
        <v>0.7</v>
      </c>
      <c r="I4" s="25">
        <f t="shared" si="0"/>
        <v>0.23333333333333331</v>
      </c>
      <c r="J4" s="48" t="s">
        <v>1056</v>
      </c>
      <c r="K4" s="48" t="s">
        <v>51</v>
      </c>
    </row>
    <row r="5" spans="1:11">
      <c r="A5" s="19" t="s">
        <v>52</v>
      </c>
      <c r="B5" s="22" t="str">
        <f>IFERROR(INDEX(Documentos!$B$2:$B$59,MATCH($A5,Documentos!$A$2:$A$59,0)),"")</f>
        <v>Nota Técnica No Afectación Pueblos Indígenas</v>
      </c>
      <c r="C5" s="18" t="s">
        <v>201</v>
      </c>
      <c r="D5" s="4" t="str">
        <f>IFERROR(INDEX('Criterios GISTM'!$D$2:$D$222,MATCH($C5,'Criterios GISTM'!$A$2:$A$222,0)),"")</f>
        <v>Principio 01</v>
      </c>
      <c r="E5" s="4" t="str">
        <f>IFERROR(INDEX('Criterios GISTM'!$H$2:$H$222,MATCH($C5,'Criterios GISTM'!$A$2:$A$222,0)),"")</f>
        <v xml:space="preserve"> 1.2 - A</v>
      </c>
      <c r="F5" s="16">
        <v>1</v>
      </c>
      <c r="G5" s="46">
        <f>IFERROR(INDEX('Criterios GISTM'!$J$2:$J$222,MATCH($C5,'Criterios GISTM'!$A$2:$A$222,0)),0)</f>
        <v>0.5</v>
      </c>
      <c r="H5" s="24">
        <f>IFERROR(INDEX(Documentos!$F$2:$F$59,MATCH($A5,Documentos!$A$2:$A$59,0)),0)</f>
        <v>0.2</v>
      </c>
      <c r="I5" s="25">
        <f t="shared" si="0"/>
        <v>0.1</v>
      </c>
      <c r="J5" s="48" t="s">
        <v>1057</v>
      </c>
      <c r="K5" s="48" t="s">
        <v>51</v>
      </c>
    </row>
    <row r="6" spans="1:11">
      <c r="A6" s="19" t="s">
        <v>52</v>
      </c>
      <c r="B6" s="22" t="str">
        <f>IFERROR(INDEX(Documentos!$B$2:$B$59,MATCH($A6,Documentos!$A$2:$A$59,0)),"")</f>
        <v>Nota Técnica No Afectación Pueblos Indígenas</v>
      </c>
      <c r="C6" s="18" t="s">
        <v>206</v>
      </c>
      <c r="D6" s="4" t="str">
        <f>IFERROR(INDEX('Criterios GISTM'!$D$2:$D$222,MATCH($C6,'Criterios GISTM'!$A$2:$A$222,0)),"")</f>
        <v>Principio 01</v>
      </c>
      <c r="E6" s="4" t="str">
        <f>IFERROR(INDEX('Criterios GISTM'!$H$2:$H$222,MATCH($C6,'Criterios GISTM'!$A$2:$A$222,0)),"")</f>
        <v xml:space="preserve"> 1.2 - B</v>
      </c>
      <c r="F6" s="16">
        <v>1</v>
      </c>
      <c r="G6" s="46">
        <f>IFERROR(INDEX('Criterios GISTM'!$J$2:$J$222,MATCH($C6,'Criterios GISTM'!$A$2:$A$222,0)),0)</f>
        <v>0.5</v>
      </c>
      <c r="H6" s="24">
        <f>IFERROR(INDEX(Documentos!$F$2:$F$59,MATCH($A6,Documentos!$A$2:$A$59,0)),0)</f>
        <v>0.2</v>
      </c>
      <c r="I6" s="25">
        <f t="shared" si="0"/>
        <v>0.1</v>
      </c>
      <c r="J6" s="48" t="s">
        <v>1058</v>
      </c>
      <c r="K6" s="48" t="s">
        <v>51</v>
      </c>
    </row>
    <row r="7" spans="1:11">
      <c r="A7" s="19" t="s">
        <v>55</v>
      </c>
      <c r="B7" s="22" t="str">
        <f>IFERROR(INDEX(Documentos!$B$2:$B$59,MATCH($A7,Documentos!$A$2:$A$59,0)),"")</f>
        <v>Informe de Identificación de Grupos Potenciales Afectados</v>
      </c>
      <c r="C7" s="18" t="s">
        <v>209</v>
      </c>
      <c r="D7" s="4" t="str">
        <f>IFERROR(INDEX('Criterios GISTM'!$D$2:$D$222,MATCH($C7,'Criterios GISTM'!$A$2:$A$222,0)),"")</f>
        <v>Principio 01</v>
      </c>
      <c r="E7" s="4" t="str">
        <f>IFERROR(INDEX('Criterios GISTM'!$H$2:$H$222,MATCH($C7,'Criterios GISTM'!$A$2:$A$222,0)),"")</f>
        <v xml:space="preserve"> 1.3 - A</v>
      </c>
      <c r="F7" s="16">
        <v>1</v>
      </c>
      <c r="G7" s="46">
        <f>IFERROR(INDEX('Criterios GISTM'!$J$2:$J$222,MATCH($C7,'Criterios GISTM'!$A$2:$A$222,0)),0)</f>
        <v>0.5</v>
      </c>
      <c r="H7" s="24">
        <f>IFERROR(INDEX(Documentos!$F$2:$F$59,MATCH($A7,Documentos!$A$2:$A$59,0)),0)</f>
        <v>0.2</v>
      </c>
      <c r="I7" s="25">
        <f t="shared" si="0"/>
        <v>0.1</v>
      </c>
      <c r="J7" s="48" t="s">
        <v>1059</v>
      </c>
      <c r="K7" s="48" t="s">
        <v>51</v>
      </c>
    </row>
    <row r="8" spans="1:11">
      <c r="A8" s="19" t="s">
        <v>58</v>
      </c>
      <c r="B8" s="22" t="str">
        <f>IFERROR(INDEX(Documentos!$B$2:$B$59,MATCH($A8,Documentos!$A$2:$A$59,0)),"")</f>
        <v>Procedimiento de Comunicación</v>
      </c>
      <c r="C8" s="18" t="s">
        <v>214</v>
      </c>
      <c r="D8" s="4" t="str">
        <f>IFERROR(INDEX('Criterios GISTM'!$D$2:$D$222,MATCH($C8,'Criterios GISTM'!$A$2:$A$222,0)),"")</f>
        <v>Principio 01</v>
      </c>
      <c r="E8" s="4" t="str">
        <f>IFERROR(INDEX('Criterios GISTM'!$H$2:$H$222,MATCH($C8,'Criterios GISTM'!$A$2:$A$222,0)),"")</f>
        <v xml:space="preserve"> 1.3 - B</v>
      </c>
      <c r="F8" s="16">
        <v>1</v>
      </c>
      <c r="G8" s="46">
        <f>IFERROR(INDEX('Criterios GISTM'!$J$2:$J$222,MATCH($C8,'Criterios GISTM'!$A$2:$A$222,0)),0)</f>
        <v>0.5</v>
      </c>
      <c r="H8" s="24">
        <f>IFERROR(INDEX(Documentos!$F$2:$F$59,MATCH($A8,Documentos!$A$2:$A$59,0)),0)</f>
        <v>0.2</v>
      </c>
      <c r="I8" s="25">
        <f t="shared" si="0"/>
        <v>0.1</v>
      </c>
      <c r="J8" s="48" t="s">
        <v>1060</v>
      </c>
      <c r="K8" s="48" t="s">
        <v>51</v>
      </c>
    </row>
    <row r="9" spans="1:11">
      <c r="A9" s="19" t="s">
        <v>58</v>
      </c>
      <c r="B9" s="22" t="str">
        <f>IFERROR(INDEX(Documentos!$B$2:$B$59,MATCH($A9,Documentos!$A$2:$A$59,0)),"")</f>
        <v>Procedimiento de Comunicación</v>
      </c>
      <c r="C9" s="18" t="s">
        <v>214</v>
      </c>
      <c r="D9" s="4" t="str">
        <f>IFERROR(INDEX('Criterios GISTM'!$D$2:$D$222,MATCH($C9,'Criterios GISTM'!$A$2:$A$222,0)),"")</f>
        <v>Principio 01</v>
      </c>
      <c r="E9" s="4" t="str">
        <f>IFERROR(INDEX('Criterios GISTM'!$H$2:$H$222,MATCH($C9,'Criterios GISTM'!$A$2:$A$222,0)),"")</f>
        <v xml:space="preserve"> 1.3 - B</v>
      </c>
      <c r="F9" s="16">
        <v>1</v>
      </c>
      <c r="G9" s="46">
        <f>IFERROR(INDEX('Criterios GISTM'!$J$2:$J$222,MATCH($C9,'Criterios GISTM'!$A$2:$A$222,0)),0)</f>
        <v>0.5</v>
      </c>
      <c r="H9" s="24">
        <f>IFERROR(INDEX(Documentos!$F$2:$F$59,MATCH($A9,Documentos!$A$2:$A$59,0)),0)</f>
        <v>0.2</v>
      </c>
      <c r="I9" s="25">
        <f t="shared" si="0"/>
        <v>0.1</v>
      </c>
      <c r="J9" s="48" t="s">
        <v>1061</v>
      </c>
      <c r="K9" s="48" t="s">
        <v>51</v>
      </c>
    </row>
    <row r="10" spans="1:11">
      <c r="A10" s="19" t="s">
        <v>58</v>
      </c>
      <c r="B10" s="22" t="str">
        <f>IFERROR(INDEX(Documentos!$B$2:$B$59,MATCH($A10,Documentos!$A$2:$A$59,0)),"")</f>
        <v>Procedimiento de Comunicación</v>
      </c>
      <c r="C10" s="18" t="s">
        <v>217</v>
      </c>
      <c r="D10" s="4" t="str">
        <f>IFERROR(INDEX('Criterios GISTM'!$D$2:$D$222,MATCH($C10,'Criterios GISTM'!$A$2:$A$222,0)),"")</f>
        <v>Principio 01</v>
      </c>
      <c r="E10" s="4" t="str">
        <f>IFERROR(INDEX('Criterios GISTM'!$H$2:$H$222,MATCH($C10,'Criterios GISTM'!$A$2:$A$222,0)),"")</f>
        <v xml:space="preserve"> 1.4 - A</v>
      </c>
      <c r="F10" s="16">
        <v>1</v>
      </c>
      <c r="G10" s="46">
        <f>IFERROR(INDEX('Criterios GISTM'!$J$2:$J$222,MATCH($C10,'Criterios GISTM'!$A$2:$A$222,0)),0)</f>
        <v>0.33333333333333331</v>
      </c>
      <c r="H10" s="24">
        <f>IFERROR(INDEX(Documentos!$F$2:$F$59,MATCH($A10,Documentos!$A$2:$A$59,0)),0)</f>
        <v>0.2</v>
      </c>
      <c r="I10" s="25">
        <f>F10*G10*H10</f>
        <v>6.6666666666666666E-2</v>
      </c>
      <c r="J10" s="48" t="s">
        <v>1062</v>
      </c>
      <c r="K10" s="48" t="s">
        <v>51</v>
      </c>
    </row>
    <row r="11" spans="1:11">
      <c r="A11" s="19" t="s">
        <v>58</v>
      </c>
      <c r="B11" s="22" t="str">
        <f>IFERROR(INDEX(Documentos!$B$2:$B$59,MATCH($A11,Documentos!$A$2:$A$59,0)),"")</f>
        <v>Procedimiento de Comunicación</v>
      </c>
      <c r="C11" s="18" t="s">
        <v>222</v>
      </c>
      <c r="D11" s="4" t="str">
        <f>IFERROR(INDEX('Criterios GISTM'!$D$2:$D$222,MATCH($C11,'Criterios GISTM'!$A$2:$A$222,0)),"")</f>
        <v>Principio 01</v>
      </c>
      <c r="E11" s="4" t="str">
        <f>IFERROR(INDEX('Criterios GISTM'!$H$2:$H$222,MATCH($C11,'Criterios GISTM'!$A$2:$A$222,0)),"")</f>
        <v xml:space="preserve"> 1.4 - B</v>
      </c>
      <c r="F11" s="16">
        <v>1</v>
      </c>
      <c r="G11" s="46">
        <f>IFERROR(INDEX('Criterios GISTM'!$J$2:$J$222,MATCH($C11,'Criterios GISTM'!$A$2:$A$222,0)),0)</f>
        <v>0.33333333333333331</v>
      </c>
      <c r="H11" s="24">
        <f>IFERROR(INDEX(Documentos!$F$2:$F$59,MATCH($A11,Documentos!$A$2:$A$59,0)),0)</f>
        <v>0.2</v>
      </c>
      <c r="I11" s="25">
        <f t="shared" si="0"/>
        <v>6.6666666666666666E-2</v>
      </c>
      <c r="J11" s="48" t="s">
        <v>1063</v>
      </c>
      <c r="K11" s="48" t="s">
        <v>51</v>
      </c>
    </row>
    <row r="12" spans="1:11">
      <c r="A12" s="19" t="s">
        <v>58</v>
      </c>
      <c r="B12" s="22" t="str">
        <f>IFERROR(INDEX(Documentos!$B$2:$B$59,MATCH($A12,Documentos!$A$2:$A$59,0)),"")</f>
        <v>Procedimiento de Comunicación</v>
      </c>
      <c r="C12" s="18" t="s">
        <v>227</v>
      </c>
      <c r="D12" s="4" t="str">
        <f>IFERROR(INDEX('Criterios GISTM'!$D$2:$D$222,MATCH($C12,'Criterios GISTM'!$A$2:$A$222,0)),"")</f>
        <v>Principio 01</v>
      </c>
      <c r="E12" s="4" t="str">
        <f>IFERROR(INDEX('Criterios GISTM'!$H$2:$H$222,MATCH($C12,'Criterios GISTM'!$A$2:$A$222,0)),"")</f>
        <v xml:space="preserve"> 1.4 - C</v>
      </c>
      <c r="F12" s="16">
        <v>1</v>
      </c>
      <c r="G12" s="46">
        <f>IFERROR(INDEX('Criterios GISTM'!$J$2:$J$222,MATCH($C12,'Criterios GISTM'!$A$2:$A$222,0)),0)</f>
        <v>0.33333333333333331</v>
      </c>
      <c r="H12" s="24">
        <f>IFERROR(INDEX(Documentos!$F$2:$F$59,MATCH($A12,Documentos!$A$2:$A$59,0)),0)</f>
        <v>0.2</v>
      </c>
      <c r="I12" s="25">
        <f t="shared" si="0"/>
        <v>6.6666666666666666E-2</v>
      </c>
      <c r="J12" s="48" t="s">
        <v>1064</v>
      </c>
      <c r="K12" s="48" t="s">
        <v>51</v>
      </c>
    </row>
    <row r="13" spans="1:11">
      <c r="A13" s="19" t="s">
        <v>61</v>
      </c>
      <c r="B13" s="22" t="str">
        <f>IFERROR(INDEX(Documentos!$B$2:$B$59,MATCH($A13,Documentos!$A$2:$A$59,0)),"")</f>
        <v>Informe de Contexto Social, Económico y Ambiental</v>
      </c>
      <c r="C13" s="18" t="s">
        <v>230</v>
      </c>
      <c r="D13" s="4" t="str">
        <f>IFERROR(INDEX('Criterios GISTM'!$D$2:$D$222,MATCH($C13,'Criterios GISTM'!$A$2:$A$222,0)),"")</f>
        <v>Principio 02</v>
      </c>
      <c r="E13" s="4" t="str">
        <f>IFERROR(INDEX('Criterios GISTM'!$H$2:$H$222,MATCH($C13,'Criterios GISTM'!$A$2:$A$222,0)),"")</f>
        <v xml:space="preserve"> 2.1 - A</v>
      </c>
      <c r="F13" s="16">
        <v>1</v>
      </c>
      <c r="G13" s="46">
        <f>IFERROR(INDEX('Criterios GISTM'!$J$2:$J$222,MATCH($C13,'Criterios GISTM'!$A$2:$A$222,0)),0)</f>
        <v>0.33333333333333331</v>
      </c>
      <c r="H13" s="24">
        <f>IFERROR(INDEX(Documentos!$F$2:$F$59,MATCH($A13,Documentos!$A$2:$A$59,0)),0)</f>
        <v>0.2</v>
      </c>
      <c r="I13" s="25">
        <f>F13*G13*H13</f>
        <v>6.6666666666666666E-2</v>
      </c>
      <c r="J13" s="48" t="s">
        <v>1065</v>
      </c>
      <c r="K13" s="48" t="s">
        <v>51</v>
      </c>
    </row>
    <row r="14" spans="1:11">
      <c r="A14" s="19" t="s">
        <v>61</v>
      </c>
      <c r="B14" s="22" t="str">
        <f>IFERROR(INDEX(Documentos!$B$2:$B$59,MATCH($A14,Documentos!$A$2:$A$59,0)),"")</f>
        <v>Informe de Contexto Social, Económico y Ambiental</v>
      </c>
      <c r="C14" s="18" t="s">
        <v>230</v>
      </c>
      <c r="D14" s="4" t="str">
        <f>IFERROR(INDEX('Criterios GISTM'!$D$2:$D$222,MATCH($C14,'Criterios GISTM'!$A$2:$A$222,0)),"")</f>
        <v>Principio 02</v>
      </c>
      <c r="E14" s="4" t="str">
        <f>IFERROR(INDEX('Criterios GISTM'!$H$2:$H$222,MATCH($C14,'Criterios GISTM'!$A$2:$A$222,0)),"")</f>
        <v xml:space="preserve"> 2.1 - A</v>
      </c>
      <c r="F14" s="16">
        <v>1</v>
      </c>
      <c r="G14" s="46">
        <f>IFERROR(INDEX('Criterios GISTM'!$J$2:$J$222,MATCH($C14,'Criterios GISTM'!$A$2:$A$222,0)),0)</f>
        <v>0.33333333333333331</v>
      </c>
      <c r="H14" s="24">
        <f>IFERROR(INDEX(Documentos!$F$2:$F$59,MATCH($A14,Documentos!$A$2:$A$59,0)),0)</f>
        <v>0.2</v>
      </c>
      <c r="I14" s="25">
        <f t="shared" si="0"/>
        <v>6.6666666666666666E-2</v>
      </c>
      <c r="J14" s="48" t="s">
        <v>1066</v>
      </c>
      <c r="K14" s="48" t="s">
        <v>51</v>
      </c>
    </row>
    <row r="15" spans="1:11">
      <c r="A15" s="19" t="s">
        <v>61</v>
      </c>
      <c r="B15" s="22" t="str">
        <f>IFERROR(INDEX(Documentos!$B$2:$B$59,MATCH($A15,Documentos!$A$2:$A$59,0)),"")</f>
        <v>Informe de Contexto Social, Económico y Ambiental</v>
      </c>
      <c r="C15" s="18" t="s">
        <v>239</v>
      </c>
      <c r="D15" s="4" t="str">
        <f>IFERROR(INDEX('Criterios GISTM'!$D$2:$D$222,MATCH($C15,'Criterios GISTM'!$A$2:$A$222,0)),"")</f>
        <v>Principio 02</v>
      </c>
      <c r="E15" s="4" t="str">
        <f>IFERROR(INDEX('Criterios GISTM'!$H$2:$H$222,MATCH($C15,'Criterios GISTM'!$A$2:$A$222,0)),"")</f>
        <v xml:space="preserve"> 2.1 - B</v>
      </c>
      <c r="F15" s="16">
        <v>1</v>
      </c>
      <c r="G15" s="46">
        <f>IFERROR(INDEX('Criterios GISTM'!$J$2:$J$222,MATCH($C15,'Criterios GISTM'!$A$2:$A$222,0)),0)</f>
        <v>0.33333333333333331</v>
      </c>
      <c r="H15" s="24">
        <f>IFERROR(INDEX(Documentos!$F$2:$F$59,MATCH($A15,Documentos!$A$2:$A$59,0)),0)</f>
        <v>0.2</v>
      </c>
      <c r="I15" s="25">
        <f t="shared" si="0"/>
        <v>6.6666666666666666E-2</v>
      </c>
      <c r="J15" s="48" t="s">
        <v>1067</v>
      </c>
      <c r="K15" s="48" t="s">
        <v>51</v>
      </c>
    </row>
    <row r="16" spans="1:11">
      <c r="A16" s="19" t="s">
        <v>61</v>
      </c>
      <c r="B16" s="22" t="str">
        <f>IFERROR(INDEX(Documentos!$B$2:$B$59,MATCH($A16,Documentos!$A$2:$A$59,0)),"")</f>
        <v>Informe de Contexto Social, Económico y Ambiental</v>
      </c>
      <c r="C16" s="18" t="s">
        <v>239</v>
      </c>
      <c r="D16" s="4" t="str">
        <f>IFERROR(INDEX('Criterios GISTM'!$D$2:$D$222,MATCH($C16,'Criterios GISTM'!$A$2:$A$222,0)),"")</f>
        <v>Principio 02</v>
      </c>
      <c r="E16" s="4" t="str">
        <f>IFERROR(INDEX('Criterios GISTM'!$H$2:$H$222,MATCH($C16,'Criterios GISTM'!$A$2:$A$222,0)),"")</f>
        <v xml:space="preserve"> 2.1 - B</v>
      </c>
      <c r="F16" s="16">
        <v>1</v>
      </c>
      <c r="G16" s="46">
        <f>IFERROR(INDEX('Criterios GISTM'!$J$2:$J$222,MATCH($C16,'Criterios GISTM'!$A$2:$A$222,0)),0)</f>
        <v>0.33333333333333331</v>
      </c>
      <c r="H16" s="24">
        <f>IFERROR(INDEX(Documentos!$F$2:$F$59,MATCH($A16,Documentos!$A$2:$A$59,0)),0)</f>
        <v>0.2</v>
      </c>
      <c r="I16" s="25">
        <f t="shared" si="0"/>
        <v>6.6666666666666666E-2</v>
      </c>
      <c r="J16" s="48" t="s">
        <v>1068</v>
      </c>
      <c r="K16" s="48" t="s">
        <v>51</v>
      </c>
    </row>
    <row r="17" spans="1:11">
      <c r="A17" s="19" t="s">
        <v>61</v>
      </c>
      <c r="B17" s="22" t="str">
        <f>IFERROR(INDEX(Documentos!$B$2:$B$59,MATCH($A17,Documentos!$A$2:$A$59,0)),"")</f>
        <v>Informe de Contexto Social, Económico y Ambiental</v>
      </c>
      <c r="C17" s="18" t="s">
        <v>242</v>
      </c>
      <c r="D17" s="4" t="str">
        <f>IFERROR(INDEX('Criterios GISTM'!$D$2:$D$222,MATCH($C17,'Criterios GISTM'!$A$2:$A$222,0)),"")</f>
        <v>Principio 02</v>
      </c>
      <c r="E17" s="4" t="str">
        <f>IFERROR(INDEX('Criterios GISTM'!$H$2:$H$222,MATCH($C17,'Criterios GISTM'!$A$2:$A$222,0)),"")</f>
        <v xml:space="preserve"> 2.1 - C</v>
      </c>
      <c r="F17" s="16">
        <v>1</v>
      </c>
      <c r="G17" s="46">
        <f>IFERROR(INDEX('Criterios GISTM'!$J$2:$J$222,MATCH($C17,'Criterios GISTM'!$A$2:$A$222,0)),0)</f>
        <v>0.33333333333333331</v>
      </c>
      <c r="H17" s="24">
        <f>IFERROR(INDEX(Documentos!$F$2:$F$59,MATCH($A17,Documentos!$A$2:$A$59,0)),0)</f>
        <v>0.2</v>
      </c>
      <c r="I17" s="25">
        <f t="shared" si="0"/>
        <v>6.6666666666666666E-2</v>
      </c>
      <c r="J17" s="48" t="s">
        <v>1069</v>
      </c>
      <c r="K17" s="48" t="s">
        <v>51</v>
      </c>
    </row>
    <row r="18" spans="1:11">
      <c r="A18" s="19" t="s">
        <v>61</v>
      </c>
      <c r="B18" s="22" t="str">
        <f>IFERROR(INDEX(Documentos!$B$2:$B$59,MATCH($A18,Documentos!$A$2:$A$59,0)),"")</f>
        <v>Informe de Contexto Social, Económico y Ambiental</v>
      </c>
      <c r="C18" s="18" t="s">
        <v>242</v>
      </c>
      <c r="D18" s="4" t="str">
        <f>IFERROR(INDEX('Criterios GISTM'!$D$2:$D$222,MATCH($C18,'Criterios GISTM'!$A$2:$A$222,0)),"")</f>
        <v>Principio 02</v>
      </c>
      <c r="E18" s="4" t="str">
        <f>IFERROR(INDEX('Criterios GISTM'!$H$2:$H$222,MATCH($C18,'Criterios GISTM'!$A$2:$A$222,0)),"")</f>
        <v xml:space="preserve"> 2.1 - C</v>
      </c>
      <c r="F18" s="16">
        <v>1</v>
      </c>
      <c r="G18" s="46">
        <f>IFERROR(INDEX('Criterios GISTM'!$J$2:$J$222,MATCH($C18,'Criterios GISTM'!$A$2:$A$222,0)),0)</f>
        <v>0.33333333333333331</v>
      </c>
      <c r="H18" s="24">
        <f>IFERROR(INDEX(Documentos!$F$2:$F$59,MATCH($A18,Documentos!$A$2:$A$59,0)),0)</f>
        <v>0.2</v>
      </c>
      <c r="I18" s="25">
        <f t="shared" si="0"/>
        <v>6.6666666666666666E-2</v>
      </c>
      <c r="J18" s="48" t="s">
        <v>1070</v>
      </c>
      <c r="K18" s="48" t="s">
        <v>51</v>
      </c>
    </row>
    <row r="19" spans="1:11">
      <c r="A19" s="19" t="s">
        <v>64</v>
      </c>
      <c r="B19" s="22" t="str">
        <f>IFERROR(INDEX(Documentos!$B$2:$B$59,MATCH($A19,Documentos!$A$2:$A$59,0)),"")</f>
        <v>Informe de Caracterización del Sitio</v>
      </c>
      <c r="C19" s="18" t="s">
        <v>245</v>
      </c>
      <c r="D19" s="4" t="str">
        <f>IFERROR(INDEX('Criterios GISTM'!$D$2:$D$222,MATCH($C19,'Criterios GISTM'!$A$2:$A$222,0)),"")</f>
        <v>Principio 02</v>
      </c>
      <c r="E19" s="4" t="str">
        <f>IFERROR(INDEX('Criterios GISTM'!$H$2:$H$222,MATCH($C19,'Criterios GISTM'!$A$2:$A$222,0)),"")</f>
        <v xml:space="preserve"> 2.2 - A</v>
      </c>
      <c r="F19" s="16">
        <v>1</v>
      </c>
      <c r="G19" s="46">
        <f>IFERROR(INDEX('Criterios GISTM'!$J$2:$J$222,MATCH($C19,'Criterios GISTM'!$A$2:$A$222,0)),0)</f>
        <v>0.33333333333333331</v>
      </c>
      <c r="H19" s="24">
        <f>IFERROR(INDEX(Documentos!$F$2:$F$59,MATCH($A19,Documentos!$A$2:$A$59,0)),0)</f>
        <v>1</v>
      </c>
      <c r="I19" s="25">
        <f t="shared" si="0"/>
        <v>0.33333333333333331</v>
      </c>
      <c r="J19" s="48" t="s">
        <v>1071</v>
      </c>
      <c r="K19" s="48" t="s">
        <v>51</v>
      </c>
    </row>
    <row r="20" spans="1:11">
      <c r="A20" s="19" t="s">
        <v>64</v>
      </c>
      <c r="B20" s="22" t="str">
        <f>IFERROR(INDEX(Documentos!$B$2:$B$59,MATCH($A20,Documentos!$A$2:$A$59,0)),"")</f>
        <v>Informe de Caracterización del Sitio</v>
      </c>
      <c r="C20" s="18" t="s">
        <v>250</v>
      </c>
      <c r="D20" s="4" t="str">
        <f>IFERROR(INDEX('Criterios GISTM'!$D$2:$D$222,MATCH($C20,'Criterios GISTM'!$A$2:$A$222,0)),"")</f>
        <v>Principio 02</v>
      </c>
      <c r="E20" s="4" t="str">
        <f>IFERROR(INDEX('Criterios GISTM'!$H$2:$H$222,MATCH($C20,'Criterios GISTM'!$A$2:$A$222,0)),"")</f>
        <v xml:space="preserve"> 2.2 - B</v>
      </c>
      <c r="F20" s="16">
        <v>1</v>
      </c>
      <c r="G20" s="46">
        <f>IFERROR(INDEX('Criterios GISTM'!$J$2:$J$222,MATCH($C20,'Criterios GISTM'!$A$2:$A$222,0)),0)</f>
        <v>0.33333333333333331</v>
      </c>
      <c r="H20" s="24">
        <f>IFERROR(INDEX(Documentos!$F$2:$F$59,MATCH($A20,Documentos!$A$2:$A$59,0)),0)</f>
        <v>1</v>
      </c>
      <c r="I20" s="25">
        <f t="shared" si="0"/>
        <v>0.33333333333333331</v>
      </c>
      <c r="J20" s="48" t="s">
        <v>1072</v>
      </c>
      <c r="K20" s="48" t="s">
        <v>51</v>
      </c>
    </row>
    <row r="21" spans="1:11">
      <c r="A21" s="19" t="s">
        <v>64</v>
      </c>
      <c r="B21" s="22" t="str">
        <f>IFERROR(INDEX(Documentos!$B$2:$B$59,MATCH($A21,Documentos!$A$2:$A$59,0)),"")</f>
        <v>Informe de Caracterización del Sitio</v>
      </c>
      <c r="C21" s="18" t="s">
        <v>253</v>
      </c>
      <c r="D21" s="4" t="str">
        <f>IFERROR(INDEX('Criterios GISTM'!$D$2:$D$222,MATCH($C21,'Criterios GISTM'!$A$2:$A$222,0)),"")</f>
        <v>Principio 02</v>
      </c>
      <c r="E21" s="4" t="str">
        <f>IFERROR(INDEX('Criterios GISTM'!$H$2:$H$222,MATCH($C21,'Criterios GISTM'!$A$2:$A$222,0)),"")</f>
        <v xml:space="preserve"> 2.2 - C</v>
      </c>
      <c r="F21" s="16">
        <v>1</v>
      </c>
      <c r="G21" s="46">
        <f>IFERROR(INDEX('Criterios GISTM'!$J$2:$J$222,MATCH($C21,'Criterios GISTM'!$A$2:$A$222,0)),0)</f>
        <v>0.33333333333333331</v>
      </c>
      <c r="H21" s="24">
        <f>IFERROR(INDEX(Documentos!$F$2:$F$59,MATCH($A21,Documentos!$A$2:$A$59,0)),0)</f>
        <v>1</v>
      </c>
      <c r="I21" s="25">
        <f t="shared" si="0"/>
        <v>0.33333333333333331</v>
      </c>
      <c r="J21" s="48" t="s">
        <v>1073</v>
      </c>
      <c r="K21" s="48" t="s">
        <v>51</v>
      </c>
    </row>
    <row r="22" spans="1:11">
      <c r="A22" s="19" t="s">
        <v>66</v>
      </c>
      <c r="B22" s="22" t="str">
        <f>IFERROR(INDEX(Documentos!$B$2:$B$59,MATCH($A22,Documentos!$A$2:$A$59,0)),"")</f>
        <v>Informe Análisis de Rotura de Presa (DBA)</v>
      </c>
      <c r="C22" s="18" t="s">
        <v>256</v>
      </c>
      <c r="D22" s="4" t="str">
        <f>IFERROR(INDEX('Criterios GISTM'!$D$2:$D$222,MATCH($C22,'Criterios GISTM'!$A$2:$A$222,0)),"")</f>
        <v>Principio 02</v>
      </c>
      <c r="E22" s="4" t="str">
        <f>IFERROR(INDEX('Criterios GISTM'!$H$2:$H$222,MATCH($C22,'Criterios GISTM'!$A$2:$A$222,0)),"")</f>
        <v xml:space="preserve"> 2.3 - A</v>
      </c>
      <c r="F22" s="16">
        <v>1</v>
      </c>
      <c r="G22" s="46">
        <f>IFERROR(INDEX('Criterios GISTM'!$J$2:$J$222,MATCH($C22,'Criterios GISTM'!$A$2:$A$222,0)),0)</f>
        <v>0.25</v>
      </c>
      <c r="H22" s="24">
        <f>IFERROR(INDEX(Documentos!$F$2:$F$59,MATCH($A22,Documentos!$A$2:$A$59,0)),0)</f>
        <v>1</v>
      </c>
      <c r="I22" s="25">
        <f t="shared" si="0"/>
        <v>0.25</v>
      </c>
      <c r="J22" s="48" t="s">
        <v>1074</v>
      </c>
      <c r="K22" s="48" t="s">
        <v>51</v>
      </c>
    </row>
    <row r="23" spans="1:11">
      <c r="A23" s="19" t="s">
        <v>66</v>
      </c>
      <c r="B23" s="22" t="str">
        <f>IFERROR(INDEX(Documentos!$B$2:$B$59,MATCH($A23,Documentos!$A$2:$A$59,0)),"")</f>
        <v>Informe Análisis de Rotura de Presa (DBA)</v>
      </c>
      <c r="C23" s="18" t="s">
        <v>261</v>
      </c>
      <c r="D23" s="4" t="str">
        <f>IFERROR(INDEX('Criterios GISTM'!$D$2:$D$222,MATCH($C23,'Criterios GISTM'!$A$2:$A$222,0)),"")</f>
        <v>Principio 02</v>
      </c>
      <c r="E23" s="4" t="str">
        <f>IFERROR(INDEX('Criterios GISTM'!$H$2:$H$222,MATCH($C23,'Criterios GISTM'!$A$2:$A$222,0)),"")</f>
        <v xml:space="preserve"> 2.3 - B</v>
      </c>
      <c r="F23" s="16">
        <v>1</v>
      </c>
      <c r="G23" s="46">
        <f>IFERROR(INDEX('Criterios GISTM'!$J$2:$J$222,MATCH($C23,'Criterios GISTM'!$A$2:$A$222,0)),0)</f>
        <v>0.25</v>
      </c>
      <c r="H23" s="24">
        <f>IFERROR(INDEX(Documentos!$F$2:$F$59,MATCH($A23,Documentos!$A$2:$A$59,0)),0)</f>
        <v>1</v>
      </c>
      <c r="I23" s="25">
        <f t="shared" si="0"/>
        <v>0.25</v>
      </c>
      <c r="J23" s="48" t="s">
        <v>1075</v>
      </c>
      <c r="K23" s="48" t="s">
        <v>51</v>
      </c>
    </row>
    <row r="24" spans="1:11">
      <c r="A24" s="19" t="s">
        <v>66</v>
      </c>
      <c r="B24" s="22" t="str">
        <f>IFERROR(INDEX(Documentos!$B$2:$B$59,MATCH($A24,Documentos!$A$2:$A$59,0)),"")</f>
        <v>Informe Análisis de Rotura de Presa (DBA)</v>
      </c>
      <c r="C24" s="18" t="s">
        <v>264</v>
      </c>
      <c r="D24" s="4" t="str">
        <f>IFERROR(INDEX('Criterios GISTM'!$D$2:$D$222,MATCH($C24,'Criterios GISTM'!$A$2:$A$222,0)),"")</f>
        <v>Principio 02</v>
      </c>
      <c r="E24" s="4" t="str">
        <f>IFERROR(INDEX('Criterios GISTM'!$H$2:$H$222,MATCH($C24,'Criterios GISTM'!$A$2:$A$222,0)),"")</f>
        <v xml:space="preserve"> 2.3 - C</v>
      </c>
      <c r="F24" s="16">
        <v>1</v>
      </c>
      <c r="G24" s="46">
        <f>IFERROR(INDEX('Criterios GISTM'!$J$2:$J$222,MATCH($C24,'Criterios GISTM'!$A$2:$A$222,0)),0)</f>
        <v>0.25</v>
      </c>
      <c r="H24" s="24">
        <f>IFERROR(INDEX(Documentos!$F$2:$F$59,MATCH($A24,Documentos!$A$2:$A$59,0)),0)</f>
        <v>1</v>
      </c>
      <c r="I24" s="25">
        <f t="shared" si="0"/>
        <v>0.25</v>
      </c>
      <c r="J24" s="48" t="s">
        <v>1076</v>
      </c>
      <c r="K24" s="48" t="s">
        <v>51</v>
      </c>
    </row>
    <row r="25" spans="1:11">
      <c r="A25" s="19" t="s">
        <v>66</v>
      </c>
      <c r="B25" s="22" t="str">
        <f>IFERROR(INDEX(Documentos!$B$2:$B$59,MATCH($A25,Documentos!$A$2:$A$59,0)),"")</f>
        <v>Informe Análisis de Rotura de Presa (DBA)</v>
      </c>
      <c r="C25" s="18" t="s">
        <v>267</v>
      </c>
      <c r="D25" s="4" t="str">
        <f>IFERROR(INDEX('Criterios GISTM'!$D$2:$D$222,MATCH($C25,'Criterios GISTM'!$A$2:$A$222,0)),"")</f>
        <v>Principio 02</v>
      </c>
      <c r="E25" s="4" t="str">
        <f>IFERROR(INDEX('Criterios GISTM'!$H$2:$H$222,MATCH($C25,'Criterios GISTM'!$A$2:$A$222,0)),"")</f>
        <v xml:space="preserve"> 2.3 - D</v>
      </c>
      <c r="F25" s="16">
        <v>1</v>
      </c>
      <c r="G25" s="46">
        <f>IFERROR(INDEX('Criterios GISTM'!$J$2:$J$222,MATCH($C25,'Criterios GISTM'!$A$2:$A$222,0)),0)</f>
        <v>0.25</v>
      </c>
      <c r="H25" s="24">
        <f>IFERROR(INDEX(Documentos!$F$2:$F$59,MATCH($A25,Documentos!$A$2:$A$59,0)),0)</f>
        <v>1</v>
      </c>
      <c r="I25" s="25">
        <f t="shared" si="0"/>
        <v>0.25</v>
      </c>
      <c r="J25" s="48" t="s">
        <v>1077</v>
      </c>
      <c r="K25" s="48" t="s">
        <v>51</v>
      </c>
    </row>
    <row r="26" spans="1:11">
      <c r="A26" s="19" t="s">
        <v>66</v>
      </c>
      <c r="B26" s="22" t="str">
        <f>IFERROR(INDEX(Documentos!$B$2:$B$59,MATCH($A26,Documentos!$A$2:$A$59,0)),"")</f>
        <v>Informe Análisis de Rotura de Presa (DBA)</v>
      </c>
      <c r="C26" s="18" t="s">
        <v>270</v>
      </c>
      <c r="D26" s="4" t="str">
        <f>IFERROR(INDEX('Criterios GISTM'!$D$2:$D$222,MATCH($C26,'Criterios GISTM'!$A$2:$A$222,0)),"")</f>
        <v>Principio 02</v>
      </c>
      <c r="E26" s="4" t="str">
        <f>IFERROR(INDEX('Criterios GISTM'!$H$2:$H$222,MATCH($C26,'Criterios GISTM'!$A$2:$A$222,0)),"")</f>
        <v xml:space="preserve"> 2.4 - A</v>
      </c>
      <c r="F26" s="16">
        <v>1</v>
      </c>
      <c r="G26" s="46">
        <f>IFERROR(INDEX('Criterios GISTM'!$J$2:$J$222,MATCH($C26,'Criterios GISTM'!$A$2:$A$222,0)),0)</f>
        <v>0.33333333333333331</v>
      </c>
      <c r="H26" s="24">
        <f>IFERROR(INDEX(Documentos!$F$2:$F$59,MATCH($A26,Documentos!$A$2:$A$59,0)),0)</f>
        <v>1</v>
      </c>
      <c r="I26" s="25">
        <f t="shared" si="0"/>
        <v>0.33333333333333331</v>
      </c>
      <c r="J26" s="48" t="s">
        <v>1078</v>
      </c>
      <c r="K26" s="48" t="s">
        <v>51</v>
      </c>
    </row>
    <row r="27" spans="1:11">
      <c r="A27" s="19" t="s">
        <v>68</v>
      </c>
      <c r="B27" s="22" t="str">
        <f>IFERROR(INDEX(Documentos!$B$2:$B$59,MATCH($A27,Documentos!$A$2:$A$59,0)),"")</f>
        <v>Informe Exposición y Vulnerabilidad</v>
      </c>
      <c r="C27" s="18" t="s">
        <v>270</v>
      </c>
      <c r="D27" s="4" t="str">
        <f>IFERROR(INDEX('Criterios GISTM'!$D$2:$D$222,MATCH($C27,'Criterios GISTM'!$A$2:$A$222,0)),"")</f>
        <v>Principio 02</v>
      </c>
      <c r="E27" s="4" t="str">
        <f>IFERROR(INDEX('Criterios GISTM'!$H$2:$H$222,MATCH($C27,'Criterios GISTM'!$A$2:$A$222,0)),"")</f>
        <v xml:space="preserve"> 2.4 - A</v>
      </c>
      <c r="F27" s="16">
        <v>1</v>
      </c>
      <c r="G27" s="46">
        <f>IFERROR(INDEX('Criterios GISTM'!$J$2:$J$222,MATCH($C27,'Criterios GISTM'!$A$2:$A$222,0)),0)</f>
        <v>0.33333333333333331</v>
      </c>
      <c r="H27" s="24">
        <f>IFERROR(INDEX(Documentos!$F$2:$F$59,MATCH($A27,Documentos!$A$2:$A$59,0)),0)</f>
        <v>1</v>
      </c>
      <c r="I27" s="25">
        <f t="shared" si="0"/>
        <v>0.33333333333333331</v>
      </c>
      <c r="J27" s="48" t="s">
        <v>1079</v>
      </c>
      <c r="K27" s="48" t="s">
        <v>51</v>
      </c>
    </row>
    <row r="28" spans="1:11">
      <c r="A28" s="19" t="s">
        <v>66</v>
      </c>
      <c r="B28" s="22" t="str">
        <f>IFERROR(INDEX(Documentos!$B$2:$B$59,MATCH($A28,Documentos!$A$2:$A$59,0)),"")</f>
        <v>Informe Análisis de Rotura de Presa (DBA)</v>
      </c>
      <c r="C28" s="18" t="s">
        <v>275</v>
      </c>
      <c r="D28" s="4" t="str">
        <f>IFERROR(INDEX('Criterios GISTM'!$D$2:$D$222,MATCH($C28,'Criterios GISTM'!$A$2:$A$222,0)),"")</f>
        <v>Principio 02</v>
      </c>
      <c r="E28" s="4" t="str">
        <f>IFERROR(INDEX('Criterios GISTM'!$H$2:$H$222,MATCH($C28,'Criterios GISTM'!$A$2:$A$222,0)),"")</f>
        <v xml:space="preserve"> 2.4 - B</v>
      </c>
      <c r="F28" s="16">
        <v>1</v>
      </c>
      <c r="G28" s="46">
        <f>IFERROR(INDEX('Criterios GISTM'!$J$2:$J$222,MATCH($C28,'Criterios GISTM'!$A$2:$A$222,0)),0)</f>
        <v>0.33333333333333331</v>
      </c>
      <c r="H28" s="24">
        <f>IFERROR(INDEX(Documentos!$F$2:$F$59,MATCH($A28,Documentos!$A$2:$A$59,0)),0)</f>
        <v>1</v>
      </c>
      <c r="I28" s="25">
        <f t="shared" si="0"/>
        <v>0.33333333333333331</v>
      </c>
      <c r="J28" s="48" t="s">
        <v>1080</v>
      </c>
      <c r="K28" s="48" t="s">
        <v>51</v>
      </c>
    </row>
    <row r="29" spans="1:11">
      <c r="A29" s="19" t="s">
        <v>68</v>
      </c>
      <c r="B29" s="22" t="str">
        <f>IFERROR(INDEX(Documentos!$B$2:$B$59,MATCH($A29,Documentos!$A$2:$A$59,0)),"")</f>
        <v>Informe Exposición y Vulnerabilidad</v>
      </c>
      <c r="C29" s="18" t="s">
        <v>275</v>
      </c>
      <c r="D29" s="4" t="str">
        <f>IFERROR(INDEX('Criterios GISTM'!$D$2:$D$222,MATCH($C29,'Criterios GISTM'!$A$2:$A$222,0)),"")</f>
        <v>Principio 02</v>
      </c>
      <c r="E29" s="4" t="str">
        <f>IFERROR(INDEX('Criterios GISTM'!$H$2:$H$222,MATCH($C29,'Criterios GISTM'!$A$2:$A$222,0)),"")</f>
        <v xml:space="preserve"> 2.4 - B</v>
      </c>
      <c r="F29" s="16">
        <v>1</v>
      </c>
      <c r="G29" s="46">
        <f>IFERROR(INDEX('Criterios GISTM'!$J$2:$J$222,MATCH($C29,'Criterios GISTM'!$A$2:$A$222,0)),0)</f>
        <v>0.33333333333333331</v>
      </c>
      <c r="H29" s="24">
        <f>IFERROR(INDEX(Documentos!$F$2:$F$59,MATCH($A29,Documentos!$A$2:$A$59,0)),0)</f>
        <v>1</v>
      </c>
      <c r="I29" s="25">
        <f t="shared" si="0"/>
        <v>0.33333333333333331</v>
      </c>
      <c r="J29" s="48" t="s">
        <v>1081</v>
      </c>
      <c r="K29" s="48" t="s">
        <v>51</v>
      </c>
    </row>
    <row r="30" spans="1:11">
      <c r="A30" s="19" t="s">
        <v>66</v>
      </c>
      <c r="B30" s="22" t="str">
        <f>IFERROR(INDEX(Documentos!$B$2:$B$59,MATCH($A30,Documentos!$A$2:$A$59,0)),"")</f>
        <v>Informe Análisis de Rotura de Presa (DBA)</v>
      </c>
      <c r="C30" s="18" t="s">
        <v>278</v>
      </c>
      <c r="D30" s="4" t="str">
        <f>IFERROR(INDEX('Criterios GISTM'!$D$2:$D$222,MATCH($C30,'Criterios GISTM'!$A$2:$A$222,0)),"")</f>
        <v>Principio 02</v>
      </c>
      <c r="E30" s="4" t="str">
        <f>IFERROR(INDEX('Criterios GISTM'!$H$2:$H$222,MATCH($C30,'Criterios GISTM'!$A$2:$A$222,0)),"")</f>
        <v xml:space="preserve"> 2.4 - C</v>
      </c>
      <c r="F30" s="16">
        <v>1</v>
      </c>
      <c r="G30" s="46">
        <f>IFERROR(INDEX('Criterios GISTM'!$J$2:$J$222,MATCH($C30,'Criterios GISTM'!$A$2:$A$222,0)),0)</f>
        <v>0.33333333333333331</v>
      </c>
      <c r="H30" s="24">
        <f>IFERROR(INDEX(Documentos!$F$2:$F$59,MATCH($A30,Documentos!$A$2:$A$59,0)),0)</f>
        <v>1</v>
      </c>
      <c r="I30" s="25">
        <f t="shared" si="0"/>
        <v>0.33333333333333331</v>
      </c>
      <c r="J30" s="48" t="s">
        <v>1082</v>
      </c>
      <c r="K30" s="48" t="s">
        <v>51</v>
      </c>
    </row>
    <row r="31" spans="1:11">
      <c r="A31" s="19" t="s">
        <v>68</v>
      </c>
      <c r="B31" s="22" t="str">
        <f>IFERROR(INDEX(Documentos!$B$2:$B$59,MATCH($A31,Documentos!$A$2:$A$59,0)),"")</f>
        <v>Informe Exposición y Vulnerabilidad</v>
      </c>
      <c r="C31" s="18" t="s">
        <v>278</v>
      </c>
      <c r="D31" s="4" t="str">
        <f>IFERROR(INDEX('Criterios GISTM'!$D$2:$D$222,MATCH($C31,'Criterios GISTM'!$A$2:$A$222,0)),"")</f>
        <v>Principio 02</v>
      </c>
      <c r="E31" s="4" t="str">
        <f>IFERROR(INDEX('Criterios GISTM'!$H$2:$H$222,MATCH($C31,'Criterios GISTM'!$A$2:$A$222,0)),"")</f>
        <v xml:space="preserve"> 2.4 - C</v>
      </c>
      <c r="F31" s="16">
        <v>1</v>
      </c>
      <c r="G31" s="46">
        <f>IFERROR(INDEX('Criterios GISTM'!$J$2:$J$222,MATCH($C31,'Criterios GISTM'!$A$2:$A$222,0)),0)</f>
        <v>0.33333333333333331</v>
      </c>
      <c r="H31" s="24">
        <f>IFERROR(INDEX(Documentos!$F$2:$F$59,MATCH($A31,Documentos!$A$2:$A$59,0)),0)</f>
        <v>1</v>
      </c>
      <c r="I31" s="25">
        <f t="shared" si="0"/>
        <v>0.33333333333333331</v>
      </c>
      <c r="J31" s="48" t="s">
        <v>1083</v>
      </c>
      <c r="K31" s="48" t="s">
        <v>51</v>
      </c>
    </row>
    <row r="32" spans="1:11">
      <c r="A32" s="19" t="s">
        <v>70</v>
      </c>
      <c r="B32" s="22" t="str">
        <f>IFERROR(INDEX(Documentos!$B$2:$B$59,MATCH($A32,Documentos!$A$2:$A$59,0)),"")</f>
        <v>Informe de Hidrología y Evaporación con Cambio Climático</v>
      </c>
      <c r="C32" s="18" t="s">
        <v>281</v>
      </c>
      <c r="D32" s="4" t="str">
        <f>IFERROR(INDEX('Criterios GISTM'!$D$2:$D$222,MATCH($C32,'Criterios GISTM'!$A$2:$A$222,0)),"")</f>
        <v>Principio 03</v>
      </c>
      <c r="E32" s="4" t="str">
        <f>IFERROR(INDEX('Criterios GISTM'!$H$2:$H$222,MATCH($C32,'Criterios GISTM'!$A$2:$A$222,0)),"")</f>
        <v xml:space="preserve"> 3.1 - A</v>
      </c>
      <c r="F32" s="16">
        <v>1</v>
      </c>
      <c r="G32" s="46">
        <f>IFERROR(INDEX('Criterios GISTM'!$J$2:$J$222,MATCH($C32,'Criterios GISTM'!$A$2:$A$222,0)),0)</f>
        <v>1</v>
      </c>
      <c r="H32" s="24">
        <f>IFERROR(INDEX(Documentos!$F$2:$F$59,MATCH($A32,Documentos!$A$2:$A$59,0)),0)</f>
        <v>0.4</v>
      </c>
      <c r="I32" s="25">
        <f t="shared" si="0"/>
        <v>0.4</v>
      </c>
      <c r="J32" s="48" t="s">
        <v>1084</v>
      </c>
      <c r="K32" s="48" t="s">
        <v>51</v>
      </c>
    </row>
    <row r="33" spans="1:11">
      <c r="A33" s="19" t="s">
        <v>72</v>
      </c>
      <c r="B33" s="22" t="str">
        <f>IFERROR(INDEX(Documentos!$B$2:$B$59,MATCH($A33,Documentos!$A$2:$A$59,0)),"")</f>
        <v>Informe de Análisis de Alternativas</v>
      </c>
      <c r="C33" s="18" t="s">
        <v>288</v>
      </c>
      <c r="D33" s="4" t="str">
        <f>IFERROR(INDEX('Criterios GISTM'!$D$2:$D$222,MATCH($C33,'Criterios GISTM'!$A$2:$A$222,0)),"")</f>
        <v>Principio 03</v>
      </c>
      <c r="E33" s="4" t="str">
        <f>IFERROR(INDEX('Criterios GISTM'!$H$2:$H$222,MATCH($C33,'Criterios GISTM'!$A$2:$A$222,0)),"")</f>
        <v xml:space="preserve"> 3.2 - A</v>
      </c>
      <c r="F33" s="16">
        <v>1</v>
      </c>
      <c r="G33" s="46">
        <f>IFERROR(INDEX('Criterios GISTM'!$J$2:$J$222,MATCH($C33,'Criterios GISTM'!$A$2:$A$222,0)),0)</f>
        <v>0.33333333333333331</v>
      </c>
      <c r="H33" s="24">
        <f>IFERROR(INDEX(Documentos!$F$2:$F$59,MATCH($A33,Documentos!$A$2:$A$59,0)),0)</f>
        <v>0.2</v>
      </c>
      <c r="I33" s="25">
        <f t="shared" si="0"/>
        <v>6.6666666666666666E-2</v>
      </c>
      <c r="J33" s="48" t="s">
        <v>1085</v>
      </c>
      <c r="K33" s="48" t="s">
        <v>51</v>
      </c>
    </row>
    <row r="34" spans="1:11">
      <c r="A34" s="19" t="s">
        <v>74</v>
      </c>
      <c r="B34" s="22" t="str">
        <f>IFERROR(INDEX(Documentos!$B$2:$B$59,MATCH($A34,Documentos!$A$2:$A$59,0)),"")</f>
        <v>Procedimiento de Mejora continua</v>
      </c>
      <c r="C34" s="18" t="s">
        <v>293</v>
      </c>
      <c r="D34" s="4" t="str">
        <f>IFERROR(INDEX('Criterios GISTM'!$D$2:$D$222,MATCH($C34,'Criterios GISTM'!$A$2:$A$222,0)),"")</f>
        <v>Principio 03</v>
      </c>
      <c r="E34" s="4" t="str">
        <f>IFERROR(INDEX('Criterios GISTM'!$H$2:$H$222,MATCH($C34,'Criterios GISTM'!$A$2:$A$222,0)),"")</f>
        <v xml:space="preserve"> 3.2 - B</v>
      </c>
      <c r="F34" s="16">
        <v>1</v>
      </c>
      <c r="G34" s="46">
        <f>IFERROR(INDEX('Criterios GISTM'!$J$2:$J$222,MATCH($C34,'Criterios GISTM'!$A$2:$A$222,0)),0)</f>
        <v>0.33333333333333331</v>
      </c>
      <c r="H34" s="24">
        <f>IFERROR(INDEX(Documentos!$F$2:$F$59,MATCH($A34,Documentos!$A$2:$A$59,0)),0)</f>
        <v>0.2</v>
      </c>
      <c r="I34" s="25">
        <f t="shared" si="0"/>
        <v>6.6666666666666666E-2</v>
      </c>
      <c r="J34" s="48" t="s">
        <v>1086</v>
      </c>
      <c r="K34" s="48" t="s">
        <v>51</v>
      </c>
    </row>
    <row r="35" spans="1:11">
      <c r="A35" s="19" t="s">
        <v>74</v>
      </c>
      <c r="B35" s="22" t="str">
        <f>IFERROR(INDEX(Documentos!$B$2:$B$59,MATCH($A35,Documentos!$A$2:$A$59,0)),"")</f>
        <v>Procedimiento de Mejora continua</v>
      </c>
      <c r="C35" s="18" t="s">
        <v>296</v>
      </c>
      <c r="D35" s="4" t="str">
        <f>IFERROR(INDEX('Criterios GISTM'!$D$2:$D$222,MATCH($C35,'Criterios GISTM'!$A$2:$A$222,0)),"")</f>
        <v>Principio 03</v>
      </c>
      <c r="E35" s="4" t="str">
        <f>IFERROR(INDEX('Criterios GISTM'!$H$2:$H$222,MATCH($C35,'Criterios GISTM'!$A$2:$A$222,0)),"")</f>
        <v xml:space="preserve"> 3.2 - C</v>
      </c>
      <c r="F35" s="16">
        <v>1</v>
      </c>
      <c r="G35" s="46">
        <f>IFERROR(INDEX('Criterios GISTM'!$J$2:$J$222,MATCH($C35,'Criterios GISTM'!$A$2:$A$222,0)),0)</f>
        <v>0.33333333333333331</v>
      </c>
      <c r="H35" s="24">
        <f>IFERROR(INDEX(Documentos!$F$2:$F$59,MATCH($A35,Documentos!$A$2:$A$59,0)),0)</f>
        <v>0.2</v>
      </c>
      <c r="I35" s="25">
        <f t="shared" si="0"/>
        <v>6.6666666666666666E-2</v>
      </c>
      <c r="J35" s="48" t="s">
        <v>1087</v>
      </c>
      <c r="K35" s="48" t="s">
        <v>51</v>
      </c>
    </row>
    <row r="36" spans="1:11">
      <c r="A36" s="19" t="s">
        <v>76</v>
      </c>
      <c r="B36" s="22" t="str">
        <f>IFERROR(INDEX(Documentos!$B$2:$B$59,MATCH($A36,Documentos!$A$2:$A$59,0)),"")</f>
        <v>Informe de impactos sociales, medioambientales y económicos</v>
      </c>
      <c r="C36" s="18" t="s">
        <v>299</v>
      </c>
      <c r="D36" s="4" t="str">
        <f>IFERROR(INDEX('Criterios GISTM'!$D$2:$D$222,MATCH($C36,'Criterios GISTM'!$A$2:$A$222,0)),"")</f>
        <v>Principio 03</v>
      </c>
      <c r="E36" s="4" t="str">
        <f>IFERROR(INDEX('Criterios GISTM'!$H$2:$H$222,MATCH($C36,'Criterios GISTM'!$A$2:$A$222,0)),"")</f>
        <v xml:space="preserve"> 3.3 - A</v>
      </c>
      <c r="F36" s="16">
        <v>1</v>
      </c>
      <c r="G36" s="46">
        <f>IFERROR(INDEX('Criterios GISTM'!$J$2:$J$222,MATCH($C36,'Criterios GISTM'!$A$2:$A$222,0)),0)</f>
        <v>0.25</v>
      </c>
      <c r="H36" s="24">
        <f>IFERROR(INDEX(Documentos!$F$2:$F$59,MATCH($A36,Documentos!$A$2:$A$59,0)),0)</f>
        <v>0.2</v>
      </c>
      <c r="I36" s="25">
        <f t="shared" si="0"/>
        <v>0.05</v>
      </c>
      <c r="J36" s="48" t="s">
        <v>1088</v>
      </c>
      <c r="K36" s="48" t="s">
        <v>51</v>
      </c>
    </row>
    <row r="37" spans="1:11">
      <c r="A37" s="19" t="s">
        <v>76</v>
      </c>
      <c r="B37" s="22" t="str">
        <f>IFERROR(INDEX(Documentos!$B$2:$B$59,MATCH($A37,Documentos!$A$2:$A$59,0)),"")</f>
        <v>Informe de impactos sociales, medioambientales y económicos</v>
      </c>
      <c r="C37" s="18" t="s">
        <v>304</v>
      </c>
      <c r="D37" s="4" t="str">
        <f>IFERROR(INDEX('Criterios GISTM'!$D$2:$D$222,MATCH($C37,'Criterios GISTM'!$A$2:$A$222,0)),"")</f>
        <v>Principio 03</v>
      </c>
      <c r="E37" s="4" t="str">
        <f>IFERROR(INDEX('Criterios GISTM'!$H$2:$H$222,MATCH($C37,'Criterios GISTM'!$A$2:$A$222,0)),"")</f>
        <v xml:space="preserve"> 3.3 - B</v>
      </c>
      <c r="F37" s="16">
        <v>1</v>
      </c>
      <c r="G37" s="46">
        <f>IFERROR(INDEX('Criterios GISTM'!$J$2:$J$222,MATCH($C37,'Criterios GISTM'!$A$2:$A$222,0)),0)</f>
        <v>0.25</v>
      </c>
      <c r="H37" s="24">
        <f>IFERROR(INDEX(Documentos!$F$2:$F$59,MATCH($A37,Documentos!$A$2:$A$59,0)),0)</f>
        <v>0.2</v>
      </c>
      <c r="I37" s="25">
        <f t="shared" si="0"/>
        <v>0.05</v>
      </c>
      <c r="J37" s="48" t="s">
        <v>1089</v>
      </c>
      <c r="K37" s="48" t="s">
        <v>51</v>
      </c>
    </row>
    <row r="38" spans="1:11">
      <c r="A38" s="19" t="s">
        <v>76</v>
      </c>
      <c r="B38" s="22" t="str">
        <f>IFERROR(INDEX(Documentos!$B$2:$B$59,MATCH($A38,Documentos!$A$2:$A$59,0)),"")</f>
        <v>Informe de impactos sociales, medioambientales y económicos</v>
      </c>
      <c r="C38" s="18" t="s">
        <v>307</v>
      </c>
      <c r="D38" s="4" t="str">
        <f>IFERROR(INDEX('Criterios GISTM'!$D$2:$D$222,MATCH($C38,'Criterios GISTM'!$A$2:$A$222,0)),"")</f>
        <v>Principio 03</v>
      </c>
      <c r="E38" s="4" t="str">
        <f>IFERROR(INDEX('Criterios GISTM'!$H$2:$H$222,MATCH($C38,'Criterios GISTM'!$A$2:$A$222,0)),"")</f>
        <v xml:space="preserve"> 3.3 - C</v>
      </c>
      <c r="F38" s="16">
        <v>1</v>
      </c>
      <c r="G38" s="46">
        <f>IFERROR(INDEX('Criterios GISTM'!$J$2:$J$222,MATCH($C38,'Criterios GISTM'!$A$2:$A$222,0)),0)</f>
        <v>0.25</v>
      </c>
      <c r="H38" s="24">
        <f>IFERROR(INDEX(Documentos!$F$2:$F$59,MATCH($A38,Documentos!$A$2:$A$59,0)),0)</f>
        <v>0.2</v>
      </c>
      <c r="I38" s="25">
        <f t="shared" si="0"/>
        <v>0.05</v>
      </c>
      <c r="J38" s="48" t="s">
        <v>1090</v>
      </c>
      <c r="K38" s="48" t="s">
        <v>51</v>
      </c>
    </row>
    <row r="39" spans="1:11">
      <c r="A39" s="19" t="s">
        <v>76</v>
      </c>
      <c r="B39" s="22" t="str">
        <f>IFERROR(INDEX(Documentos!$B$2:$B$59,MATCH($A39,Documentos!$A$2:$A$59,0)),"")</f>
        <v>Informe de impactos sociales, medioambientales y económicos</v>
      </c>
      <c r="C39" s="18" t="s">
        <v>310</v>
      </c>
      <c r="D39" s="4" t="str">
        <f>IFERROR(INDEX('Criterios GISTM'!$D$2:$D$222,MATCH($C39,'Criterios GISTM'!$A$2:$A$222,0)),"")</f>
        <v>Principio 03</v>
      </c>
      <c r="E39" s="4" t="str">
        <f>IFERROR(INDEX('Criterios GISTM'!$H$2:$H$222,MATCH($C39,'Criterios GISTM'!$A$2:$A$222,0)),"")</f>
        <v xml:space="preserve"> 3.3 - D</v>
      </c>
      <c r="F39" s="16">
        <v>1</v>
      </c>
      <c r="G39" s="46">
        <f>IFERROR(INDEX('Criterios GISTM'!$J$2:$J$222,MATCH($C39,'Criterios GISTM'!$A$2:$A$222,0)),0)</f>
        <v>0.25</v>
      </c>
      <c r="H39" s="24">
        <f>IFERROR(INDEX(Documentos!$F$2:$F$59,MATCH($A39,Documentos!$A$2:$A$59,0)),0)</f>
        <v>0.2</v>
      </c>
      <c r="I39" s="25">
        <f t="shared" si="0"/>
        <v>0.05</v>
      </c>
      <c r="J39" s="48" t="s">
        <v>1091</v>
      </c>
      <c r="K39" s="48" t="s">
        <v>51</v>
      </c>
    </row>
    <row r="40" spans="1:11">
      <c r="A40" s="19" t="s">
        <v>76</v>
      </c>
      <c r="B40" s="22" t="str">
        <f>IFERROR(INDEX(Documentos!$B$2:$B$59,MATCH($A40,Documentos!$A$2:$A$59,0)),"")</f>
        <v>Informe de impactos sociales, medioambientales y económicos</v>
      </c>
      <c r="C40" s="18" t="s">
        <v>313</v>
      </c>
      <c r="D40" s="4" t="str">
        <f>IFERROR(INDEX('Criterios GISTM'!$D$2:$D$222,MATCH($C40,'Criterios GISTM'!$A$2:$A$222,0)),"")</f>
        <v>Principio 03</v>
      </c>
      <c r="E40" s="4" t="str">
        <f>IFERROR(INDEX('Criterios GISTM'!$H$2:$H$222,MATCH($C40,'Criterios GISTM'!$A$2:$A$222,0)),"")</f>
        <v xml:space="preserve"> 3.4 - A</v>
      </c>
      <c r="F40" s="16">
        <v>1</v>
      </c>
      <c r="G40" s="46">
        <f>IFERROR(INDEX('Criterios GISTM'!$J$2:$J$222,MATCH($C40,'Criterios GISTM'!$A$2:$A$222,0)),0)</f>
        <v>0.5</v>
      </c>
      <c r="H40" s="24">
        <f>IFERROR(INDEX(Documentos!$F$2:$F$59,MATCH($A40,Documentos!$A$2:$A$59,0)),0)</f>
        <v>0.2</v>
      </c>
      <c r="I40" s="25">
        <f t="shared" si="0"/>
        <v>0.1</v>
      </c>
      <c r="J40" s="48" t="s">
        <v>1092</v>
      </c>
      <c r="K40" s="48" t="s">
        <v>51</v>
      </c>
    </row>
    <row r="41" spans="1:11">
      <c r="A41" s="19" t="s">
        <v>78</v>
      </c>
      <c r="B41" s="22" t="str">
        <f>IFERROR(INDEX(Documentos!$B$2:$B$59,MATCH($A41,Documentos!$A$2:$A$59,0)),"")</f>
        <v>Procedimiento de Gestión del Cambio</v>
      </c>
      <c r="C41" s="18" t="s">
        <v>313</v>
      </c>
      <c r="D41" s="4" t="str">
        <f>IFERROR(INDEX('Criterios GISTM'!$D$2:$D$222,MATCH($C41,'Criterios GISTM'!$A$2:$A$222,0)),"")</f>
        <v>Principio 03</v>
      </c>
      <c r="E41" s="4" t="str">
        <f>IFERROR(INDEX('Criterios GISTM'!$H$2:$H$222,MATCH($C41,'Criterios GISTM'!$A$2:$A$222,0)),"")</f>
        <v xml:space="preserve"> 3.4 - A</v>
      </c>
      <c r="F41" s="16">
        <v>1</v>
      </c>
      <c r="G41" s="46">
        <f>IFERROR(INDEX('Criterios GISTM'!$J$2:$J$222,MATCH($C41,'Criterios GISTM'!$A$2:$A$222,0)),0)</f>
        <v>0.5</v>
      </c>
      <c r="H41" s="24">
        <f>IFERROR(INDEX(Documentos!$F$2:$F$59,MATCH($A41,Documentos!$A$2:$A$59,0)),0)</f>
        <v>0.2</v>
      </c>
      <c r="I41" s="25">
        <f t="shared" si="0"/>
        <v>0.1</v>
      </c>
      <c r="J41" s="48" t="s">
        <v>1093</v>
      </c>
      <c r="K41" s="48" t="s">
        <v>51</v>
      </c>
    </row>
    <row r="42" spans="1:11">
      <c r="A42" s="19" t="s">
        <v>76</v>
      </c>
      <c r="B42" s="22" t="str">
        <f>IFERROR(INDEX(Documentos!$B$2:$B$59,MATCH($A42,Documentos!$A$2:$A$59,0)),"")</f>
        <v>Informe de impactos sociales, medioambientales y económicos</v>
      </c>
      <c r="C42" s="18" t="s">
        <v>318</v>
      </c>
      <c r="D42" s="4" t="str">
        <f>IFERROR(INDEX('Criterios GISTM'!$D$2:$D$222,MATCH($C42,'Criterios GISTM'!$A$2:$A$222,0)),"")</f>
        <v>Principio 03</v>
      </c>
      <c r="E42" s="4" t="str">
        <f>IFERROR(INDEX('Criterios GISTM'!$H$2:$H$222,MATCH($C42,'Criterios GISTM'!$A$2:$A$222,0)),"")</f>
        <v xml:space="preserve"> 3.4 - B</v>
      </c>
      <c r="F42" s="16">
        <v>1</v>
      </c>
      <c r="G42" s="46">
        <f>IFERROR(INDEX('Criterios GISTM'!$J$2:$J$222,MATCH($C42,'Criterios GISTM'!$A$2:$A$222,0)),0)</f>
        <v>0.5</v>
      </c>
      <c r="H42" s="24">
        <f>IFERROR(INDEX(Documentos!$F$2:$F$59,MATCH($A42,Documentos!$A$2:$A$59,0)),0)</f>
        <v>0.2</v>
      </c>
      <c r="I42" s="25">
        <f t="shared" si="0"/>
        <v>0.1</v>
      </c>
      <c r="J42" s="48" t="s">
        <v>1094</v>
      </c>
      <c r="K42" s="48" t="s">
        <v>51</v>
      </c>
    </row>
    <row r="43" spans="1:11">
      <c r="A43" s="19" t="s">
        <v>78</v>
      </c>
      <c r="B43" s="22" t="str">
        <f>IFERROR(INDEX(Documentos!$B$2:$B$59,MATCH($A43,Documentos!$A$2:$A$59,0)),"")</f>
        <v>Procedimiento de Gestión del Cambio</v>
      </c>
      <c r="C43" s="18" t="s">
        <v>318</v>
      </c>
      <c r="D43" s="4" t="str">
        <f>IFERROR(INDEX('Criterios GISTM'!$D$2:$D$222,MATCH($C43,'Criterios GISTM'!$A$2:$A$222,0)),"")</f>
        <v>Principio 03</v>
      </c>
      <c r="E43" s="4" t="str">
        <f>IFERROR(INDEX('Criterios GISTM'!$H$2:$H$222,MATCH($C43,'Criterios GISTM'!$A$2:$A$222,0)),"")</f>
        <v xml:space="preserve"> 3.4 - B</v>
      </c>
      <c r="F43" s="16">
        <v>1</v>
      </c>
      <c r="G43" s="46">
        <f>IFERROR(INDEX('Criterios GISTM'!$J$2:$J$222,MATCH($C43,'Criterios GISTM'!$A$2:$A$222,0)),0)</f>
        <v>0.5</v>
      </c>
      <c r="H43" s="24">
        <f>IFERROR(INDEX(Documentos!$F$2:$F$59,MATCH($A43,Documentos!$A$2:$A$59,0)),0)</f>
        <v>0.2</v>
      </c>
      <c r="I43" s="25">
        <f t="shared" si="0"/>
        <v>0.1</v>
      </c>
      <c r="J43" s="48" t="s">
        <v>1095</v>
      </c>
      <c r="K43" s="48" t="s">
        <v>51</v>
      </c>
    </row>
    <row r="44" spans="1:11">
      <c r="A44" s="19" t="s">
        <v>80</v>
      </c>
      <c r="B44" s="22" t="str">
        <f>IFERROR(INDEX(Documentos!$B$2:$B$59,MATCH($A44,Documentos!$A$2:$A$59,0)),"")</f>
        <v>Informe Clasificación por Consecuencia</v>
      </c>
      <c r="C44" s="18" t="s">
        <v>321</v>
      </c>
      <c r="D44" s="4" t="str">
        <f>IFERROR(INDEX('Criterios GISTM'!$D$2:$D$222,MATCH($C44,'Criterios GISTM'!$A$2:$A$222,0)),"")</f>
        <v>Principio 04</v>
      </c>
      <c r="E44" s="4" t="str">
        <f>IFERROR(INDEX('Criterios GISTM'!$H$2:$H$222,MATCH($C44,'Criterios GISTM'!$A$2:$A$222,0)),"")</f>
        <v xml:space="preserve"> 4.1 - A</v>
      </c>
      <c r="F44" s="16">
        <v>1</v>
      </c>
      <c r="G44" s="46">
        <f>IFERROR(INDEX('Criterios GISTM'!$J$2:$J$222,MATCH($C44,'Criterios GISTM'!$A$2:$A$222,0)),0)</f>
        <v>0.33333333333333331</v>
      </c>
      <c r="H44" s="24">
        <f>IFERROR(INDEX(Documentos!$F$2:$F$59,MATCH($A44,Documentos!$A$2:$A$59,0)),0)</f>
        <v>0.2</v>
      </c>
      <c r="I44" s="25">
        <f t="shared" si="0"/>
        <v>6.6666666666666666E-2</v>
      </c>
      <c r="J44" s="48" t="s">
        <v>1096</v>
      </c>
      <c r="K44" s="48" t="s">
        <v>51</v>
      </c>
    </row>
    <row r="45" spans="1:11">
      <c r="A45" s="19" t="s">
        <v>80</v>
      </c>
      <c r="B45" s="22" t="str">
        <f>IFERROR(INDEX(Documentos!$B$2:$B$59,MATCH($A45,Documentos!$A$2:$A$59,0)),"")</f>
        <v>Informe Clasificación por Consecuencia</v>
      </c>
      <c r="C45" s="18" t="s">
        <v>330</v>
      </c>
      <c r="D45" s="4" t="str">
        <f>IFERROR(INDEX('Criterios GISTM'!$D$2:$D$222,MATCH($C45,'Criterios GISTM'!$A$2:$A$222,0)),"")</f>
        <v>Principio 04</v>
      </c>
      <c r="E45" s="4" t="str">
        <f>IFERROR(INDEX('Criterios GISTM'!$H$2:$H$222,MATCH($C45,'Criterios GISTM'!$A$2:$A$222,0)),"")</f>
        <v xml:space="preserve"> 4.1 - B</v>
      </c>
      <c r="F45" s="16">
        <v>1</v>
      </c>
      <c r="G45" s="46">
        <f>IFERROR(INDEX('Criterios GISTM'!$J$2:$J$222,MATCH($C45,'Criterios GISTM'!$A$2:$A$222,0)),0)</f>
        <v>0.33333333333333331</v>
      </c>
      <c r="H45" s="24">
        <f>IFERROR(INDEX(Documentos!$F$2:$F$59,MATCH($A45,Documentos!$A$2:$A$59,0)),0)</f>
        <v>0.2</v>
      </c>
      <c r="I45" s="25">
        <f t="shared" si="0"/>
        <v>6.6666666666666666E-2</v>
      </c>
      <c r="J45" s="48" t="s">
        <v>1097</v>
      </c>
      <c r="K45" s="48" t="s">
        <v>51</v>
      </c>
    </row>
    <row r="46" spans="1:11">
      <c r="A46" s="19" t="s">
        <v>80</v>
      </c>
      <c r="B46" s="22" t="str">
        <f>IFERROR(INDEX(Documentos!$B$2:$B$59,MATCH($A46,Documentos!$A$2:$A$59,0)),"")</f>
        <v>Informe Clasificación por Consecuencia</v>
      </c>
      <c r="C46" s="18" t="s">
        <v>333</v>
      </c>
      <c r="D46" s="4" t="str">
        <f>IFERROR(INDEX('Criterios GISTM'!$D$2:$D$222,MATCH($C46,'Criterios GISTM'!$A$2:$A$222,0)),"")</f>
        <v>Principio 04</v>
      </c>
      <c r="E46" s="4" t="str">
        <f>IFERROR(INDEX('Criterios GISTM'!$H$2:$H$222,MATCH($C46,'Criterios GISTM'!$A$2:$A$222,0)),"")</f>
        <v xml:space="preserve"> 4.1 - C</v>
      </c>
      <c r="F46" s="16">
        <v>1</v>
      </c>
      <c r="G46" s="46">
        <f>IFERROR(INDEX('Criterios GISTM'!$J$2:$J$222,MATCH($C46,'Criterios GISTM'!$A$2:$A$222,0)),0)</f>
        <v>0.33333333333333331</v>
      </c>
      <c r="H46" s="24">
        <f>IFERROR(INDEX(Documentos!$F$2:$F$59,MATCH($A46,Documentos!$A$2:$A$59,0)),0)</f>
        <v>0.2</v>
      </c>
      <c r="I46" s="25">
        <f t="shared" si="0"/>
        <v>6.6666666666666666E-2</v>
      </c>
      <c r="J46" s="48" t="s">
        <v>1098</v>
      </c>
      <c r="K46" s="48" t="s">
        <v>51</v>
      </c>
    </row>
    <row r="47" spans="1:11">
      <c r="A47" s="19" t="s">
        <v>84</v>
      </c>
      <c r="B47" s="22" t="str">
        <f>IFERROR(INDEX(Documentos!$B$2:$B$59,MATCH($A47,Documentos!$A$2:$A$59,0)),"")</f>
        <v>Informe de Bases de Diseño</v>
      </c>
      <c r="C47" s="18" t="s">
        <v>336</v>
      </c>
      <c r="D47" s="4" t="str">
        <f>IFERROR(INDEX('Criterios GISTM'!$D$2:$D$222,MATCH($C47,'Criterios GISTM'!$A$2:$A$222,0)),"")</f>
        <v>Principio 04</v>
      </c>
      <c r="E47" s="4" t="str">
        <f>IFERROR(INDEX('Criterios GISTM'!$H$2:$H$222,MATCH($C47,'Criterios GISTM'!$A$2:$A$222,0)),"")</f>
        <v xml:space="preserve"> 4.2 - A</v>
      </c>
      <c r="F47" s="16">
        <v>1</v>
      </c>
      <c r="G47" s="46">
        <f>IFERROR(INDEX('Criterios GISTM'!$J$2:$J$222,MATCH($C47,'Criterios GISTM'!$A$2:$A$222,0)),0)</f>
        <v>0.2</v>
      </c>
      <c r="H47" s="24">
        <f>IFERROR(INDEX(Documentos!$F$2:$F$59,MATCH($A47,Documentos!$A$2:$A$59,0)),0)</f>
        <v>0.2</v>
      </c>
      <c r="I47" s="25">
        <f t="shared" si="0"/>
        <v>4.0000000000000008E-2</v>
      </c>
      <c r="J47" s="48" t="s">
        <v>1099</v>
      </c>
      <c r="K47" s="48" t="s">
        <v>51</v>
      </c>
    </row>
    <row r="48" spans="1:11">
      <c r="A48" s="19" t="s">
        <v>84</v>
      </c>
      <c r="B48" s="22" t="str">
        <f>IFERROR(INDEX(Documentos!$B$2:$B$59,MATCH($A48,Documentos!$A$2:$A$59,0)),"")</f>
        <v>Informe de Bases de Diseño</v>
      </c>
      <c r="C48" s="18" t="s">
        <v>341</v>
      </c>
      <c r="D48" s="4" t="str">
        <f>IFERROR(INDEX('Criterios GISTM'!$D$2:$D$222,MATCH($C48,'Criterios GISTM'!$A$2:$A$222,0)),"")</f>
        <v>Principio 04</v>
      </c>
      <c r="E48" s="4" t="str">
        <f>IFERROR(INDEX('Criterios GISTM'!$H$2:$H$222,MATCH($C48,'Criterios GISTM'!$A$2:$A$222,0)),"")</f>
        <v xml:space="preserve"> 4.2 - B</v>
      </c>
      <c r="F48" s="16">
        <v>1</v>
      </c>
      <c r="G48" s="46">
        <f>IFERROR(INDEX('Criterios GISTM'!$J$2:$J$222,MATCH($C48,'Criterios GISTM'!$A$2:$A$222,0)),0)</f>
        <v>0.2</v>
      </c>
      <c r="H48" s="24">
        <f>IFERROR(INDEX(Documentos!$F$2:$F$59,MATCH($A48,Documentos!$A$2:$A$59,0)),0)</f>
        <v>0.2</v>
      </c>
      <c r="I48" s="25">
        <f t="shared" si="0"/>
        <v>4.0000000000000008E-2</v>
      </c>
      <c r="J48" s="48" t="s">
        <v>1100</v>
      </c>
      <c r="K48" s="48" t="s">
        <v>51</v>
      </c>
    </row>
    <row r="49" spans="1:11">
      <c r="A49" s="19" t="s">
        <v>84</v>
      </c>
      <c r="B49" s="22" t="str">
        <f>IFERROR(INDEX(Documentos!$B$2:$B$59,MATCH($A49,Documentos!$A$2:$A$59,0)),"")</f>
        <v>Informe de Bases de Diseño</v>
      </c>
      <c r="C49" s="18" t="s">
        <v>344</v>
      </c>
      <c r="D49" s="4" t="str">
        <f>IFERROR(INDEX('Criterios GISTM'!$D$2:$D$222,MATCH($C49,'Criterios GISTM'!$A$2:$A$222,0)),"")</f>
        <v>Principio 04</v>
      </c>
      <c r="E49" s="4" t="str">
        <f>IFERROR(INDEX('Criterios GISTM'!$H$2:$H$222,MATCH($C49,'Criterios GISTM'!$A$2:$A$222,0)),"")</f>
        <v xml:space="preserve"> 4.2 - C</v>
      </c>
      <c r="F49" s="16">
        <v>1</v>
      </c>
      <c r="G49" s="46">
        <f>IFERROR(INDEX('Criterios GISTM'!$J$2:$J$222,MATCH($C49,'Criterios GISTM'!$A$2:$A$222,0)),0)</f>
        <v>0.2</v>
      </c>
      <c r="H49" s="24">
        <f>IFERROR(INDEX(Documentos!$F$2:$F$59,MATCH($A49,Documentos!$A$2:$A$59,0)),0)</f>
        <v>0.2</v>
      </c>
      <c r="I49" s="25">
        <f t="shared" si="0"/>
        <v>4.0000000000000008E-2</v>
      </c>
      <c r="J49" s="48" t="s">
        <v>1101</v>
      </c>
      <c r="K49" s="48" t="s">
        <v>51</v>
      </c>
    </row>
    <row r="50" spans="1:11">
      <c r="A50" s="19" t="s">
        <v>84</v>
      </c>
      <c r="B50" s="22" t="str">
        <f>IFERROR(INDEX(Documentos!$B$2:$B$59,MATCH($A50,Documentos!$A$2:$A$59,0)),"")</f>
        <v>Informe de Bases de Diseño</v>
      </c>
      <c r="C50" s="18" t="s">
        <v>347</v>
      </c>
      <c r="D50" s="4" t="str">
        <f>IFERROR(INDEX('Criterios GISTM'!$D$2:$D$222,MATCH($C50,'Criterios GISTM'!$A$2:$A$222,0)),"")</f>
        <v>Principio 04</v>
      </c>
      <c r="E50" s="4" t="str">
        <f>IFERROR(INDEX('Criterios GISTM'!$H$2:$H$222,MATCH($C50,'Criterios GISTM'!$A$2:$A$222,0)),"")</f>
        <v xml:space="preserve"> 4.2 - D</v>
      </c>
      <c r="F50" s="16">
        <v>1</v>
      </c>
      <c r="G50" s="46">
        <f>IFERROR(INDEX('Criterios GISTM'!$J$2:$J$222,MATCH($C50,'Criterios GISTM'!$A$2:$A$222,0)),0)</f>
        <v>0.2</v>
      </c>
      <c r="H50" s="24">
        <f>IFERROR(INDEX(Documentos!$F$2:$F$59,MATCH($A50,Documentos!$A$2:$A$59,0)),0)</f>
        <v>0.2</v>
      </c>
      <c r="I50" s="25">
        <f t="shared" si="0"/>
        <v>4.0000000000000008E-2</v>
      </c>
      <c r="J50" s="48" t="s">
        <v>1102</v>
      </c>
      <c r="K50" s="48" t="s">
        <v>51</v>
      </c>
    </row>
    <row r="51" spans="1:11">
      <c r="A51" s="19" t="s">
        <v>84</v>
      </c>
      <c r="B51" s="22" t="str">
        <f>IFERROR(INDEX(Documentos!$B$2:$B$59,MATCH($A51,Documentos!$A$2:$A$59,0)),"")</f>
        <v>Informe de Bases de Diseño</v>
      </c>
      <c r="C51" s="18" t="s">
        <v>350</v>
      </c>
      <c r="D51" s="4" t="str">
        <f>IFERROR(INDEX('Criterios GISTM'!$D$2:$D$222,MATCH($C51,'Criterios GISTM'!$A$2:$A$222,0)),"")</f>
        <v>Principio 04</v>
      </c>
      <c r="E51" s="4" t="str">
        <f>IFERROR(INDEX('Criterios GISTM'!$H$2:$H$222,MATCH($C51,'Criterios GISTM'!$A$2:$A$222,0)),"")</f>
        <v xml:space="preserve"> 4.2 - E</v>
      </c>
      <c r="F51" s="16">
        <v>1</v>
      </c>
      <c r="G51" s="46">
        <f>IFERROR(INDEX('Criterios GISTM'!$J$2:$J$222,MATCH($C51,'Criterios GISTM'!$A$2:$A$222,0)),0)</f>
        <v>0.2</v>
      </c>
      <c r="H51" s="24">
        <f>IFERROR(INDEX(Documentos!$F$2:$F$59,MATCH($A51,Documentos!$A$2:$A$59,0)),0)</f>
        <v>0.2</v>
      </c>
      <c r="I51" s="25">
        <f t="shared" si="0"/>
        <v>4.0000000000000008E-2</v>
      </c>
      <c r="J51" s="48" t="s">
        <v>1103</v>
      </c>
      <c r="K51" s="48" t="s">
        <v>51</v>
      </c>
    </row>
    <row r="52" spans="1:11">
      <c r="A52" s="19" t="s">
        <v>86</v>
      </c>
      <c r="B52" s="22" t="str">
        <f>IFERROR(INDEX(Documentos!$B$2:$B$59,MATCH($A52,Documentos!$A$2:$A$59,0)),"")</f>
        <v>Nota Técnica Pérdida Incremental</v>
      </c>
      <c r="C52" s="18" t="s">
        <v>353</v>
      </c>
      <c r="D52" s="4" t="str">
        <f>IFERROR(INDEX('Criterios GISTM'!$D$2:$D$222,MATCH($C52,'Criterios GISTM'!$A$2:$A$222,0)),"")</f>
        <v>Principio 04</v>
      </c>
      <c r="E52" s="4" t="str">
        <f>IFERROR(INDEX('Criterios GISTM'!$H$2:$H$222,MATCH($C52,'Criterios GISTM'!$A$2:$A$222,0)),"")</f>
        <v xml:space="preserve"> 4.3 - A</v>
      </c>
      <c r="F52" s="16">
        <v>1</v>
      </c>
      <c r="G52" s="46">
        <f>IFERROR(INDEX('Criterios GISTM'!$J$2:$J$222,MATCH($C52,'Criterios GISTM'!$A$2:$A$222,0)),0)</f>
        <v>0.5</v>
      </c>
      <c r="H52" s="24">
        <f>IFERROR(INDEX(Documentos!$F$2:$F$59,MATCH($A52,Documentos!$A$2:$A$59,0)),0)</f>
        <v>0.4</v>
      </c>
      <c r="I52" s="25">
        <f t="shared" si="0"/>
        <v>0.2</v>
      </c>
      <c r="J52" s="48" t="s">
        <v>1104</v>
      </c>
      <c r="K52" s="48" t="s">
        <v>51</v>
      </c>
    </row>
    <row r="53" spans="1:11">
      <c r="A53" s="19" t="s">
        <v>86</v>
      </c>
      <c r="B53" s="22" t="str">
        <f>IFERROR(INDEX(Documentos!$B$2:$B$59,MATCH($A53,Documentos!$A$2:$A$59,0)),"")</f>
        <v>Nota Técnica Pérdida Incremental</v>
      </c>
      <c r="C53" s="18" t="s">
        <v>358</v>
      </c>
      <c r="D53" s="4" t="str">
        <f>IFERROR(INDEX('Criterios GISTM'!$D$2:$D$222,MATCH($C53,'Criterios GISTM'!$A$2:$A$222,0)),"")</f>
        <v>Principio 04</v>
      </c>
      <c r="E53" s="4" t="str">
        <f>IFERROR(INDEX('Criterios GISTM'!$H$2:$H$222,MATCH($C53,'Criterios GISTM'!$A$2:$A$222,0)),"")</f>
        <v xml:space="preserve"> 4.3 - B</v>
      </c>
      <c r="F53" s="16">
        <v>1</v>
      </c>
      <c r="G53" s="46">
        <f>IFERROR(INDEX('Criterios GISTM'!$J$2:$J$222,MATCH($C53,'Criterios GISTM'!$A$2:$A$222,0)),0)</f>
        <v>0.5</v>
      </c>
      <c r="H53" s="24">
        <f>IFERROR(INDEX(Documentos!$F$2:$F$59,MATCH($A53,Documentos!$A$2:$A$59,0)),0)</f>
        <v>0.4</v>
      </c>
      <c r="I53" s="25">
        <f t="shared" si="0"/>
        <v>0.2</v>
      </c>
      <c r="J53" s="48" t="s">
        <v>1105</v>
      </c>
      <c r="K53" s="48" t="s">
        <v>51</v>
      </c>
    </row>
    <row r="54" spans="1:11">
      <c r="A54" s="19" t="s">
        <v>84</v>
      </c>
      <c r="B54" s="22" t="str">
        <f>IFERROR(INDEX(Documentos!$B$2:$B$59,MATCH($A54,Documentos!$A$2:$A$59,0)),"")</f>
        <v>Informe de Bases de Diseño</v>
      </c>
      <c r="C54" s="18" t="s">
        <v>361</v>
      </c>
      <c r="D54" s="4" t="str">
        <f>IFERROR(INDEX('Criterios GISTM'!$D$2:$D$222,MATCH($C54,'Criterios GISTM'!$A$2:$A$222,0)),"")</f>
        <v>Principio 04</v>
      </c>
      <c r="E54" s="4" t="str">
        <f>IFERROR(INDEX('Criterios GISTM'!$H$2:$H$222,MATCH($C54,'Criterios GISTM'!$A$2:$A$222,0)),"")</f>
        <v xml:space="preserve"> 4.4 - A</v>
      </c>
      <c r="F54" s="16">
        <v>1</v>
      </c>
      <c r="G54" s="46">
        <f>IFERROR(INDEX('Criterios GISTM'!$J$2:$J$222,MATCH($C54,'Criterios GISTM'!$A$2:$A$222,0)),0)</f>
        <v>0.5</v>
      </c>
      <c r="H54" s="24">
        <f>IFERROR(INDEX(Documentos!$F$2:$F$59,MATCH($A54,Documentos!$A$2:$A$59,0)),0)</f>
        <v>0.2</v>
      </c>
      <c r="I54" s="25">
        <f t="shared" si="0"/>
        <v>0.1</v>
      </c>
      <c r="J54" s="48" t="s">
        <v>1106</v>
      </c>
      <c r="K54" s="48" t="s">
        <v>51</v>
      </c>
    </row>
    <row r="55" spans="1:11">
      <c r="A55" s="19" t="s">
        <v>84</v>
      </c>
      <c r="B55" s="22" t="str">
        <f>IFERROR(INDEX(Documentos!$B$2:$B$59,MATCH($A55,Documentos!$A$2:$A$59,0)),"")</f>
        <v>Informe de Bases de Diseño</v>
      </c>
      <c r="C55" s="18" t="s">
        <v>366</v>
      </c>
      <c r="D55" s="4" t="str">
        <f>IFERROR(INDEX('Criterios GISTM'!$D$2:$D$222,MATCH($C55,'Criterios GISTM'!$A$2:$A$222,0)),"")</f>
        <v>Principio 04</v>
      </c>
      <c r="E55" s="4" t="str">
        <f>IFERROR(INDEX('Criterios GISTM'!$H$2:$H$222,MATCH($C55,'Criterios GISTM'!$A$2:$A$222,0)),"")</f>
        <v xml:space="preserve"> 4.4 - B</v>
      </c>
      <c r="F55" s="16">
        <v>1</v>
      </c>
      <c r="G55" s="46">
        <f>IFERROR(INDEX('Criterios GISTM'!$J$2:$J$222,MATCH($C55,'Criterios GISTM'!$A$2:$A$222,0)),0)</f>
        <v>0.5</v>
      </c>
      <c r="H55" s="24">
        <f>IFERROR(INDEX(Documentos!$F$2:$F$59,MATCH($A55,Documentos!$A$2:$A$59,0)),0)</f>
        <v>0.2</v>
      </c>
      <c r="I55" s="25">
        <f t="shared" si="0"/>
        <v>0.1</v>
      </c>
      <c r="J55" s="48" t="s">
        <v>1107</v>
      </c>
      <c r="K55" s="48" t="s">
        <v>51</v>
      </c>
    </row>
    <row r="56" spans="1:11">
      <c r="A56" s="19" t="s">
        <v>84</v>
      </c>
      <c r="B56" s="22" t="str">
        <f>IFERROR(INDEX(Documentos!$B$2:$B$59,MATCH($A56,Documentos!$A$2:$A$59,0)),"")</f>
        <v>Informe de Bases de Diseño</v>
      </c>
      <c r="C56" s="18" t="s">
        <v>369</v>
      </c>
      <c r="D56" s="4" t="str">
        <f>IFERROR(INDEX('Criterios GISTM'!$D$2:$D$222,MATCH($C56,'Criterios GISTM'!$A$2:$A$222,0)),"")</f>
        <v>Principio 04</v>
      </c>
      <c r="E56" s="4" t="str">
        <f>IFERROR(INDEX('Criterios GISTM'!$H$2:$H$222,MATCH($C56,'Criterios GISTM'!$A$2:$A$222,0)),"")</f>
        <v xml:space="preserve"> 4.5 - A</v>
      </c>
      <c r="F56" s="16">
        <v>1</v>
      </c>
      <c r="G56" s="46">
        <f>IFERROR(INDEX('Criterios GISTM'!$J$2:$J$222,MATCH($C56,'Criterios GISTM'!$A$2:$A$222,0)),0)</f>
        <v>0.5</v>
      </c>
      <c r="H56" s="24">
        <f>IFERROR(INDEX(Documentos!$F$2:$F$59,MATCH($A56,Documentos!$A$2:$A$59,0)),0)</f>
        <v>0.2</v>
      </c>
      <c r="I56" s="25">
        <f t="shared" si="0"/>
        <v>0.1</v>
      </c>
      <c r="J56" s="48" t="s">
        <v>1108</v>
      </c>
      <c r="K56" s="48" t="s">
        <v>51</v>
      </c>
    </row>
    <row r="57" spans="1:11">
      <c r="A57" s="19" t="s">
        <v>84</v>
      </c>
      <c r="B57" s="22" t="str">
        <f>IFERROR(INDEX(Documentos!$B$2:$B$59,MATCH($A57,Documentos!$A$2:$A$59,0)),"")</f>
        <v>Informe de Bases de Diseño</v>
      </c>
      <c r="C57" s="18" t="s">
        <v>374</v>
      </c>
      <c r="D57" s="4" t="str">
        <f>IFERROR(INDEX('Criterios GISTM'!$D$2:$D$222,MATCH($C57,'Criterios GISTM'!$A$2:$A$222,0)),"")</f>
        <v>Principio 04</v>
      </c>
      <c r="E57" s="4" t="str">
        <f>IFERROR(INDEX('Criterios GISTM'!$H$2:$H$222,MATCH($C57,'Criterios GISTM'!$A$2:$A$222,0)),"")</f>
        <v xml:space="preserve"> 4.5 - B</v>
      </c>
      <c r="F57" s="16">
        <v>1</v>
      </c>
      <c r="G57" s="46">
        <f>IFERROR(INDEX('Criterios GISTM'!$J$2:$J$222,MATCH($C57,'Criterios GISTM'!$A$2:$A$222,0)),0)</f>
        <v>0.5</v>
      </c>
      <c r="H57" s="24">
        <f>IFERROR(INDEX(Documentos!$F$2:$F$59,MATCH($A57,Documentos!$A$2:$A$59,0)),0)</f>
        <v>0.2</v>
      </c>
      <c r="I57" s="25">
        <f t="shared" si="0"/>
        <v>0.1</v>
      </c>
      <c r="J57" s="48" t="s">
        <v>1109</v>
      </c>
      <c r="K57" s="48" t="s">
        <v>51</v>
      </c>
    </row>
    <row r="58" spans="1:11">
      <c r="A58" s="19" t="s">
        <v>84</v>
      </c>
      <c r="B58" s="22" t="str">
        <f>IFERROR(INDEX(Documentos!$B$2:$B$59,MATCH($A58,Documentos!$A$2:$A$59,0)),"")</f>
        <v>Informe de Bases de Diseño</v>
      </c>
      <c r="C58" s="18" t="s">
        <v>377</v>
      </c>
      <c r="D58" s="4" t="str">
        <f>IFERROR(INDEX('Criterios GISTM'!$D$2:$D$222,MATCH($C58,'Criterios GISTM'!$A$2:$A$222,0)),"")</f>
        <v>Principio 04</v>
      </c>
      <c r="E58" s="4" t="str">
        <f>IFERROR(INDEX('Criterios GISTM'!$H$2:$H$222,MATCH($C58,'Criterios GISTM'!$A$2:$A$222,0)),"")</f>
        <v xml:space="preserve"> 4.6 - A</v>
      </c>
      <c r="F58" s="16">
        <v>1</v>
      </c>
      <c r="G58" s="46">
        <f>IFERROR(INDEX('Criterios GISTM'!$J$2:$J$222,MATCH($C58,'Criterios GISTM'!$A$2:$A$222,0)),0)</f>
        <v>1</v>
      </c>
      <c r="H58" s="24">
        <f>IFERROR(INDEX(Documentos!$F$2:$F$59,MATCH($A58,Documentos!$A$2:$A$59,0)),0)</f>
        <v>0.2</v>
      </c>
      <c r="I58" s="25">
        <f t="shared" si="0"/>
        <v>0.2</v>
      </c>
      <c r="J58" s="48" t="s">
        <v>1110</v>
      </c>
      <c r="K58" s="48" t="s">
        <v>51</v>
      </c>
    </row>
    <row r="59" spans="1:11">
      <c r="A59" s="19" t="s">
        <v>84</v>
      </c>
      <c r="B59" s="22" t="str">
        <f>IFERROR(INDEX(Documentos!$B$2:$B$59,MATCH($A59,Documentos!$A$2:$A$59,0)),"")</f>
        <v>Informe de Bases de Diseño</v>
      </c>
      <c r="C59" s="18" t="s">
        <v>382</v>
      </c>
      <c r="D59" s="4" t="str">
        <f>IFERROR(INDEX('Criterios GISTM'!$D$2:$D$222,MATCH($C59,'Criterios GISTM'!$A$2:$A$222,0)),"")</f>
        <v>Principio 04</v>
      </c>
      <c r="E59" s="4" t="str">
        <f>IFERROR(INDEX('Criterios GISTM'!$H$2:$H$222,MATCH($C59,'Criterios GISTM'!$A$2:$A$222,0)),"")</f>
        <v xml:space="preserve"> 4.7 - A</v>
      </c>
      <c r="F59" s="16">
        <v>1</v>
      </c>
      <c r="G59" s="46">
        <f>IFERROR(INDEX('Criterios GISTM'!$J$2:$J$222,MATCH($C59,'Criterios GISTM'!$A$2:$A$222,0)),0)</f>
        <v>0.33333333333333331</v>
      </c>
      <c r="H59" s="24">
        <f>IFERROR(INDEX(Documentos!$F$2:$F$59,MATCH($A59,Documentos!$A$2:$A$59,0)),0)</f>
        <v>0.2</v>
      </c>
      <c r="I59" s="25">
        <f>F59*G59*H59</f>
        <v>6.6666666666666666E-2</v>
      </c>
      <c r="J59" s="48" t="s">
        <v>1111</v>
      </c>
      <c r="K59" s="48" t="s">
        <v>51</v>
      </c>
    </row>
    <row r="60" spans="1:11">
      <c r="A60" s="19" t="s">
        <v>84</v>
      </c>
      <c r="B60" s="22" t="str">
        <f>IFERROR(INDEX(Documentos!$B$2:$B$59,MATCH($A60,Documentos!$A$2:$A$59,0)),"")</f>
        <v>Informe de Bases de Diseño</v>
      </c>
      <c r="C60" s="18" t="s">
        <v>387</v>
      </c>
      <c r="D60" s="4" t="str">
        <f>IFERROR(INDEX('Criterios GISTM'!$D$2:$D$222,MATCH($C60,'Criterios GISTM'!$A$2:$A$222,0)),"")</f>
        <v>Principio 04</v>
      </c>
      <c r="E60" s="4" t="str">
        <f>IFERROR(INDEX('Criterios GISTM'!$H$2:$H$222,MATCH($C60,'Criterios GISTM'!$A$2:$A$222,0)),"")</f>
        <v xml:space="preserve"> 4.7 - B</v>
      </c>
      <c r="F60" s="16">
        <v>1</v>
      </c>
      <c r="G60" s="46">
        <f>IFERROR(INDEX('Criterios GISTM'!$J$2:$J$222,MATCH($C60,'Criterios GISTM'!$A$2:$A$222,0)),0)</f>
        <v>0.33333333333333331</v>
      </c>
      <c r="H60" s="24">
        <f>IFERROR(INDEX(Documentos!$F$2:$F$59,MATCH($A60,Documentos!$A$2:$A$59,0)),0)</f>
        <v>0.2</v>
      </c>
      <c r="I60" s="25">
        <f t="shared" si="0"/>
        <v>6.6666666666666666E-2</v>
      </c>
      <c r="J60" s="48" t="s">
        <v>1112</v>
      </c>
      <c r="K60" s="48" t="s">
        <v>51</v>
      </c>
    </row>
    <row r="61" spans="1:11">
      <c r="A61" s="19" t="s">
        <v>84</v>
      </c>
      <c r="B61" s="22" t="str">
        <f>IFERROR(INDEX(Documentos!$B$2:$B$59,MATCH($A61,Documentos!$A$2:$A$59,0)),"")</f>
        <v>Informe de Bases de Diseño</v>
      </c>
      <c r="C61" s="18" t="s">
        <v>390</v>
      </c>
      <c r="D61" s="4" t="str">
        <f>IFERROR(INDEX('Criterios GISTM'!$D$2:$D$222,MATCH($C61,'Criterios GISTM'!$A$2:$A$222,0)),"")</f>
        <v>Principio 04</v>
      </c>
      <c r="E61" s="4" t="str">
        <f>IFERROR(INDEX('Criterios GISTM'!$H$2:$H$222,MATCH($C61,'Criterios GISTM'!$A$2:$A$222,0)),"")</f>
        <v xml:space="preserve"> 4.7 - C</v>
      </c>
      <c r="F61" s="16">
        <v>1</v>
      </c>
      <c r="G61" s="46">
        <f>IFERROR(INDEX('Criterios GISTM'!$J$2:$J$222,MATCH($C61,'Criterios GISTM'!$A$2:$A$222,0)),0)</f>
        <v>0.33333333333333331</v>
      </c>
      <c r="H61" s="24">
        <f>IFERROR(INDEX(Documentos!$F$2:$F$59,MATCH($A61,Documentos!$A$2:$A$59,0)),0)</f>
        <v>0.2</v>
      </c>
      <c r="I61" s="25">
        <f t="shared" si="0"/>
        <v>6.6666666666666666E-2</v>
      </c>
      <c r="J61" s="48" t="s">
        <v>1113</v>
      </c>
      <c r="K61" s="48" t="s">
        <v>51</v>
      </c>
    </row>
    <row r="62" spans="1:11">
      <c r="A62" s="19" t="s">
        <v>84</v>
      </c>
      <c r="B62" s="22" t="str">
        <f>IFERROR(INDEX(Documentos!$B$2:$B$59,MATCH($A62,Documentos!$A$2:$A$59,0)),"")</f>
        <v>Informe de Bases de Diseño</v>
      </c>
      <c r="C62" s="18" t="s">
        <v>393</v>
      </c>
      <c r="D62" s="4" t="str">
        <f>IFERROR(INDEX('Criterios GISTM'!$D$2:$D$222,MATCH($C62,'Criterios GISTM'!$A$2:$A$222,0)),"")</f>
        <v>Principio 04</v>
      </c>
      <c r="E62" s="4" t="str">
        <f>IFERROR(INDEX('Criterios GISTM'!$H$2:$H$222,MATCH($C62,'Criterios GISTM'!$A$2:$A$222,0)),"")</f>
        <v xml:space="preserve"> 4.8 - A</v>
      </c>
      <c r="F62" s="16">
        <v>1</v>
      </c>
      <c r="G62" s="46">
        <f>IFERROR(INDEX('Criterios GISTM'!$J$2:$J$222,MATCH($C62,'Criterios GISTM'!$A$2:$A$222,0)),0)</f>
        <v>0.33333333333333331</v>
      </c>
      <c r="H62" s="24">
        <f>IFERROR(INDEX(Documentos!$F$2:$F$59,MATCH($A62,Documentos!$A$2:$A$59,0)),0)</f>
        <v>0.2</v>
      </c>
      <c r="I62" s="25">
        <f t="shared" si="0"/>
        <v>6.6666666666666666E-2</v>
      </c>
      <c r="J62" s="48" t="s">
        <v>1114</v>
      </c>
      <c r="K62" s="48" t="s">
        <v>51</v>
      </c>
    </row>
    <row r="63" spans="1:11">
      <c r="A63" s="19" t="s">
        <v>84</v>
      </c>
      <c r="B63" s="22" t="str">
        <f>IFERROR(INDEX(Documentos!$B$2:$B$59,MATCH($A63,Documentos!$A$2:$A$59,0)),"")</f>
        <v>Informe de Bases de Diseño</v>
      </c>
      <c r="C63" s="18" t="s">
        <v>398</v>
      </c>
      <c r="D63" s="4" t="str">
        <f>IFERROR(INDEX('Criterios GISTM'!$D$2:$D$222,MATCH($C63,'Criterios GISTM'!$A$2:$A$222,0)),"")</f>
        <v>Principio 04</v>
      </c>
      <c r="E63" s="4" t="str">
        <f>IFERROR(INDEX('Criterios GISTM'!$H$2:$H$222,MATCH($C63,'Criterios GISTM'!$A$2:$A$222,0)),"")</f>
        <v xml:space="preserve"> 4.8 - B</v>
      </c>
      <c r="F63" s="16">
        <v>1</v>
      </c>
      <c r="G63" s="46">
        <f>IFERROR(INDEX('Criterios GISTM'!$J$2:$J$222,MATCH($C63,'Criterios GISTM'!$A$2:$A$222,0)),0)</f>
        <v>0.33333333333333331</v>
      </c>
      <c r="H63" s="24">
        <f>IFERROR(INDEX(Documentos!$F$2:$F$59,MATCH($A63,Documentos!$A$2:$A$59,0)),0)</f>
        <v>0.2</v>
      </c>
      <c r="I63" s="25">
        <f t="shared" si="0"/>
        <v>6.6666666666666666E-2</v>
      </c>
      <c r="J63" s="48" t="s">
        <v>1115</v>
      </c>
      <c r="K63" s="48" t="s">
        <v>51</v>
      </c>
    </row>
    <row r="64" spans="1:11">
      <c r="A64" s="19" t="s">
        <v>84</v>
      </c>
      <c r="B64" s="22" t="str">
        <f>IFERROR(INDEX(Documentos!$B$2:$B$59,MATCH($A64,Documentos!$A$2:$A$59,0)),"")</f>
        <v>Informe de Bases de Diseño</v>
      </c>
      <c r="C64" s="18" t="s">
        <v>401</v>
      </c>
      <c r="D64" s="4" t="str">
        <f>IFERROR(INDEX('Criterios GISTM'!$D$2:$D$222,MATCH($C64,'Criterios GISTM'!$A$2:$A$222,0)),"")</f>
        <v>Principio 04</v>
      </c>
      <c r="E64" s="4" t="str">
        <f>IFERROR(INDEX('Criterios GISTM'!$H$2:$H$222,MATCH($C64,'Criterios GISTM'!$A$2:$A$222,0)),"")</f>
        <v xml:space="preserve"> 4.8 - C</v>
      </c>
      <c r="F64" s="16">
        <v>1</v>
      </c>
      <c r="G64" s="46">
        <f>IFERROR(INDEX('Criterios GISTM'!$J$2:$J$222,MATCH($C64,'Criterios GISTM'!$A$2:$A$222,0)),0)</f>
        <v>0.33333333333333331</v>
      </c>
      <c r="H64" s="24">
        <f>IFERROR(INDEX(Documentos!$F$2:$F$59,MATCH($A64,Documentos!$A$2:$A$59,0)),0)</f>
        <v>0.2</v>
      </c>
      <c r="I64" s="25">
        <f t="shared" si="0"/>
        <v>6.6666666666666666E-2</v>
      </c>
      <c r="J64" s="48" t="s">
        <v>1116</v>
      </c>
      <c r="K64" s="48" t="s">
        <v>51</v>
      </c>
    </row>
    <row r="65" spans="1:11">
      <c r="A65" s="19" t="s">
        <v>72</v>
      </c>
      <c r="B65" s="22" t="str">
        <f>IFERROR(INDEX(Documentos!$B$2:$B$59,MATCH($A65,Documentos!$A$2:$A$59,0)),"")</f>
        <v>Informe de Análisis de Alternativas</v>
      </c>
      <c r="C65" s="18" t="s">
        <v>404</v>
      </c>
      <c r="D65" s="4" t="str">
        <f>IFERROR(INDEX('Criterios GISTM'!$D$2:$D$222,MATCH($C65,'Criterios GISTM'!$A$2:$A$222,0)),"")</f>
        <v>Principio 05</v>
      </c>
      <c r="E65" s="4" t="str">
        <f>IFERROR(INDEX('Criterios GISTM'!$H$2:$H$222,MATCH($C65,'Criterios GISTM'!$A$2:$A$222,0)),"")</f>
        <v xml:space="preserve"> 5.1 - A</v>
      </c>
      <c r="F65" s="16">
        <v>1</v>
      </c>
      <c r="G65" s="46">
        <f>IFERROR(INDEX('Criterios GISTM'!$J$2:$J$222,MATCH($C65,'Criterios GISTM'!$A$2:$A$222,0)),0)</f>
        <v>0.33333333333333331</v>
      </c>
      <c r="H65" s="24">
        <f>IFERROR(INDEX(Documentos!$F$2:$F$59,MATCH($A65,Documentos!$A$2:$A$59,0)),0)</f>
        <v>0.2</v>
      </c>
      <c r="I65" s="25">
        <f t="shared" si="0"/>
        <v>6.6666666666666666E-2</v>
      </c>
      <c r="J65" s="48" t="s">
        <v>1117</v>
      </c>
      <c r="K65" s="48" t="s">
        <v>51</v>
      </c>
    </row>
    <row r="66" spans="1:11">
      <c r="A66" s="19" t="s">
        <v>88</v>
      </c>
      <c r="B66" s="22" t="str">
        <f>IFERROR(INDEX(Documentos!$B$2:$B$59,MATCH($A66,Documentos!$A$2:$A$59,0)),"")</f>
        <v>Nota Técnica Análisis Multicriterio en TMS</v>
      </c>
      <c r="C66" s="18" t="s">
        <v>411</v>
      </c>
      <c r="D66" s="4" t="str">
        <f>IFERROR(INDEX('Criterios GISTM'!$D$2:$D$222,MATCH($C66,'Criterios GISTM'!$A$2:$A$222,0)),"")</f>
        <v>Principio 05</v>
      </c>
      <c r="E66" s="4" t="str">
        <f>IFERROR(INDEX('Criterios GISTM'!$H$2:$H$222,MATCH($C66,'Criterios GISTM'!$A$2:$A$222,0)),"")</f>
        <v xml:space="preserve"> 5.1 - B</v>
      </c>
      <c r="F66" s="16">
        <v>1</v>
      </c>
      <c r="G66" s="46">
        <f>IFERROR(INDEX('Criterios GISTM'!$J$2:$J$222,MATCH($C66,'Criterios GISTM'!$A$2:$A$222,0)),0)</f>
        <v>0.33333333333333331</v>
      </c>
      <c r="H66" s="24">
        <f>IFERROR(INDEX(Documentos!$F$2:$F$59,MATCH($A66,Documentos!$A$2:$A$59,0)),0)</f>
        <v>0.4</v>
      </c>
      <c r="I66" s="25">
        <f t="shared" ref="I66:J129" si="1">F66*G66*H66</f>
        <v>0.13333333333333333</v>
      </c>
      <c r="J66" s="48" t="s">
        <v>1118</v>
      </c>
      <c r="K66" s="48" t="s">
        <v>51</v>
      </c>
    </row>
    <row r="67" spans="1:11">
      <c r="A67" s="19" t="s">
        <v>88</v>
      </c>
      <c r="B67" s="22" t="str">
        <f>IFERROR(INDEX(Documentos!$B$2:$B$59,MATCH($A67,Documentos!$A$2:$A$59,0)),"")</f>
        <v>Nota Técnica Análisis Multicriterio en TMS</v>
      </c>
      <c r="C67" s="18" t="s">
        <v>414</v>
      </c>
      <c r="D67" s="4" t="str">
        <f>IFERROR(INDEX('Criterios GISTM'!$D$2:$D$222,MATCH($C67,'Criterios GISTM'!$A$2:$A$222,0)),"")</f>
        <v>Principio 05</v>
      </c>
      <c r="E67" s="4" t="str">
        <f>IFERROR(INDEX('Criterios GISTM'!$H$2:$H$222,MATCH($C67,'Criterios GISTM'!$A$2:$A$222,0)),"")</f>
        <v xml:space="preserve"> 5.1 - C</v>
      </c>
      <c r="F67" s="16">
        <v>1</v>
      </c>
      <c r="G67" s="46">
        <f>IFERROR(INDEX('Criterios GISTM'!$J$2:$J$222,MATCH($C67,'Criterios GISTM'!$A$2:$A$222,0)),0)</f>
        <v>0.33333333333333331</v>
      </c>
      <c r="H67" s="24">
        <f>IFERROR(INDEX(Documentos!$F$2:$F$59,MATCH($A67,Documentos!$A$2:$A$59,0)),0)</f>
        <v>0.4</v>
      </c>
      <c r="I67" s="25">
        <f t="shared" si="1"/>
        <v>0.13333333333333333</v>
      </c>
      <c r="J67" s="48" t="s">
        <v>1119</v>
      </c>
      <c r="K67" s="48" t="s">
        <v>51</v>
      </c>
    </row>
    <row r="68" spans="1:11">
      <c r="A68" s="19" t="s">
        <v>90</v>
      </c>
      <c r="B68" s="22" t="str">
        <f>IFERROR(INDEX(Documentos!$B$2:$B$59,MATCH($A68,Documentos!$A$2:$A$59,0)),"")</f>
        <v>Informe Anual de Desempeño del Depósito</v>
      </c>
      <c r="C68" s="18" t="s">
        <v>417</v>
      </c>
      <c r="D68" s="4" t="str">
        <f>IFERROR(INDEX('Criterios GISTM'!$D$2:$D$222,MATCH($C68,'Criterios GISTM'!$A$2:$A$222,0)),"")</f>
        <v>Principio 05</v>
      </c>
      <c r="E68" s="4" t="str">
        <f>IFERROR(INDEX('Criterios GISTM'!$H$2:$H$222,MATCH($C68,'Criterios GISTM'!$A$2:$A$222,0)),"")</f>
        <v xml:space="preserve"> 5.2 - A</v>
      </c>
      <c r="F68" s="16">
        <v>1</v>
      </c>
      <c r="G68" s="46">
        <f>IFERROR(INDEX('Criterios GISTM'!$J$2:$J$222,MATCH($C68,'Criterios GISTM'!$A$2:$A$222,0)),0)</f>
        <v>0.5</v>
      </c>
      <c r="H68" s="24">
        <f>IFERROR(INDEX(Documentos!$F$2:$F$59,MATCH($A68,Documentos!$A$2:$A$59,0)),0)</f>
        <v>0.7</v>
      </c>
      <c r="I68" s="25">
        <f t="shared" si="1"/>
        <v>0.35</v>
      </c>
      <c r="J68" s="48" t="s">
        <v>1120</v>
      </c>
      <c r="K68" s="48" t="s">
        <v>51</v>
      </c>
    </row>
    <row r="69" spans="1:11">
      <c r="A69" s="19" t="s">
        <v>78</v>
      </c>
      <c r="B69" s="22" t="str">
        <f>IFERROR(INDEX(Documentos!$B$2:$B$59,MATCH($A69,Documentos!$A$2:$A$59,0)),"")</f>
        <v>Procedimiento de Gestión del Cambio</v>
      </c>
      <c r="C69" s="18" t="s">
        <v>422</v>
      </c>
      <c r="D69" s="4" t="str">
        <f>IFERROR(INDEX('Criterios GISTM'!$D$2:$D$222,MATCH($C69,'Criterios GISTM'!$A$2:$A$222,0)),"")</f>
        <v>Principio 05</v>
      </c>
      <c r="E69" s="4" t="str">
        <f>IFERROR(INDEX('Criterios GISTM'!$H$2:$H$222,MATCH($C69,'Criterios GISTM'!$A$2:$A$222,0)),"")</f>
        <v xml:space="preserve"> 5.2 - B</v>
      </c>
      <c r="F69" s="16">
        <v>1</v>
      </c>
      <c r="G69" s="46">
        <f>IFERROR(INDEX('Criterios GISTM'!$J$2:$J$222,MATCH($C69,'Criterios GISTM'!$A$2:$A$222,0)),0)</f>
        <v>0.5</v>
      </c>
      <c r="H69" s="24">
        <f>IFERROR(INDEX(Documentos!$F$2:$F$59,MATCH($A69,Documentos!$A$2:$A$59,0)),0)</f>
        <v>0.2</v>
      </c>
      <c r="I69" s="25">
        <f t="shared" si="1"/>
        <v>0.1</v>
      </c>
      <c r="J69" s="48" t="s">
        <v>1121</v>
      </c>
      <c r="K69" s="48" t="s">
        <v>51</v>
      </c>
    </row>
    <row r="70" spans="1:11">
      <c r="A70" s="19" t="s">
        <v>92</v>
      </c>
      <c r="B70" s="22" t="str">
        <f>IFERROR(INDEX(Documentos!$B$2:$B$59,MATCH($A70,Documentos!$A$2:$A$59,0)),"")</f>
        <v>Balance Hídrico</v>
      </c>
      <c r="C70" s="18" t="s">
        <v>425</v>
      </c>
      <c r="D70" s="4" t="str">
        <f>IFERROR(INDEX('Criterios GISTM'!$D$2:$D$222,MATCH($C70,'Criterios GISTM'!$A$2:$A$222,0)),"")</f>
        <v>Principio 05</v>
      </c>
      <c r="E70" s="4" t="str">
        <f>IFERROR(INDEX('Criterios GISTM'!$H$2:$H$222,MATCH($C70,'Criterios GISTM'!$A$2:$A$222,0)),"")</f>
        <v xml:space="preserve"> 5.3 - A</v>
      </c>
      <c r="F70" s="16">
        <v>1</v>
      </c>
      <c r="G70" s="46">
        <f>IFERROR(INDEX('Criterios GISTM'!$J$2:$J$222,MATCH($C70,'Criterios GISTM'!$A$2:$A$222,0)),0)</f>
        <v>0.33333333333333331</v>
      </c>
      <c r="H70" s="24">
        <f>IFERROR(INDEX(Documentos!$F$2:$F$59,MATCH($A70,Documentos!$A$2:$A$59,0)),0)</f>
        <v>1</v>
      </c>
      <c r="I70" s="25">
        <f t="shared" si="1"/>
        <v>0.33333333333333331</v>
      </c>
      <c r="J70" s="48" t="s">
        <v>1122</v>
      </c>
      <c r="K70" s="48" t="s">
        <v>51</v>
      </c>
    </row>
    <row r="71" spans="1:11">
      <c r="A71" s="19" t="s">
        <v>92</v>
      </c>
      <c r="B71" s="22" t="str">
        <f>IFERROR(INDEX(Documentos!$B$2:$B$59,MATCH($A71,Documentos!$A$2:$A$59,0)),"")</f>
        <v>Balance Hídrico</v>
      </c>
      <c r="C71" s="18" t="s">
        <v>430</v>
      </c>
      <c r="D71" s="4" t="str">
        <f>IFERROR(INDEX('Criterios GISTM'!$D$2:$D$222,MATCH($C71,'Criterios GISTM'!$A$2:$A$222,0)),"")</f>
        <v>Principio 05</v>
      </c>
      <c r="E71" s="4" t="str">
        <f>IFERROR(INDEX('Criterios GISTM'!$H$2:$H$222,MATCH($C71,'Criterios GISTM'!$A$2:$A$222,0)),"")</f>
        <v xml:space="preserve"> 5.3 - B</v>
      </c>
      <c r="F71" s="16">
        <v>1</v>
      </c>
      <c r="G71" s="46">
        <f>IFERROR(INDEX('Criterios GISTM'!$J$2:$J$222,MATCH($C71,'Criterios GISTM'!$A$2:$A$222,0)),0)</f>
        <v>0.33333333333333331</v>
      </c>
      <c r="H71" s="24">
        <f>IFERROR(INDEX(Documentos!$F$2:$F$59,MATCH($A71,Documentos!$A$2:$A$59,0)),0)</f>
        <v>1</v>
      </c>
      <c r="I71" s="25">
        <f t="shared" si="1"/>
        <v>0.33333333333333331</v>
      </c>
      <c r="J71" s="48" t="s">
        <v>1123</v>
      </c>
      <c r="K71" s="48" t="s">
        <v>51</v>
      </c>
    </row>
    <row r="72" spans="1:11">
      <c r="A72" s="19" t="s">
        <v>92</v>
      </c>
      <c r="B72" s="22" t="str">
        <f>IFERROR(INDEX(Documentos!$B$2:$B$59,MATCH($A72,Documentos!$A$2:$A$59,0)),"")</f>
        <v>Balance Hídrico</v>
      </c>
      <c r="C72" s="18" t="s">
        <v>433</v>
      </c>
      <c r="D72" s="4" t="str">
        <f>IFERROR(INDEX('Criterios GISTM'!$D$2:$D$222,MATCH($C72,'Criterios GISTM'!$A$2:$A$222,0)),"")</f>
        <v>Principio 05</v>
      </c>
      <c r="E72" s="4" t="str">
        <f>IFERROR(INDEX('Criterios GISTM'!$H$2:$H$222,MATCH($C72,'Criterios GISTM'!$A$2:$A$222,0)),"")</f>
        <v xml:space="preserve"> 5.3 - C</v>
      </c>
      <c r="F72" s="16">
        <v>1</v>
      </c>
      <c r="G72" s="46">
        <f>IFERROR(INDEX('Criterios GISTM'!$J$2:$J$222,MATCH($C72,'Criterios GISTM'!$A$2:$A$222,0)),0)</f>
        <v>0.33333333333333331</v>
      </c>
      <c r="H72" s="24">
        <f>IFERROR(INDEX(Documentos!$F$2:$F$59,MATCH($A72,Documentos!$A$2:$A$59,0)),0)</f>
        <v>1</v>
      </c>
      <c r="I72" s="25">
        <f t="shared" si="1"/>
        <v>0.33333333333333331</v>
      </c>
      <c r="J72" s="48" t="s">
        <v>1124</v>
      </c>
      <c r="K72" s="48" t="s">
        <v>51</v>
      </c>
    </row>
    <row r="73" spans="1:11">
      <c r="A73" s="19" t="s">
        <v>94</v>
      </c>
      <c r="B73" s="22" t="str">
        <f>IFERROR(INDEX(Documentos!$B$2:$B$59,MATCH($A73,Documentos!$A$2:$A$59,0)),"")</f>
        <v>Análisis FMEA</v>
      </c>
      <c r="C73" s="18" t="s">
        <v>436</v>
      </c>
      <c r="D73" s="4" t="str">
        <f>IFERROR(INDEX('Criterios GISTM'!$D$2:$D$222,MATCH($C73,'Criterios GISTM'!$A$2:$A$222,0)),"")</f>
        <v>Principio 05</v>
      </c>
      <c r="E73" s="4" t="str">
        <f>IFERROR(INDEX('Criterios GISTM'!$H$2:$H$222,MATCH($C73,'Criterios GISTM'!$A$2:$A$222,0)),"")</f>
        <v xml:space="preserve"> 5.4 - A</v>
      </c>
      <c r="F73" s="16">
        <v>1</v>
      </c>
      <c r="G73" s="46">
        <f>IFERROR(INDEX('Criterios GISTM'!$J$2:$J$222,MATCH($C73,'Criterios GISTM'!$A$2:$A$222,0)),0)</f>
        <v>0.5</v>
      </c>
      <c r="H73" s="24">
        <f>IFERROR(INDEX(Documentos!$F$2:$F$59,MATCH($A73,Documentos!$A$2:$A$59,0)),0)</f>
        <v>1</v>
      </c>
      <c r="I73" s="25">
        <f t="shared" si="1"/>
        <v>0.5</v>
      </c>
      <c r="J73" s="48" t="s">
        <v>1125</v>
      </c>
      <c r="K73" s="48" t="s">
        <v>51</v>
      </c>
    </row>
    <row r="74" spans="1:11">
      <c r="A74" s="19" t="s">
        <v>94</v>
      </c>
      <c r="B74" s="22" t="str">
        <f>IFERROR(INDEX(Documentos!$B$2:$B$59,MATCH($A74,Documentos!$A$2:$A$59,0)),"")</f>
        <v>Análisis FMEA</v>
      </c>
      <c r="C74" s="18" t="s">
        <v>441</v>
      </c>
      <c r="D74" s="4" t="str">
        <f>IFERROR(INDEX('Criterios GISTM'!$D$2:$D$222,MATCH($C74,'Criterios GISTM'!$A$2:$A$222,0)),"")</f>
        <v>Principio 05</v>
      </c>
      <c r="E74" s="4" t="str">
        <f>IFERROR(INDEX('Criterios GISTM'!$H$2:$H$222,MATCH($C74,'Criterios GISTM'!$A$2:$A$222,0)),"")</f>
        <v xml:space="preserve"> 5.4 - B</v>
      </c>
      <c r="F74" s="16">
        <v>1</v>
      </c>
      <c r="G74" s="46">
        <f>IFERROR(INDEX('Criterios GISTM'!$J$2:$J$222,MATCH($C74,'Criterios GISTM'!$A$2:$A$222,0)),0)</f>
        <v>0.5</v>
      </c>
      <c r="H74" s="24">
        <f>IFERROR(INDEX(Documentos!$F$2:$F$59,MATCH($A74,Documentos!$A$2:$A$59,0)),0)</f>
        <v>1</v>
      </c>
      <c r="I74" s="25">
        <f t="shared" si="1"/>
        <v>0.5</v>
      </c>
      <c r="J74" s="48" t="s">
        <v>1126</v>
      </c>
      <c r="K74" s="48" t="s">
        <v>51</v>
      </c>
    </row>
    <row r="75" spans="1:11">
      <c r="A75" s="19" t="s">
        <v>84</v>
      </c>
      <c r="B75" s="22" t="str">
        <f>IFERROR(INDEX(Documentos!$B$2:$B$59,MATCH($A75,Documentos!$A$2:$A$59,0)),"")</f>
        <v>Informe de Bases de Diseño</v>
      </c>
      <c r="C75" s="18" t="s">
        <v>444</v>
      </c>
      <c r="D75" s="4" t="str">
        <f>IFERROR(INDEX('Criterios GISTM'!$D$2:$D$222,MATCH($C75,'Criterios GISTM'!$A$2:$A$222,0)),"")</f>
        <v>Principio 05</v>
      </c>
      <c r="E75" s="4" t="str">
        <f>IFERROR(INDEX('Criterios GISTM'!$H$2:$H$222,MATCH($C75,'Criterios GISTM'!$A$2:$A$222,0)),"")</f>
        <v xml:space="preserve"> 5.5 - A</v>
      </c>
      <c r="F75" s="16">
        <v>1</v>
      </c>
      <c r="G75" s="46">
        <f>IFERROR(INDEX('Criterios GISTM'!$J$2:$J$222,MATCH($C75,'Criterios GISTM'!$A$2:$A$222,0)),0)</f>
        <v>1</v>
      </c>
      <c r="H75" s="24">
        <f>IFERROR(INDEX(Documentos!$F$2:$F$59,MATCH($A75,Documentos!$A$2:$A$59,0)),0)</f>
        <v>0.2</v>
      </c>
      <c r="I75" s="25">
        <f t="shared" si="1"/>
        <v>0.2</v>
      </c>
      <c r="J75" s="48" t="s">
        <v>1127</v>
      </c>
      <c r="K75" s="48" t="s">
        <v>51</v>
      </c>
    </row>
    <row r="76" spans="1:11">
      <c r="A76" s="19" t="s">
        <v>96</v>
      </c>
      <c r="B76" s="22" t="str">
        <f>IFERROR(INDEX(Documentos!$B$2:$B$59,MATCH($A76,Documentos!$A$2:$A$59,0)),"")</f>
        <v>Plan de cierre</v>
      </c>
      <c r="C76" s="18" t="s">
        <v>449</v>
      </c>
      <c r="D76" s="4" t="str">
        <f>IFERROR(INDEX('Criterios GISTM'!$D$2:$D$222,MATCH($C76,'Criterios GISTM'!$A$2:$A$222,0)),"")</f>
        <v>Principio 05</v>
      </c>
      <c r="E76" s="4" t="str">
        <f>IFERROR(INDEX('Criterios GISTM'!$H$2:$H$222,MATCH($C76,'Criterios GISTM'!$A$2:$A$222,0)),"")</f>
        <v xml:space="preserve"> 5.6 - A</v>
      </c>
      <c r="F76" s="16">
        <v>1</v>
      </c>
      <c r="G76" s="46">
        <f>IFERROR(INDEX('Criterios GISTM'!$J$2:$J$222,MATCH($C76,'Criterios GISTM'!$A$2:$A$222,0)),0)</f>
        <v>0.33333333333333331</v>
      </c>
      <c r="H76" s="24">
        <f>IFERROR(INDEX(Documentos!$F$2:$F$59,MATCH($A76,Documentos!$A$2:$A$59,0)),0)</f>
        <v>1</v>
      </c>
      <c r="I76" s="25">
        <f t="shared" si="1"/>
        <v>0.33333333333333331</v>
      </c>
      <c r="J76" s="48" t="s">
        <v>1128</v>
      </c>
      <c r="K76" s="48" t="s">
        <v>51</v>
      </c>
    </row>
    <row r="77" spans="1:11">
      <c r="A77" s="19" t="s">
        <v>96</v>
      </c>
      <c r="B77" s="22" t="str">
        <f>IFERROR(INDEX(Documentos!$B$2:$B$59,MATCH($A77,Documentos!$A$2:$A$59,0)),"")</f>
        <v>Plan de cierre</v>
      </c>
      <c r="C77" s="18" t="s">
        <v>454</v>
      </c>
      <c r="D77" s="4" t="str">
        <f>IFERROR(INDEX('Criterios GISTM'!$D$2:$D$222,MATCH($C77,'Criterios GISTM'!$A$2:$A$222,0)),"")</f>
        <v>Principio 05</v>
      </c>
      <c r="E77" s="4" t="str">
        <f>IFERROR(INDEX('Criterios GISTM'!$H$2:$H$222,MATCH($C77,'Criterios GISTM'!$A$2:$A$222,0)),"")</f>
        <v xml:space="preserve"> 5.6 - B</v>
      </c>
      <c r="F77" s="16">
        <v>1</v>
      </c>
      <c r="G77" s="46">
        <f>IFERROR(INDEX('Criterios GISTM'!$J$2:$J$222,MATCH($C77,'Criterios GISTM'!$A$2:$A$222,0)),0)</f>
        <v>0.33333333333333331</v>
      </c>
      <c r="H77" s="24">
        <f>IFERROR(INDEX(Documentos!$F$2:$F$59,MATCH($A77,Documentos!$A$2:$A$59,0)),0)</f>
        <v>1</v>
      </c>
      <c r="I77" s="25">
        <f t="shared" si="1"/>
        <v>0.33333333333333331</v>
      </c>
      <c r="J77" s="48" t="s">
        <v>1129</v>
      </c>
      <c r="K77" s="48" t="s">
        <v>51</v>
      </c>
    </row>
    <row r="78" spans="1:11">
      <c r="A78" s="19" t="s">
        <v>96</v>
      </c>
      <c r="B78" s="22" t="str">
        <f>IFERROR(INDEX(Documentos!$B$2:$B$59,MATCH($A78,Documentos!$A$2:$A$59,0)),"")</f>
        <v>Plan de cierre</v>
      </c>
      <c r="C78" s="18" t="s">
        <v>457</v>
      </c>
      <c r="D78" s="4" t="str">
        <f>IFERROR(INDEX('Criterios GISTM'!$D$2:$D$222,MATCH($C78,'Criterios GISTM'!$A$2:$A$222,0)),"")</f>
        <v>Principio 05</v>
      </c>
      <c r="E78" s="4" t="str">
        <f>IFERROR(INDEX('Criterios GISTM'!$H$2:$H$222,MATCH($C78,'Criterios GISTM'!$A$2:$A$222,0)),"")</f>
        <v xml:space="preserve"> 5.6 - C</v>
      </c>
      <c r="F78" s="16">
        <v>1</v>
      </c>
      <c r="G78" s="46">
        <f>IFERROR(INDEX('Criterios GISTM'!$J$2:$J$222,MATCH($C78,'Criterios GISTM'!$A$2:$A$222,0)),0)</f>
        <v>0.33333333333333331</v>
      </c>
      <c r="H78" s="24">
        <f>IFERROR(INDEX(Documentos!$F$2:$F$59,MATCH($A78,Documentos!$A$2:$A$59,0)),0)</f>
        <v>1</v>
      </c>
      <c r="I78" s="25">
        <f t="shared" si="1"/>
        <v>0.33333333333333331</v>
      </c>
      <c r="J78" s="48" t="s">
        <v>1130</v>
      </c>
      <c r="K78" s="48" t="s">
        <v>51</v>
      </c>
    </row>
    <row r="79" spans="1:11">
      <c r="A79" s="19" t="s">
        <v>98</v>
      </c>
      <c r="B79" s="22" t="str">
        <f>IFERROR(INDEX(Documentos!$B$2:$B$59,MATCH($A79,Documentos!$A$2:$A$59,0)),"")</f>
        <v>Reporte ALARP</v>
      </c>
      <c r="C79" s="18" t="s">
        <v>460</v>
      </c>
      <c r="D79" s="4" t="str">
        <f>IFERROR(INDEX('Criterios GISTM'!$D$2:$D$222,MATCH($C79,'Criterios GISTM'!$A$2:$A$222,0)),"")</f>
        <v>Principio 05</v>
      </c>
      <c r="E79" s="4" t="str">
        <f>IFERROR(INDEX('Criterios GISTM'!$H$2:$H$222,MATCH($C79,'Criterios GISTM'!$A$2:$A$222,0)),"")</f>
        <v xml:space="preserve"> 5.7 - A</v>
      </c>
      <c r="F79" s="16">
        <v>1</v>
      </c>
      <c r="G79" s="46">
        <f>IFERROR(INDEX('Criterios GISTM'!$J$2:$J$222,MATCH($C79,'Criterios GISTM'!$A$2:$A$222,0)),0)</f>
        <v>0.16666666666666666</v>
      </c>
      <c r="H79" s="24">
        <f>IFERROR(INDEX(Documentos!$F$2:$F$59,MATCH($A79,Documentos!$A$2:$A$59,0)),0)</f>
        <v>0.4</v>
      </c>
      <c r="I79" s="25">
        <f t="shared" si="1"/>
        <v>6.6666666666666666E-2</v>
      </c>
      <c r="J79" s="48" t="s">
        <v>1131</v>
      </c>
      <c r="K79" s="48" t="s">
        <v>51</v>
      </c>
    </row>
    <row r="80" spans="1:11">
      <c r="A80" s="19" t="s">
        <v>98</v>
      </c>
      <c r="B80" s="22" t="str">
        <f>IFERROR(INDEX(Documentos!$B$2:$B$59,MATCH($A80,Documentos!$A$2:$A$59,0)),"")</f>
        <v>Reporte ALARP</v>
      </c>
      <c r="C80" s="18" t="s">
        <v>465</v>
      </c>
      <c r="D80" s="4" t="str">
        <f>IFERROR(INDEX('Criterios GISTM'!$D$2:$D$222,MATCH($C80,'Criterios GISTM'!$A$2:$A$222,0)),"")</f>
        <v>Principio 05</v>
      </c>
      <c r="E80" s="4" t="str">
        <f>IFERROR(INDEX('Criterios GISTM'!$H$2:$H$222,MATCH($C80,'Criterios GISTM'!$A$2:$A$222,0)),"")</f>
        <v xml:space="preserve"> 5.7 - B</v>
      </c>
      <c r="F80" s="16">
        <v>1</v>
      </c>
      <c r="G80" s="46">
        <f>IFERROR(INDEX('Criterios GISTM'!$J$2:$J$222,MATCH($C80,'Criterios GISTM'!$A$2:$A$222,0)),0)</f>
        <v>0.16666666666666666</v>
      </c>
      <c r="H80" s="24">
        <f>IFERROR(INDEX(Documentos!$F$2:$F$59,MATCH($A80,Documentos!$A$2:$A$59,0)),0)</f>
        <v>0.4</v>
      </c>
      <c r="I80" s="25">
        <f t="shared" si="1"/>
        <v>6.6666666666666666E-2</v>
      </c>
      <c r="J80" s="48" t="s">
        <v>1132</v>
      </c>
      <c r="K80" s="48" t="s">
        <v>51</v>
      </c>
    </row>
    <row r="81" spans="1:11">
      <c r="A81" s="19" t="s">
        <v>98</v>
      </c>
      <c r="B81" s="22" t="str">
        <f>IFERROR(INDEX(Documentos!$B$2:$B$59,MATCH($A81,Documentos!$A$2:$A$59,0)),"")</f>
        <v>Reporte ALARP</v>
      </c>
      <c r="C81" s="18" t="s">
        <v>468</v>
      </c>
      <c r="D81" s="4" t="str">
        <f>IFERROR(INDEX('Criterios GISTM'!$D$2:$D$222,MATCH($C81,'Criterios GISTM'!$A$2:$A$222,0)),"")</f>
        <v>Principio 05</v>
      </c>
      <c r="E81" s="4" t="str">
        <f>IFERROR(INDEX('Criterios GISTM'!$H$2:$H$222,MATCH($C81,'Criterios GISTM'!$A$2:$A$222,0)),"")</f>
        <v xml:space="preserve"> 5.7 - C</v>
      </c>
      <c r="F81" s="16">
        <v>1</v>
      </c>
      <c r="G81" s="46">
        <f>IFERROR(INDEX('Criterios GISTM'!$J$2:$J$222,MATCH($C81,'Criterios GISTM'!$A$2:$A$222,0)),0)</f>
        <v>0.16666666666666666</v>
      </c>
      <c r="H81" s="24">
        <f>IFERROR(INDEX(Documentos!$F$2:$F$59,MATCH($A81,Documentos!$A$2:$A$59,0)),0)</f>
        <v>0.4</v>
      </c>
      <c r="I81" s="25">
        <f t="shared" si="1"/>
        <v>6.6666666666666666E-2</v>
      </c>
      <c r="J81" s="48" t="s">
        <v>1133</v>
      </c>
      <c r="K81" s="48" t="s">
        <v>51</v>
      </c>
    </row>
    <row r="82" spans="1:11">
      <c r="A82" s="19" t="s">
        <v>98</v>
      </c>
      <c r="B82" s="22" t="str">
        <f>IFERROR(INDEX(Documentos!$B$2:$B$59,MATCH($A82,Documentos!$A$2:$A$59,0)),"")</f>
        <v>Reporte ALARP</v>
      </c>
      <c r="C82" s="18" t="s">
        <v>471</v>
      </c>
      <c r="D82" s="4" t="str">
        <f>IFERROR(INDEX('Criterios GISTM'!$D$2:$D$222,MATCH($C82,'Criterios GISTM'!$A$2:$A$222,0)),"")</f>
        <v>Principio 05</v>
      </c>
      <c r="E82" s="4" t="str">
        <f>IFERROR(INDEX('Criterios GISTM'!$H$2:$H$222,MATCH($C82,'Criterios GISTM'!$A$2:$A$222,0)),"")</f>
        <v xml:space="preserve"> 5.7 - D</v>
      </c>
      <c r="F82" s="16">
        <v>1</v>
      </c>
      <c r="G82" s="46">
        <f>IFERROR(INDEX('Criterios GISTM'!$J$2:$J$222,MATCH($C82,'Criterios GISTM'!$A$2:$A$222,0)),0)</f>
        <v>0.16666666666666666</v>
      </c>
      <c r="H82" s="24">
        <f>IFERROR(INDEX(Documentos!$F$2:$F$59,MATCH($A82,Documentos!$A$2:$A$59,0)),0)</f>
        <v>0.4</v>
      </c>
      <c r="I82" s="25">
        <f t="shared" si="1"/>
        <v>6.6666666666666666E-2</v>
      </c>
      <c r="J82" s="48" t="s">
        <v>1134</v>
      </c>
      <c r="K82" s="48" t="s">
        <v>51</v>
      </c>
    </row>
    <row r="83" spans="1:11">
      <c r="A83" s="19" t="s">
        <v>98</v>
      </c>
      <c r="B83" s="22" t="str">
        <f>IFERROR(INDEX(Documentos!$B$2:$B$59,MATCH($A83,Documentos!$A$2:$A$59,0)),"")</f>
        <v>Reporte ALARP</v>
      </c>
      <c r="C83" s="18" t="s">
        <v>474</v>
      </c>
      <c r="D83" s="4" t="str">
        <f>IFERROR(INDEX('Criterios GISTM'!$D$2:$D$222,MATCH($C83,'Criterios GISTM'!$A$2:$A$222,0)),"")</f>
        <v>Principio 05</v>
      </c>
      <c r="E83" s="4" t="str">
        <f>IFERROR(INDEX('Criterios GISTM'!$H$2:$H$222,MATCH($C83,'Criterios GISTM'!$A$2:$A$222,0)),"")</f>
        <v xml:space="preserve"> 5.7 - E</v>
      </c>
      <c r="F83" s="16">
        <v>1</v>
      </c>
      <c r="G83" s="46">
        <f>IFERROR(INDEX('Criterios GISTM'!$J$2:$J$222,MATCH($C83,'Criterios GISTM'!$A$2:$A$222,0)),0)</f>
        <v>0.16666666666666666</v>
      </c>
      <c r="H83" s="24">
        <f>IFERROR(INDEX(Documentos!$F$2:$F$59,MATCH($A83,Documentos!$A$2:$A$59,0)),0)</f>
        <v>0.4</v>
      </c>
      <c r="I83" s="25">
        <f t="shared" si="1"/>
        <v>6.6666666666666666E-2</v>
      </c>
      <c r="J83" s="48" t="s">
        <v>1135</v>
      </c>
      <c r="K83" s="48" t="s">
        <v>51</v>
      </c>
    </row>
    <row r="84" spans="1:11">
      <c r="A84" s="19" t="s">
        <v>98</v>
      </c>
      <c r="B84" s="22" t="str">
        <f>IFERROR(INDEX(Documentos!$B$2:$B$59,MATCH($A84,Documentos!$A$2:$A$59,0)),"")</f>
        <v>Reporte ALARP</v>
      </c>
      <c r="C84" s="18" t="s">
        <v>477</v>
      </c>
      <c r="D84" s="4" t="str">
        <f>IFERROR(INDEX('Criterios GISTM'!$D$2:$D$222,MATCH($C84,'Criterios GISTM'!$A$2:$A$222,0)),"")</f>
        <v>Principio 05</v>
      </c>
      <c r="E84" s="4" t="str">
        <f>IFERROR(INDEX('Criterios GISTM'!$H$2:$H$222,MATCH($C84,'Criterios GISTM'!$A$2:$A$222,0)),"")</f>
        <v xml:space="preserve"> 5.7 - F</v>
      </c>
      <c r="F84" s="16">
        <v>1</v>
      </c>
      <c r="G84" s="46">
        <f>IFERROR(INDEX('Criterios GISTM'!$J$2:$J$222,MATCH($C84,'Criterios GISTM'!$A$2:$A$222,0)),0)</f>
        <v>0.16666666666666666</v>
      </c>
      <c r="H84" s="24">
        <f>IFERROR(INDEX(Documentos!$F$2:$F$59,MATCH($A84,Documentos!$A$2:$A$59,0)),0)</f>
        <v>0.4</v>
      </c>
      <c r="I84" s="25">
        <f t="shared" si="1"/>
        <v>6.6666666666666666E-2</v>
      </c>
      <c r="J84" s="48" t="s">
        <v>1136</v>
      </c>
      <c r="K84" s="48" t="s">
        <v>51</v>
      </c>
    </row>
    <row r="85" spans="1:11">
      <c r="A85" s="19" t="s">
        <v>100</v>
      </c>
      <c r="B85" s="22" t="str">
        <f>IFERROR(INDEX(Documentos!$B$2:$B$59,MATCH($A85,Documentos!$A$2:$A$59,0)),"")</f>
        <v>Nota Técnica Comunidades Aledañas</v>
      </c>
      <c r="C85" s="18" t="s">
        <v>480</v>
      </c>
      <c r="D85" s="4" t="str">
        <f>IFERROR(INDEX('Criterios GISTM'!$D$2:$D$222,MATCH($C85,'Criterios GISTM'!$A$2:$A$222,0)),"")</f>
        <v>Principio 05</v>
      </c>
      <c r="E85" s="4" t="str">
        <f>IFERROR(INDEX('Criterios GISTM'!$H$2:$H$222,MATCH($C85,'Criterios GISTM'!$A$2:$A$222,0)),"")</f>
        <v xml:space="preserve"> 5.8 - A</v>
      </c>
      <c r="F85" s="16">
        <v>1</v>
      </c>
      <c r="G85" s="46">
        <f>IFERROR(INDEX('Criterios GISTM'!$J$2:$J$222,MATCH($C85,'Criterios GISTM'!$A$2:$A$222,0)),0)</f>
        <v>0.5</v>
      </c>
      <c r="H85" s="24">
        <f>IFERROR(INDEX(Documentos!$F$2:$F$59,MATCH($A85,Documentos!$A$2:$A$59,0)),0)</f>
        <v>0.2</v>
      </c>
      <c r="I85" s="25">
        <f t="shared" si="1"/>
        <v>0.1</v>
      </c>
      <c r="J85" s="48" t="s">
        <v>1137</v>
      </c>
      <c r="K85" s="48" t="s">
        <v>51</v>
      </c>
    </row>
    <row r="86" spans="1:11">
      <c r="A86" s="19" t="s">
        <v>100</v>
      </c>
      <c r="B86" s="22" t="str">
        <f>IFERROR(INDEX(Documentos!$B$2:$B$59,MATCH($A86,Documentos!$A$2:$A$59,0)),"")</f>
        <v>Nota Técnica Comunidades Aledañas</v>
      </c>
      <c r="C86" s="18" t="s">
        <v>485</v>
      </c>
      <c r="D86" s="4" t="str">
        <f>IFERROR(INDEX('Criterios GISTM'!$D$2:$D$222,MATCH($C86,'Criterios GISTM'!$A$2:$A$222,0)),"")</f>
        <v>Principio 05</v>
      </c>
      <c r="E86" s="4" t="str">
        <f>IFERROR(INDEX('Criterios GISTM'!$H$2:$H$222,MATCH($C86,'Criterios GISTM'!$A$2:$A$222,0)),"")</f>
        <v xml:space="preserve"> 5.8 - B</v>
      </c>
      <c r="F86" s="16">
        <v>1</v>
      </c>
      <c r="G86" s="46">
        <f>IFERROR(INDEX('Criterios GISTM'!$J$2:$J$222,MATCH($C86,'Criterios GISTM'!$A$2:$A$222,0)),0)</f>
        <v>0.5</v>
      </c>
      <c r="H86" s="24">
        <f>IFERROR(INDEX(Documentos!$F$2:$F$59,MATCH($A86,Documentos!$A$2:$A$59,0)),0)</f>
        <v>0.2</v>
      </c>
      <c r="I86" s="25">
        <f t="shared" si="1"/>
        <v>0.1</v>
      </c>
      <c r="J86" s="48" t="s">
        <v>1138</v>
      </c>
      <c r="K86" s="48" t="s">
        <v>51</v>
      </c>
    </row>
    <row r="87" spans="1:11">
      <c r="A87" s="19" t="s">
        <v>84</v>
      </c>
      <c r="B87" s="22" t="str">
        <f>IFERROR(INDEX(Documentos!$B$2:$B$59,MATCH($A87,Documentos!$A$2:$A$59,0)),"")</f>
        <v>Informe de Bases de Diseño</v>
      </c>
      <c r="C87" s="18" t="s">
        <v>488</v>
      </c>
      <c r="D87" s="4" t="str">
        <f>IFERROR(INDEX('Criterios GISTM'!$D$2:$D$222,MATCH($C87,'Criterios GISTM'!$A$2:$A$222,0)),"")</f>
        <v>Principio 06</v>
      </c>
      <c r="E87" s="4" t="str">
        <f>IFERROR(INDEX('Criterios GISTM'!$H$2:$H$222,MATCH($C87,'Criterios GISTM'!$A$2:$A$222,0)),"")</f>
        <v xml:space="preserve"> 6.1 - A</v>
      </c>
      <c r="F87" s="16">
        <v>1</v>
      </c>
      <c r="G87" s="46">
        <f>IFERROR(INDEX('Criterios GISTM'!$J$2:$J$222,MATCH($C87,'Criterios GISTM'!$A$2:$A$222,0)),0)</f>
        <v>0.25</v>
      </c>
      <c r="H87" s="24">
        <f>IFERROR(INDEX(Documentos!$F$2:$F$59,MATCH($A87,Documentos!$A$2:$A$59,0)),0)</f>
        <v>0.2</v>
      </c>
      <c r="I87" s="25">
        <f t="shared" si="1"/>
        <v>0.05</v>
      </c>
      <c r="J87" s="48" t="s">
        <v>1139</v>
      </c>
      <c r="K87" s="48" t="s">
        <v>51</v>
      </c>
    </row>
    <row r="88" spans="1:11">
      <c r="A88" s="19" t="s">
        <v>102</v>
      </c>
      <c r="B88" s="22" t="str">
        <f>IFERROR(INDEX(Documentos!$B$2:$B$59,MATCH($A88,Documentos!$A$2:$A$59,0)),"")</f>
        <v>Reporte de Registro de Construcción (CRR)</v>
      </c>
      <c r="C88" s="18" t="s">
        <v>488</v>
      </c>
      <c r="D88" s="4" t="str">
        <f>IFERROR(INDEX('Criterios GISTM'!$D$2:$D$222,MATCH($C88,'Criterios GISTM'!$A$2:$A$222,0)),"")</f>
        <v>Principio 06</v>
      </c>
      <c r="E88" s="4" t="str">
        <f>IFERROR(INDEX('Criterios GISTM'!$H$2:$H$222,MATCH($C88,'Criterios GISTM'!$A$2:$A$222,0)),"")</f>
        <v xml:space="preserve"> 6.1 - A</v>
      </c>
      <c r="F88" s="16">
        <v>1</v>
      </c>
      <c r="G88" s="46">
        <f>IFERROR(INDEX('Criterios GISTM'!$J$2:$J$222,MATCH($C88,'Criterios GISTM'!$A$2:$A$222,0)),0)</f>
        <v>0.25</v>
      </c>
      <c r="H88" s="24">
        <f>IFERROR(INDEX(Documentos!$F$2:$F$59,MATCH($A88,Documentos!$A$2:$A$59,0)),0)</f>
        <v>0.2</v>
      </c>
      <c r="I88" s="25">
        <f t="shared" si="1"/>
        <v>0.05</v>
      </c>
      <c r="J88" s="48" t="s">
        <v>1140</v>
      </c>
      <c r="K88" s="48" t="s">
        <v>51</v>
      </c>
    </row>
    <row r="89" spans="1:11">
      <c r="A89" s="19" t="s">
        <v>104</v>
      </c>
      <c r="B89" s="22" t="str">
        <f>IFERROR(INDEX(Documentos!$B$2:$B$59,MATCH($A89,Documentos!$A$2:$A$59,0)),"")</f>
        <v>Informe Verificación construcción contra intención de diseño (CDIV)</v>
      </c>
      <c r="C89" s="18" t="s">
        <v>488</v>
      </c>
      <c r="D89" s="4" t="str">
        <f>IFERROR(INDEX('Criterios GISTM'!$D$2:$D$222,MATCH($C89,'Criterios GISTM'!$A$2:$A$222,0)),"")</f>
        <v>Principio 06</v>
      </c>
      <c r="E89" s="4" t="str">
        <f>IFERROR(INDEX('Criterios GISTM'!$H$2:$H$222,MATCH($C89,'Criterios GISTM'!$A$2:$A$222,0)),"")</f>
        <v xml:space="preserve"> 6.1 - A</v>
      </c>
      <c r="F89" s="16">
        <v>1</v>
      </c>
      <c r="G89" s="46">
        <f>IFERROR(INDEX('Criterios GISTM'!$J$2:$J$222,MATCH($C89,'Criterios GISTM'!$A$2:$A$222,0)),0)</f>
        <v>0.25</v>
      </c>
      <c r="H89" s="24">
        <f>IFERROR(INDEX(Documentos!$F$2:$F$59,MATCH($A89,Documentos!$A$2:$A$59,0)),0)</f>
        <v>0.2</v>
      </c>
      <c r="I89" s="25">
        <f t="shared" si="1"/>
        <v>0.05</v>
      </c>
      <c r="J89" s="48" t="s">
        <v>1141</v>
      </c>
      <c r="K89" s="48" t="s">
        <v>51</v>
      </c>
    </row>
    <row r="90" spans="1:11">
      <c r="A90" s="19" t="s">
        <v>106</v>
      </c>
      <c r="B90" s="22" t="str">
        <f>IFERROR(INDEX(Documentos!$B$2:$B$59,MATCH($A90,Documentos!$A$2:$A$59,0)),"")</f>
        <v>Manual Articulador TMS</v>
      </c>
      <c r="C90" s="18" t="s">
        <v>495</v>
      </c>
      <c r="D90" s="4" t="str">
        <f>IFERROR(INDEX('Criterios GISTM'!$D$2:$D$222,MATCH($C90,'Criterios GISTM'!$A$2:$A$222,0)),"")</f>
        <v>Principio 06</v>
      </c>
      <c r="E90" s="4" t="str">
        <f>IFERROR(INDEX('Criterios GISTM'!$H$2:$H$222,MATCH($C90,'Criterios GISTM'!$A$2:$A$222,0)),"")</f>
        <v xml:space="preserve"> 6.1 - B</v>
      </c>
      <c r="F90" s="16">
        <v>1</v>
      </c>
      <c r="G90" s="46">
        <f>IFERROR(INDEX('Criterios GISTM'!$J$2:$J$222,MATCH($C90,'Criterios GISTM'!$A$2:$A$222,0)),0)</f>
        <v>0.25</v>
      </c>
      <c r="H90" s="24">
        <f>IFERROR(INDEX(Documentos!$F$2:$F$59,MATCH($A90,Documentos!$A$2:$A$59,0)),0)</f>
        <v>0.2</v>
      </c>
      <c r="I90" s="25">
        <f t="shared" si="1"/>
        <v>0.05</v>
      </c>
      <c r="J90" s="48" t="s">
        <v>1142</v>
      </c>
      <c r="K90" s="48" t="s">
        <v>51</v>
      </c>
    </row>
    <row r="91" spans="1:11">
      <c r="A91" s="19" t="s">
        <v>109</v>
      </c>
      <c r="B91" s="22" t="str">
        <f>IFERROR(INDEX(Documentos!$B$2:$B$59,MATCH($A91,Documentos!$A$2:$A$59,0)),"")</f>
        <v>Manual Operación, Mantención y Vigilancia (OMS)</v>
      </c>
      <c r="C91" s="18" t="s">
        <v>498</v>
      </c>
      <c r="D91" s="4" t="str">
        <f>IFERROR(INDEX('Criterios GISTM'!$D$2:$D$222,MATCH($C91,'Criterios GISTM'!$A$2:$A$222,0)),"")</f>
        <v>Principio 06</v>
      </c>
      <c r="E91" s="4" t="str">
        <f>IFERROR(INDEX('Criterios GISTM'!$H$2:$H$222,MATCH($C91,'Criterios GISTM'!$A$2:$A$222,0)),"")</f>
        <v xml:space="preserve"> 6.1 - C</v>
      </c>
      <c r="F91" s="16">
        <v>1</v>
      </c>
      <c r="G91" s="46">
        <f>IFERROR(INDEX('Criterios GISTM'!$J$2:$J$222,MATCH($C91,'Criterios GISTM'!$A$2:$A$222,0)),0)</f>
        <v>0.25</v>
      </c>
      <c r="H91" s="24">
        <f>IFERROR(INDEX(Documentos!$F$2:$F$59,MATCH($A91,Documentos!$A$2:$A$59,0)),0)</f>
        <v>0.2</v>
      </c>
      <c r="I91" s="25">
        <f t="shared" si="1"/>
        <v>0.05</v>
      </c>
      <c r="J91" s="48" t="s">
        <v>1143</v>
      </c>
      <c r="K91" s="48" t="s">
        <v>51</v>
      </c>
    </row>
    <row r="92" spans="1:11">
      <c r="A92" s="19" t="s">
        <v>111</v>
      </c>
      <c r="B92" s="22" t="str">
        <f>IFERROR(INDEX(Documentos!$B$2:$B$59,MATCH($A92,Documentos!$A$2:$A$59,0)),"")</f>
        <v>Manual Sistema Gestión Medioambiental y Social</v>
      </c>
      <c r="C92" s="18" t="s">
        <v>501</v>
      </c>
      <c r="D92" s="4" t="str">
        <f>IFERROR(INDEX('Criterios GISTM'!$D$2:$D$222,MATCH($C92,'Criterios GISTM'!$A$2:$A$222,0)),"")</f>
        <v>Principio 06</v>
      </c>
      <c r="E92" s="4" t="str">
        <f>IFERROR(INDEX('Criterios GISTM'!$H$2:$H$222,MATCH($C92,'Criterios GISTM'!$A$2:$A$222,0)),"")</f>
        <v xml:space="preserve"> 6.1 - D</v>
      </c>
      <c r="F92" s="16">
        <v>1</v>
      </c>
      <c r="G92" s="46">
        <f>IFERROR(INDEX('Criterios GISTM'!$J$2:$J$222,MATCH($C92,'Criterios GISTM'!$A$2:$A$222,0)),0)</f>
        <v>0.25</v>
      </c>
      <c r="H92" s="24">
        <f>IFERROR(INDEX(Documentos!$F$2:$F$59,MATCH($A92,Documentos!$A$2:$A$59,0)),0)</f>
        <v>0.2</v>
      </c>
      <c r="I92" s="25">
        <f t="shared" si="1"/>
        <v>0.05</v>
      </c>
      <c r="J92" s="48" t="s">
        <v>1144</v>
      </c>
      <c r="K92" s="48" t="s">
        <v>51</v>
      </c>
    </row>
    <row r="93" spans="1:11">
      <c r="A93" s="19" t="s">
        <v>106</v>
      </c>
      <c r="B93" s="22" t="str">
        <f>IFERROR(INDEX(Documentos!$B$2:$B$59,MATCH($A93,Documentos!$A$2:$A$59,0)),"")</f>
        <v>Manual Articulador TMS</v>
      </c>
      <c r="C93" s="18" t="s">
        <v>501</v>
      </c>
      <c r="D93" s="4" t="str">
        <f>IFERROR(INDEX('Criterios GISTM'!$D$2:$D$222,MATCH($C93,'Criterios GISTM'!$A$2:$A$222,0)),"")</f>
        <v>Principio 06</v>
      </c>
      <c r="E93" s="4" t="str">
        <f>IFERROR(INDEX('Criterios GISTM'!$H$2:$H$222,MATCH($C93,'Criterios GISTM'!$A$2:$A$222,0)),"")</f>
        <v xml:space="preserve"> 6.1 - D</v>
      </c>
      <c r="F93" s="16">
        <v>1</v>
      </c>
      <c r="G93" s="46">
        <f>IFERROR(INDEX('Criterios GISTM'!$J$2:$J$222,MATCH($C93,'Criterios GISTM'!$A$2:$A$222,0)),0)</f>
        <v>0.25</v>
      </c>
      <c r="H93" s="24">
        <f>IFERROR(INDEX(Documentos!$F$2:$F$59,MATCH($A93,Documentos!$A$2:$A$59,0)),0)</f>
        <v>0.2</v>
      </c>
      <c r="I93" s="25">
        <f t="shared" si="1"/>
        <v>0.05</v>
      </c>
      <c r="J93" s="48" t="s">
        <v>1145</v>
      </c>
      <c r="K93" s="48" t="s">
        <v>51</v>
      </c>
    </row>
    <row r="94" spans="1:11">
      <c r="A94" s="19" t="s">
        <v>113</v>
      </c>
      <c r="B94" s="22" t="str">
        <f>IFERROR(INDEX(Documentos!$B$2:$B$59,MATCH($A94,Documentos!$A$2:$A$59,0)),"")</f>
        <v>Programa QA/QC</v>
      </c>
      <c r="C94" s="18" t="s">
        <v>504</v>
      </c>
      <c r="D94" s="4" t="str">
        <f>IFERROR(INDEX('Criterios GISTM'!$D$2:$D$222,MATCH($C94,'Criterios GISTM'!$A$2:$A$222,0)),"")</f>
        <v>Principio 06</v>
      </c>
      <c r="E94" s="4" t="str">
        <f>IFERROR(INDEX('Criterios GISTM'!$H$2:$H$222,MATCH($C94,'Criterios GISTM'!$A$2:$A$222,0)),"")</f>
        <v xml:space="preserve"> 6.2 - A</v>
      </c>
      <c r="F94" s="16">
        <v>1</v>
      </c>
      <c r="G94" s="46">
        <f>IFERROR(INDEX('Criterios GISTM'!$J$2:$J$222,MATCH($C94,'Criterios GISTM'!$A$2:$A$222,0)),0)</f>
        <v>1</v>
      </c>
      <c r="H94" s="24">
        <f>IFERROR(INDEX(Documentos!$F$2:$F$59,MATCH($A94,Documentos!$A$2:$A$59,0)),0)</f>
        <v>0.2</v>
      </c>
      <c r="I94" s="25">
        <f t="shared" si="1"/>
        <v>0.2</v>
      </c>
      <c r="J94" s="48" t="s">
        <v>1146</v>
      </c>
      <c r="K94" s="48" t="s">
        <v>51</v>
      </c>
    </row>
    <row r="95" spans="1:11">
      <c r="A95" s="19" t="s">
        <v>104</v>
      </c>
      <c r="B95" s="22" t="str">
        <f>IFERROR(INDEX(Documentos!$B$2:$B$59,MATCH($A95,Documentos!$A$2:$A$59,0)),"")</f>
        <v>Informe Verificación construcción contra intención de diseño (CDIV)</v>
      </c>
      <c r="C95" s="18" t="s">
        <v>509</v>
      </c>
      <c r="D95" s="4" t="str">
        <f>IFERROR(INDEX('Criterios GISTM'!$D$2:$D$222,MATCH($C95,'Criterios GISTM'!$A$2:$A$222,0)),"")</f>
        <v>Principio 06</v>
      </c>
      <c r="E95" s="4" t="str">
        <f>IFERROR(INDEX('Criterios GISTM'!$H$2:$H$222,MATCH($C95,'Criterios GISTM'!$A$2:$A$222,0)),"")</f>
        <v xml:space="preserve"> 6.2 - B</v>
      </c>
      <c r="F95" s="16">
        <v>1</v>
      </c>
      <c r="G95" s="46">
        <f>IFERROR(INDEX('Criterios GISTM'!$J$2:$J$222,MATCH($C95,'Criterios GISTM'!$A$2:$A$222,0)),0)</f>
        <v>1</v>
      </c>
      <c r="H95" s="24">
        <f>IFERROR(INDEX(Documentos!$F$2:$F$59,MATCH($A95,Documentos!$A$2:$A$59,0)),0)</f>
        <v>0.2</v>
      </c>
      <c r="I95" s="25">
        <f t="shared" si="1"/>
        <v>0.2</v>
      </c>
      <c r="J95" s="48" t="s">
        <v>1147</v>
      </c>
      <c r="K95" s="48" t="s">
        <v>51</v>
      </c>
    </row>
    <row r="96" spans="1:11">
      <c r="A96" s="19" t="s">
        <v>102</v>
      </c>
      <c r="B96" s="22" t="str">
        <f>IFERROR(INDEX(Documentos!$B$2:$B$59,MATCH($A96,Documentos!$A$2:$A$59,0)),"")</f>
        <v>Reporte de Registro de Construcción (CRR)</v>
      </c>
      <c r="C96" s="18" t="s">
        <v>512</v>
      </c>
      <c r="D96" s="4" t="str">
        <f>IFERROR(INDEX('Criterios GISTM'!$D$2:$D$222,MATCH($C96,'Criterios GISTM'!$A$2:$A$222,0)),"")</f>
        <v>Principio 06</v>
      </c>
      <c r="E96" s="4" t="str">
        <f>IFERROR(INDEX('Criterios GISTM'!$H$2:$H$222,MATCH($C96,'Criterios GISTM'!$A$2:$A$222,0)),"")</f>
        <v xml:space="preserve"> 6.3 - A</v>
      </c>
      <c r="F96" s="16">
        <v>1</v>
      </c>
      <c r="G96" s="46">
        <f>IFERROR(INDEX('Criterios GISTM'!$J$2:$J$222,MATCH($C96,'Criterios GISTM'!$A$2:$A$222,0)),0)</f>
        <v>0.5</v>
      </c>
      <c r="H96" s="24">
        <f>IFERROR(INDEX(Documentos!$F$2:$F$59,MATCH($A96,Documentos!$A$2:$A$59,0)),0)</f>
        <v>0.2</v>
      </c>
      <c r="I96" s="25">
        <f t="shared" si="1"/>
        <v>0.1</v>
      </c>
      <c r="J96" s="48" t="s">
        <v>1148</v>
      </c>
      <c r="K96" s="48" t="s">
        <v>51</v>
      </c>
    </row>
    <row r="97" spans="1:11">
      <c r="A97" s="19" t="s">
        <v>106</v>
      </c>
      <c r="B97" s="22" t="str">
        <f>IFERROR(INDEX(Documentos!$B$2:$B$59,MATCH($A97,Documentos!$A$2:$A$59,0)),"")</f>
        <v>Manual Articulador TMS</v>
      </c>
      <c r="C97" s="18" t="s">
        <v>517</v>
      </c>
      <c r="D97" s="4" t="str">
        <f>IFERROR(INDEX('Criterios GISTM'!$D$2:$D$222,MATCH($C97,'Criterios GISTM'!$A$2:$A$222,0)),"")</f>
        <v>Principio 06</v>
      </c>
      <c r="E97" s="4" t="str">
        <f>IFERROR(INDEX('Criterios GISTM'!$H$2:$H$222,MATCH($C97,'Criterios GISTM'!$A$2:$A$222,0)),"")</f>
        <v xml:space="preserve"> 6.3 - B</v>
      </c>
      <c r="F97" s="16">
        <v>1</v>
      </c>
      <c r="G97" s="46">
        <f>IFERROR(INDEX('Criterios GISTM'!$J$2:$J$222,MATCH($C97,'Criterios GISTM'!$A$2:$A$222,0)),0)</f>
        <v>0.5</v>
      </c>
      <c r="H97" s="24">
        <f>IFERROR(INDEX(Documentos!$F$2:$F$59,MATCH($A97,Documentos!$A$2:$A$59,0)),0)</f>
        <v>0.2</v>
      </c>
      <c r="I97" s="25">
        <f t="shared" si="1"/>
        <v>0.1</v>
      </c>
      <c r="J97" s="48" t="s">
        <v>1149</v>
      </c>
      <c r="K97" s="48" t="s">
        <v>51</v>
      </c>
    </row>
    <row r="98" spans="1:11">
      <c r="A98" s="19" t="s">
        <v>109</v>
      </c>
      <c r="B98" s="22" t="str">
        <f>IFERROR(INDEX(Documentos!$B$2:$B$59,MATCH($A98,Documentos!$A$2:$A$59,0)),"")</f>
        <v>Manual Operación, Mantención y Vigilancia (OMS)</v>
      </c>
      <c r="C98" s="18" t="s">
        <v>520</v>
      </c>
      <c r="D98" s="4" t="str">
        <f>IFERROR(INDEX('Criterios GISTM'!$D$2:$D$222,MATCH($C98,'Criterios GISTM'!$A$2:$A$222,0)),"")</f>
        <v>Principio 06</v>
      </c>
      <c r="E98" s="4" t="str">
        <f>IFERROR(INDEX('Criterios GISTM'!$H$2:$H$222,MATCH($C98,'Criterios GISTM'!$A$2:$A$222,0)),"")</f>
        <v xml:space="preserve"> 6.4 - A</v>
      </c>
      <c r="F98" s="16">
        <v>1</v>
      </c>
      <c r="G98" s="46">
        <f>IFERROR(INDEX('Criterios GISTM'!$J$2:$J$222,MATCH($C98,'Criterios GISTM'!$A$2:$A$222,0)),0)</f>
        <v>0.2</v>
      </c>
      <c r="H98" s="24">
        <f>IFERROR(INDEX(Documentos!$F$2:$F$59,MATCH($A98,Documentos!$A$2:$A$59,0)),0)</f>
        <v>0.2</v>
      </c>
      <c r="I98" s="25">
        <f t="shared" si="1"/>
        <v>4.0000000000000008E-2</v>
      </c>
      <c r="J98" s="48" t="s">
        <v>1150</v>
      </c>
      <c r="K98" s="48" t="s">
        <v>51</v>
      </c>
    </row>
    <row r="99" spans="1:11">
      <c r="A99" s="19" t="s">
        <v>109</v>
      </c>
      <c r="B99" s="22" t="str">
        <f>IFERROR(INDEX(Documentos!$B$2:$B$59,MATCH($A99,Documentos!$A$2:$A$59,0)),"")</f>
        <v>Manual Operación, Mantención y Vigilancia (OMS)</v>
      </c>
      <c r="C99" s="18" t="s">
        <v>525</v>
      </c>
      <c r="D99" s="4" t="str">
        <f>IFERROR(INDEX('Criterios GISTM'!$D$2:$D$222,MATCH($C99,'Criterios GISTM'!$A$2:$A$222,0)),"")</f>
        <v>Principio 06</v>
      </c>
      <c r="E99" s="4" t="str">
        <f>IFERROR(INDEX('Criterios GISTM'!$H$2:$H$222,MATCH($C99,'Criterios GISTM'!$A$2:$A$222,0)),"")</f>
        <v xml:space="preserve"> 6.4 - B</v>
      </c>
      <c r="F99" s="16">
        <v>1</v>
      </c>
      <c r="G99" s="46">
        <f>IFERROR(INDEX('Criterios GISTM'!$J$2:$J$222,MATCH($C99,'Criterios GISTM'!$A$2:$A$222,0)),0)</f>
        <v>0.2</v>
      </c>
      <c r="H99" s="24">
        <f>IFERROR(INDEX(Documentos!$F$2:$F$59,MATCH($A99,Documentos!$A$2:$A$59,0)),0)</f>
        <v>0.2</v>
      </c>
      <c r="I99" s="25">
        <f t="shared" si="1"/>
        <v>4.0000000000000008E-2</v>
      </c>
      <c r="J99" s="48" t="s">
        <v>1151</v>
      </c>
      <c r="K99" s="48" t="s">
        <v>51</v>
      </c>
    </row>
    <row r="100" spans="1:11">
      <c r="A100" s="19" t="s">
        <v>109</v>
      </c>
      <c r="B100" s="22" t="str">
        <f>IFERROR(INDEX(Documentos!$B$2:$B$59,MATCH($A100,Documentos!$A$2:$A$59,0)),"")</f>
        <v>Manual Operación, Mantención y Vigilancia (OMS)</v>
      </c>
      <c r="C100" s="18" t="s">
        <v>528</v>
      </c>
      <c r="D100" s="4" t="str">
        <f>IFERROR(INDEX('Criterios GISTM'!$D$2:$D$222,MATCH($C100,'Criterios GISTM'!$A$2:$A$222,0)),"")</f>
        <v>Principio 06</v>
      </c>
      <c r="E100" s="4" t="str">
        <f>IFERROR(INDEX('Criterios GISTM'!$H$2:$H$222,MATCH($C100,'Criterios GISTM'!$A$2:$A$222,0)),"")</f>
        <v xml:space="preserve"> 6.4 - C</v>
      </c>
      <c r="F100" s="16">
        <v>1</v>
      </c>
      <c r="G100" s="46">
        <f>IFERROR(INDEX('Criterios GISTM'!$J$2:$J$222,MATCH($C100,'Criterios GISTM'!$A$2:$A$222,0)),0)</f>
        <v>0.2</v>
      </c>
      <c r="H100" s="24">
        <f>IFERROR(INDEX(Documentos!$F$2:$F$59,MATCH($A100,Documentos!$A$2:$A$59,0)),0)</f>
        <v>0.2</v>
      </c>
      <c r="I100" s="25">
        <f t="shared" si="1"/>
        <v>4.0000000000000008E-2</v>
      </c>
      <c r="J100" s="48" t="s">
        <v>1152</v>
      </c>
      <c r="K100" s="48" t="s">
        <v>51</v>
      </c>
    </row>
    <row r="101" spans="1:11">
      <c r="A101" s="19" t="s">
        <v>109</v>
      </c>
      <c r="B101" s="22" t="str">
        <f>IFERROR(INDEX(Documentos!$B$2:$B$59,MATCH($A101,Documentos!$A$2:$A$59,0)),"")</f>
        <v>Manual Operación, Mantención y Vigilancia (OMS)</v>
      </c>
      <c r="C101" s="18" t="s">
        <v>531</v>
      </c>
      <c r="D101" s="4" t="str">
        <f>IFERROR(INDEX('Criterios GISTM'!$D$2:$D$222,MATCH($C101,'Criterios GISTM'!$A$2:$A$222,0)),"")</f>
        <v>Principio 06</v>
      </c>
      <c r="E101" s="4" t="str">
        <f>IFERROR(INDEX('Criterios GISTM'!$H$2:$H$222,MATCH($C101,'Criterios GISTM'!$A$2:$A$222,0)),"")</f>
        <v xml:space="preserve"> 6.4 - D</v>
      </c>
      <c r="F101" s="16">
        <v>1</v>
      </c>
      <c r="G101" s="46">
        <f>IFERROR(INDEX('Criterios GISTM'!$J$2:$J$222,MATCH($C101,'Criterios GISTM'!$A$2:$A$222,0)),0)</f>
        <v>0.2</v>
      </c>
      <c r="H101" s="24">
        <f>IFERROR(INDEX(Documentos!$F$2:$F$59,MATCH($A101,Documentos!$A$2:$A$59,0)),0)</f>
        <v>0.2</v>
      </c>
      <c r="I101" s="25">
        <f t="shared" si="1"/>
        <v>4.0000000000000008E-2</v>
      </c>
      <c r="J101" s="48" t="s">
        <v>1153</v>
      </c>
      <c r="K101" s="48" t="s">
        <v>51</v>
      </c>
    </row>
    <row r="102" spans="1:11">
      <c r="A102" s="19" t="s">
        <v>115</v>
      </c>
      <c r="B102" s="22" t="str">
        <f>IFERROR(INDEX(Documentos!$B$2:$B$59,MATCH($A102,Documentos!$A$2:$A$59,0)),"")</f>
        <v>Plan de Capacitaciones</v>
      </c>
      <c r="C102" s="18" t="s">
        <v>534</v>
      </c>
      <c r="D102" s="4" t="str">
        <f>IFERROR(INDEX('Criterios GISTM'!$D$2:$D$222,MATCH($C102,'Criterios GISTM'!$A$2:$A$222,0)),"")</f>
        <v>Principio 06</v>
      </c>
      <c r="E102" s="4" t="str">
        <f>IFERROR(INDEX('Criterios GISTM'!$H$2:$H$222,MATCH($C102,'Criterios GISTM'!$A$2:$A$222,0)),"")</f>
        <v xml:space="preserve"> 6.4 - E</v>
      </c>
      <c r="F102" s="16">
        <v>1</v>
      </c>
      <c r="G102" s="46">
        <f>IFERROR(INDEX('Criterios GISTM'!$J$2:$J$222,MATCH($C102,'Criterios GISTM'!$A$2:$A$222,0)),0)</f>
        <v>0.2</v>
      </c>
      <c r="H102" s="24">
        <f>IFERROR(INDEX(Documentos!$F$2:$F$59,MATCH($A102,Documentos!$A$2:$A$59,0)),0)</f>
        <v>1</v>
      </c>
      <c r="I102" s="25">
        <f t="shared" si="1"/>
        <v>0.2</v>
      </c>
      <c r="J102" s="48" t="s">
        <v>1154</v>
      </c>
      <c r="K102" s="48" t="s">
        <v>51</v>
      </c>
    </row>
    <row r="103" spans="1:11">
      <c r="A103" s="19" t="s">
        <v>78</v>
      </c>
      <c r="B103" s="22" t="str">
        <f>IFERROR(INDEX(Documentos!$B$2:$B$59,MATCH($A103,Documentos!$A$2:$A$59,0)),"")</f>
        <v>Procedimiento de Gestión del Cambio</v>
      </c>
      <c r="C103" s="18" t="s">
        <v>537</v>
      </c>
      <c r="D103" s="4" t="str">
        <f>IFERROR(INDEX('Criterios GISTM'!$D$2:$D$222,MATCH($C103,'Criterios GISTM'!$A$2:$A$222,0)),"")</f>
        <v>Principio 06</v>
      </c>
      <c r="E103" s="4" t="str">
        <f>IFERROR(INDEX('Criterios GISTM'!$H$2:$H$222,MATCH($C103,'Criterios GISTM'!$A$2:$A$222,0)),"")</f>
        <v xml:space="preserve"> 6.5 - A</v>
      </c>
      <c r="F103" s="16">
        <v>1</v>
      </c>
      <c r="G103" s="46">
        <f>IFERROR(INDEX('Criterios GISTM'!$J$2:$J$222,MATCH($C103,'Criterios GISTM'!$A$2:$A$222,0)),0)</f>
        <v>0.16666666666666666</v>
      </c>
      <c r="H103" s="24">
        <f>IFERROR(INDEX(Documentos!$F$2:$F$59,MATCH($A103,Documentos!$A$2:$A$59,0)),0)</f>
        <v>0.2</v>
      </c>
      <c r="I103" s="25">
        <f t="shared" si="1"/>
        <v>3.3333333333333333E-2</v>
      </c>
      <c r="J103" s="48" t="s">
        <v>1155</v>
      </c>
      <c r="K103" s="48" t="s">
        <v>51</v>
      </c>
    </row>
    <row r="104" spans="1:11">
      <c r="A104" s="19" t="s">
        <v>78</v>
      </c>
      <c r="B104" s="22" t="str">
        <f>IFERROR(INDEX(Documentos!$B$2:$B$59,MATCH($A104,Documentos!$A$2:$A$59,0)),"")</f>
        <v>Procedimiento de Gestión del Cambio</v>
      </c>
      <c r="C104" s="18" t="s">
        <v>542</v>
      </c>
      <c r="D104" s="4" t="str">
        <f>IFERROR(INDEX('Criterios GISTM'!$D$2:$D$222,MATCH($C104,'Criterios GISTM'!$A$2:$A$222,0)),"")</f>
        <v>Principio 06</v>
      </c>
      <c r="E104" s="4" t="str">
        <f>IFERROR(INDEX('Criterios GISTM'!$H$2:$H$222,MATCH($C104,'Criterios GISTM'!$A$2:$A$222,0)),"")</f>
        <v xml:space="preserve"> 6.5 - B</v>
      </c>
      <c r="F104" s="16">
        <v>1</v>
      </c>
      <c r="G104" s="46">
        <f>IFERROR(INDEX('Criterios GISTM'!$J$2:$J$222,MATCH($C104,'Criterios GISTM'!$A$2:$A$222,0)),0)</f>
        <v>0.16666666666666666</v>
      </c>
      <c r="H104" s="24">
        <f>IFERROR(INDEX(Documentos!$F$2:$F$59,MATCH($A104,Documentos!$A$2:$A$59,0)),0)</f>
        <v>0.2</v>
      </c>
      <c r="I104" s="25">
        <f t="shared" si="1"/>
        <v>3.3333333333333333E-2</v>
      </c>
      <c r="J104" s="48" t="s">
        <v>1156</v>
      </c>
      <c r="K104" s="48" t="s">
        <v>51</v>
      </c>
    </row>
    <row r="105" spans="1:11">
      <c r="A105" s="19" t="s">
        <v>78</v>
      </c>
      <c r="B105" s="22" t="str">
        <f>IFERROR(INDEX(Documentos!$B$2:$B$59,MATCH($A105,Documentos!$A$2:$A$59,0)),"")</f>
        <v>Procedimiento de Gestión del Cambio</v>
      </c>
      <c r="C105" s="18" t="s">
        <v>545</v>
      </c>
      <c r="D105" s="4" t="str">
        <f>IFERROR(INDEX('Criterios GISTM'!$D$2:$D$222,MATCH($C105,'Criterios GISTM'!$A$2:$A$222,0)),"")</f>
        <v>Principio 06</v>
      </c>
      <c r="E105" s="4" t="str">
        <f>IFERROR(INDEX('Criterios GISTM'!$H$2:$H$222,MATCH($C105,'Criterios GISTM'!$A$2:$A$222,0)),"")</f>
        <v xml:space="preserve"> 6.5 - C</v>
      </c>
      <c r="F105" s="16">
        <v>1</v>
      </c>
      <c r="G105" s="46">
        <f>IFERROR(INDEX('Criterios GISTM'!$J$2:$J$222,MATCH($C105,'Criterios GISTM'!$A$2:$A$222,0)),0)</f>
        <v>0.16666666666666666</v>
      </c>
      <c r="H105" s="24">
        <f>IFERROR(INDEX(Documentos!$F$2:$F$59,MATCH($A105,Documentos!$A$2:$A$59,0)),0)</f>
        <v>0.2</v>
      </c>
      <c r="I105" s="25">
        <f t="shared" si="1"/>
        <v>3.3333333333333333E-2</v>
      </c>
      <c r="J105" s="48" t="s">
        <v>1157</v>
      </c>
      <c r="K105" s="48" t="s">
        <v>51</v>
      </c>
    </row>
    <row r="106" spans="1:11">
      <c r="A106" s="19" t="s">
        <v>117</v>
      </c>
      <c r="B106" s="22" t="str">
        <f>IFERROR(INDEX(Documentos!$B$2:$B$59,MATCH($A106,Documentos!$A$2:$A$59,0)),"")</f>
        <v>Informe de responsabilidad ante desviaciones (DAR)</v>
      </c>
      <c r="C106" s="18" t="s">
        <v>548</v>
      </c>
      <c r="D106" s="4" t="str">
        <f>IFERROR(INDEX('Criterios GISTM'!$D$2:$D$222,MATCH($C106,'Criterios GISTM'!$A$2:$A$222,0)),"")</f>
        <v>Principio 06</v>
      </c>
      <c r="E106" s="4" t="str">
        <f>IFERROR(INDEX('Criterios GISTM'!$H$2:$H$222,MATCH($C106,'Criterios GISTM'!$A$2:$A$222,0)),"")</f>
        <v xml:space="preserve"> 6.5 - D</v>
      </c>
      <c r="F106" s="16">
        <v>1</v>
      </c>
      <c r="G106" s="46">
        <f>IFERROR(INDEX('Criterios GISTM'!$J$2:$J$222,MATCH($C106,'Criterios GISTM'!$A$2:$A$222,0)),0)</f>
        <v>0.16666666666666666</v>
      </c>
      <c r="H106" s="24">
        <f>IFERROR(INDEX(Documentos!$F$2:$F$59,MATCH($A106,Documentos!$A$2:$A$59,0)),0)</f>
        <v>1</v>
      </c>
      <c r="I106" s="25">
        <f t="shared" si="1"/>
        <v>0.16666666666666666</v>
      </c>
      <c r="J106" s="48" t="s">
        <v>1158</v>
      </c>
      <c r="K106" s="48" t="s">
        <v>51</v>
      </c>
    </row>
    <row r="107" spans="1:11">
      <c r="A107" s="19" t="s">
        <v>117</v>
      </c>
      <c r="B107" s="22" t="str">
        <f>IFERROR(INDEX(Documentos!$B$2:$B$59,MATCH($A107,Documentos!$A$2:$A$59,0)),"")</f>
        <v>Informe de responsabilidad ante desviaciones (DAR)</v>
      </c>
      <c r="C107" s="18" t="s">
        <v>551</v>
      </c>
      <c r="D107" s="4" t="str">
        <f>IFERROR(INDEX('Criterios GISTM'!$D$2:$D$222,MATCH($C107,'Criterios GISTM'!$A$2:$A$222,0)),"")</f>
        <v>Principio 06</v>
      </c>
      <c r="E107" s="4" t="str">
        <f>IFERROR(INDEX('Criterios GISTM'!$H$2:$H$222,MATCH($C107,'Criterios GISTM'!$A$2:$A$222,0)),"")</f>
        <v xml:space="preserve"> 6.5 - E</v>
      </c>
      <c r="F107" s="16">
        <v>1</v>
      </c>
      <c r="G107" s="46">
        <f>IFERROR(INDEX('Criterios GISTM'!$J$2:$J$222,MATCH($C107,'Criterios GISTM'!$A$2:$A$222,0)),0)</f>
        <v>0.16666666666666666</v>
      </c>
      <c r="H107" s="24">
        <f>IFERROR(INDEX(Documentos!$F$2:$F$59,MATCH($A107,Documentos!$A$2:$A$59,0)),0)</f>
        <v>1</v>
      </c>
      <c r="I107" s="25">
        <f t="shared" si="1"/>
        <v>0.16666666666666666</v>
      </c>
      <c r="J107" s="48" t="s">
        <v>1159</v>
      </c>
      <c r="K107" s="48" t="s">
        <v>51</v>
      </c>
    </row>
    <row r="108" spans="1:11">
      <c r="A108" s="19" t="s">
        <v>117</v>
      </c>
      <c r="B108" s="22" t="str">
        <f>IFERROR(INDEX(Documentos!$B$2:$B$59,MATCH($A108,Documentos!$A$2:$A$59,0)),"")</f>
        <v>Informe de responsabilidad ante desviaciones (DAR)</v>
      </c>
      <c r="C108" s="18" t="s">
        <v>554</v>
      </c>
      <c r="D108" s="4" t="str">
        <f>IFERROR(INDEX('Criterios GISTM'!$D$2:$D$222,MATCH($C108,'Criterios GISTM'!$A$2:$A$222,0)),"")</f>
        <v>Principio 06</v>
      </c>
      <c r="E108" s="4" t="str">
        <f>IFERROR(INDEX('Criterios GISTM'!$H$2:$H$222,MATCH($C108,'Criterios GISTM'!$A$2:$A$222,0)),"")</f>
        <v xml:space="preserve"> 6.5 - F</v>
      </c>
      <c r="F108" s="16">
        <v>1</v>
      </c>
      <c r="G108" s="46">
        <f>IFERROR(INDEX('Criterios GISTM'!$J$2:$J$222,MATCH($C108,'Criterios GISTM'!$A$2:$A$222,0)),0)</f>
        <v>0.16666666666666666</v>
      </c>
      <c r="H108" s="24">
        <f>IFERROR(INDEX(Documentos!$F$2:$F$59,MATCH($A108,Documentos!$A$2:$A$59,0)),0)</f>
        <v>1</v>
      </c>
      <c r="I108" s="25">
        <f t="shared" si="1"/>
        <v>0.16666666666666666</v>
      </c>
      <c r="J108" s="48" t="s">
        <v>1160</v>
      </c>
      <c r="K108" s="48" t="s">
        <v>51</v>
      </c>
    </row>
    <row r="109" spans="1:11">
      <c r="A109" s="19" t="s">
        <v>119</v>
      </c>
      <c r="B109" s="22" t="str">
        <f>IFERROR(INDEX(Documentos!$B$2:$B$59,MATCH($A109,Documentos!$A$2:$A$59,0)),"")</f>
        <v xml:space="preserve">Programa de Monitoreo Integrado
</v>
      </c>
      <c r="C109" s="18" t="s">
        <v>557</v>
      </c>
      <c r="D109" s="4" t="str">
        <f>IFERROR(INDEX('Criterios GISTM'!$D$2:$D$222,MATCH($C109,'Criterios GISTM'!$A$2:$A$222,0)),"")</f>
        <v>Principio 06</v>
      </c>
      <c r="E109" s="4" t="str">
        <f>IFERROR(INDEX('Criterios GISTM'!$H$2:$H$222,MATCH($C109,'Criterios GISTM'!$A$2:$A$222,0)),"")</f>
        <v xml:space="preserve"> 6.6 - A</v>
      </c>
      <c r="F109" s="16">
        <v>1</v>
      </c>
      <c r="G109" s="46">
        <f>IFERROR(INDEX('Criterios GISTM'!$J$2:$J$222,MATCH($C109,'Criterios GISTM'!$A$2:$A$222,0)),0)</f>
        <v>0.5</v>
      </c>
      <c r="H109" s="24">
        <f>IFERROR(INDEX(Documentos!$F$2:$F$59,MATCH($A109,Documentos!$A$2:$A$59,0)),0)</f>
        <v>0.7</v>
      </c>
      <c r="I109" s="25">
        <f t="shared" si="1"/>
        <v>0.35</v>
      </c>
      <c r="J109" s="48" t="s">
        <v>1161</v>
      </c>
      <c r="K109" s="48" t="s">
        <v>51</v>
      </c>
    </row>
    <row r="110" spans="1:11">
      <c r="A110" s="19" t="s">
        <v>78</v>
      </c>
      <c r="B110" s="22" t="str">
        <f>IFERROR(INDEX(Documentos!$B$2:$B$59,MATCH($A110,Documentos!$A$2:$A$59,0)),"")</f>
        <v>Procedimiento de Gestión del Cambio</v>
      </c>
      <c r="C110" s="18" t="s">
        <v>562</v>
      </c>
      <c r="D110" s="4" t="str">
        <f>IFERROR(INDEX('Criterios GISTM'!$D$2:$D$222,MATCH($C110,'Criterios GISTM'!$A$2:$A$222,0)),"")</f>
        <v>Principio 06</v>
      </c>
      <c r="E110" s="4" t="str">
        <f>IFERROR(INDEX('Criterios GISTM'!$H$2:$H$222,MATCH($C110,'Criterios GISTM'!$A$2:$A$222,0)),"")</f>
        <v xml:space="preserve"> 6.6 - B</v>
      </c>
      <c r="F110" s="16">
        <v>1</v>
      </c>
      <c r="G110" s="46">
        <f>IFERROR(INDEX('Criterios GISTM'!$J$2:$J$222,MATCH($C110,'Criterios GISTM'!$A$2:$A$222,0)),0)</f>
        <v>0.5</v>
      </c>
      <c r="H110" s="24">
        <f>IFERROR(INDEX(Documentos!$F$2:$F$59,MATCH($A110,Documentos!$A$2:$A$59,0)),0)</f>
        <v>0.2</v>
      </c>
      <c r="I110" s="25">
        <f t="shared" si="1"/>
        <v>0.1</v>
      </c>
      <c r="J110" s="48" t="s">
        <v>1162</v>
      </c>
      <c r="K110" s="48" t="s">
        <v>51</v>
      </c>
    </row>
    <row r="111" spans="1:11">
      <c r="A111" s="19" t="s">
        <v>121</v>
      </c>
      <c r="B111" s="22" t="str">
        <f>IFERROR(INDEX(Documentos!$B$2:$B$59,MATCH($A111,Documentos!$A$2:$A$59,0)),"")</f>
        <v>Informes periódicos del EoR</v>
      </c>
      <c r="C111" s="18" t="s">
        <v>565</v>
      </c>
      <c r="D111" s="4" t="str">
        <f>IFERROR(INDEX('Criterios GISTM'!$D$2:$D$222,MATCH($C111,'Criterios GISTM'!$A$2:$A$222,0)),"")</f>
        <v>Principio 07</v>
      </c>
      <c r="E111" s="4" t="str">
        <f>IFERROR(INDEX('Criterios GISTM'!$H$2:$H$222,MATCH($C111,'Criterios GISTM'!$A$2:$A$222,0)),"")</f>
        <v xml:space="preserve"> 7.1 - A</v>
      </c>
      <c r="F111" s="16">
        <v>1</v>
      </c>
      <c r="G111" s="46">
        <f>IFERROR(INDEX('Criterios GISTM'!$J$2:$J$222,MATCH($C111,'Criterios GISTM'!$A$2:$A$222,0)),0)</f>
        <v>0.33333333333333331</v>
      </c>
      <c r="H111" s="24">
        <f>IFERROR(INDEX(Documentos!$F$2:$F$59,MATCH($A111,Documentos!$A$2:$A$59,0)),0)</f>
        <v>0.4</v>
      </c>
      <c r="I111" s="25">
        <f t="shared" si="1"/>
        <v>0.13333333333333333</v>
      </c>
      <c r="J111" s="48" t="s">
        <v>1163</v>
      </c>
      <c r="K111" s="48" t="s">
        <v>51</v>
      </c>
    </row>
    <row r="112" spans="1:11">
      <c r="A112" s="19" t="s">
        <v>121</v>
      </c>
      <c r="B112" s="22" t="str">
        <f>IFERROR(INDEX(Documentos!$B$2:$B$59,MATCH($A112,Documentos!$A$2:$A$59,0)),"")</f>
        <v>Informes periódicos del EoR</v>
      </c>
      <c r="C112" s="18" t="s">
        <v>572</v>
      </c>
      <c r="D112" s="4" t="str">
        <f>IFERROR(INDEX('Criterios GISTM'!$D$2:$D$222,MATCH($C112,'Criterios GISTM'!$A$2:$A$222,0)),"")</f>
        <v>Principio 07</v>
      </c>
      <c r="E112" s="4" t="str">
        <f>IFERROR(INDEX('Criterios GISTM'!$H$2:$H$222,MATCH($C112,'Criterios GISTM'!$A$2:$A$222,0)),"")</f>
        <v xml:space="preserve"> 7.1 - B</v>
      </c>
      <c r="F112" s="16">
        <v>1</v>
      </c>
      <c r="G112" s="46">
        <f>IFERROR(INDEX('Criterios GISTM'!$J$2:$J$222,MATCH($C112,'Criterios GISTM'!$A$2:$A$222,0)),0)</f>
        <v>0.33333333333333331</v>
      </c>
      <c r="H112" s="24">
        <f>IFERROR(INDEX(Documentos!$F$2:$F$59,MATCH($A112,Documentos!$A$2:$A$59,0)),0)</f>
        <v>0.4</v>
      </c>
      <c r="I112" s="25">
        <f t="shared" si="1"/>
        <v>0.13333333333333333</v>
      </c>
      <c r="J112" s="48" t="s">
        <v>1164</v>
      </c>
      <c r="K112" s="48" t="s">
        <v>51</v>
      </c>
    </row>
    <row r="113" spans="1:11">
      <c r="A113" s="19" t="s">
        <v>121</v>
      </c>
      <c r="B113" s="22" t="str">
        <f>IFERROR(INDEX(Documentos!$B$2:$B$59,MATCH($A113,Documentos!$A$2:$A$59,0)),"")</f>
        <v>Informes periódicos del EoR</v>
      </c>
      <c r="C113" s="18" t="s">
        <v>575</v>
      </c>
      <c r="D113" s="4" t="str">
        <f>IFERROR(INDEX('Criterios GISTM'!$D$2:$D$222,MATCH($C113,'Criterios GISTM'!$A$2:$A$222,0)),"")</f>
        <v>Principio 07</v>
      </c>
      <c r="E113" s="4" t="str">
        <f>IFERROR(INDEX('Criterios GISTM'!$H$2:$H$222,MATCH($C113,'Criterios GISTM'!$A$2:$A$222,0)),"")</f>
        <v xml:space="preserve"> 7.1 - C</v>
      </c>
      <c r="F113" s="16">
        <v>1</v>
      </c>
      <c r="G113" s="46">
        <f>IFERROR(INDEX('Criterios GISTM'!$J$2:$J$222,MATCH($C113,'Criterios GISTM'!$A$2:$A$222,0)),0)</f>
        <v>0.33333333333333331</v>
      </c>
      <c r="H113" s="24">
        <f>IFERROR(INDEX(Documentos!$F$2:$F$59,MATCH($A113,Documentos!$A$2:$A$59,0)),0)</f>
        <v>0.4</v>
      </c>
      <c r="I113" s="25">
        <f t="shared" si="1"/>
        <v>0.13333333333333333</v>
      </c>
      <c r="J113" s="48" t="s">
        <v>1165</v>
      </c>
      <c r="K113" s="48" t="s">
        <v>51</v>
      </c>
    </row>
    <row r="114" spans="1:11">
      <c r="A114" s="19" t="s">
        <v>121</v>
      </c>
      <c r="B114" s="22" t="str">
        <f>IFERROR(INDEX(Documentos!$B$2:$B$59,MATCH($A114,Documentos!$A$2:$A$59,0)),"")</f>
        <v>Informes periódicos del EoR</v>
      </c>
      <c r="C114" s="18" t="s">
        <v>578</v>
      </c>
      <c r="D114" s="4" t="str">
        <f>IFERROR(INDEX('Criterios GISTM'!$D$2:$D$222,MATCH($C114,'Criterios GISTM'!$A$2:$A$222,0)),"")</f>
        <v>Principio 07</v>
      </c>
      <c r="E114" s="4" t="str">
        <f>IFERROR(INDEX('Criterios GISTM'!$H$2:$H$222,MATCH($C114,'Criterios GISTM'!$A$2:$A$222,0)),"")</f>
        <v xml:space="preserve"> 7.2 - A</v>
      </c>
      <c r="F114" s="16">
        <v>1</v>
      </c>
      <c r="G114" s="46">
        <f>IFERROR(INDEX('Criterios GISTM'!$J$2:$J$222,MATCH($C114,'Criterios GISTM'!$A$2:$A$222,0)),0)</f>
        <v>0.33333333333333331</v>
      </c>
      <c r="H114" s="24">
        <f>IFERROR(INDEX(Documentos!$F$2:$F$59,MATCH($A114,Documentos!$A$2:$A$59,0)),0)</f>
        <v>0.4</v>
      </c>
      <c r="I114" s="25">
        <f t="shared" si="1"/>
        <v>0.13333333333333333</v>
      </c>
      <c r="J114" s="48" t="s">
        <v>1166</v>
      </c>
      <c r="K114" s="48" t="s">
        <v>51</v>
      </c>
    </row>
    <row r="115" spans="1:11">
      <c r="A115" s="19" t="s">
        <v>121</v>
      </c>
      <c r="B115" s="22" t="str">
        <f>IFERROR(INDEX(Documentos!$B$2:$B$59,MATCH($A115,Documentos!$A$2:$A$59,0)),"")</f>
        <v>Informes periódicos del EoR</v>
      </c>
      <c r="C115" s="18" t="s">
        <v>583</v>
      </c>
      <c r="D115" s="4" t="str">
        <f>IFERROR(INDEX('Criterios GISTM'!$D$2:$D$222,MATCH($C115,'Criterios GISTM'!$A$2:$A$222,0)),"")</f>
        <v>Principio 07</v>
      </c>
      <c r="E115" s="4" t="str">
        <f>IFERROR(INDEX('Criterios GISTM'!$H$2:$H$222,MATCH($C115,'Criterios GISTM'!$A$2:$A$222,0)),"")</f>
        <v xml:space="preserve"> 7.2 - B</v>
      </c>
      <c r="F115" s="16">
        <v>1</v>
      </c>
      <c r="G115" s="46">
        <f>IFERROR(INDEX('Criterios GISTM'!$J$2:$J$222,MATCH($C115,'Criterios GISTM'!$A$2:$A$222,0)),0)</f>
        <v>0.33333333333333331</v>
      </c>
      <c r="H115" s="24">
        <f>IFERROR(INDEX(Documentos!$F$2:$F$59,MATCH($A115,Documentos!$A$2:$A$59,0)),0)</f>
        <v>0.4</v>
      </c>
      <c r="I115" s="25">
        <f t="shared" si="1"/>
        <v>0.13333333333333333</v>
      </c>
      <c r="J115" s="48" t="s">
        <v>1167</v>
      </c>
      <c r="K115" s="48" t="s">
        <v>51</v>
      </c>
    </row>
    <row r="116" spans="1:11">
      <c r="A116" s="19" t="s">
        <v>84</v>
      </c>
      <c r="B116" s="22" t="str">
        <f>IFERROR(INDEX(Documentos!$B$2:$B$59,MATCH($A116,Documentos!$A$2:$A$59,0)),"")</f>
        <v>Informe de Bases de Diseño</v>
      </c>
      <c r="C116" s="18" t="s">
        <v>586</v>
      </c>
      <c r="D116" s="4" t="str">
        <f>IFERROR(INDEX('Criterios GISTM'!$D$2:$D$222,MATCH($C116,'Criterios GISTM'!$A$2:$A$222,0)),"")</f>
        <v>Principio 07</v>
      </c>
      <c r="E116" s="4" t="str">
        <f>IFERROR(INDEX('Criterios GISTM'!$H$2:$H$222,MATCH($C116,'Criterios GISTM'!$A$2:$A$222,0)),"")</f>
        <v xml:space="preserve"> 7.2 - C</v>
      </c>
      <c r="F116" s="16">
        <v>1</v>
      </c>
      <c r="G116" s="46">
        <f>IFERROR(INDEX('Criterios GISTM'!$J$2:$J$222,MATCH($C116,'Criterios GISTM'!$A$2:$A$222,0)),0)</f>
        <v>0.33333333333333331</v>
      </c>
      <c r="H116" s="24">
        <f>IFERROR(INDEX(Documentos!$F$2:$F$59,MATCH($A116,Documentos!$A$2:$A$59,0)),0)</f>
        <v>0.2</v>
      </c>
      <c r="I116" s="25">
        <f t="shared" si="1"/>
        <v>6.6666666666666666E-2</v>
      </c>
      <c r="J116" s="48" t="s">
        <v>1168</v>
      </c>
      <c r="K116" s="48" t="s">
        <v>51</v>
      </c>
    </row>
    <row r="117" spans="1:11">
      <c r="A117" s="19" t="s">
        <v>121</v>
      </c>
      <c r="B117" s="22" t="str">
        <f>IFERROR(INDEX(Documentos!$B$2:$B$59,MATCH($A117,Documentos!$A$2:$A$59,0)),"")</f>
        <v>Informes periódicos del EoR</v>
      </c>
      <c r="C117" s="18" t="s">
        <v>589</v>
      </c>
      <c r="D117" s="4" t="str">
        <f>IFERROR(INDEX('Criterios GISTM'!$D$2:$D$222,MATCH($C117,'Criterios GISTM'!$A$2:$A$222,0)),"")</f>
        <v>Principio 07</v>
      </c>
      <c r="E117" s="4" t="str">
        <f>IFERROR(INDEX('Criterios GISTM'!$H$2:$H$222,MATCH($C117,'Criterios GISTM'!$A$2:$A$222,0)),"")</f>
        <v xml:space="preserve"> 7.3 - A</v>
      </c>
      <c r="F117" s="16">
        <v>1</v>
      </c>
      <c r="G117" s="46">
        <f>IFERROR(INDEX('Criterios GISTM'!$J$2:$J$222,MATCH($C117,'Criterios GISTM'!$A$2:$A$222,0)),0)</f>
        <v>0.33333333333333331</v>
      </c>
      <c r="H117" s="24">
        <f>IFERROR(INDEX(Documentos!$F$2:$F$59,MATCH($A117,Documentos!$A$2:$A$59,0)),0)</f>
        <v>0.4</v>
      </c>
      <c r="I117" s="25">
        <f t="shared" si="1"/>
        <v>0.13333333333333333</v>
      </c>
      <c r="J117" s="48" t="s">
        <v>1169</v>
      </c>
      <c r="K117" s="48" t="s">
        <v>51</v>
      </c>
    </row>
    <row r="118" spans="1:11">
      <c r="A118" s="19" t="s">
        <v>121</v>
      </c>
      <c r="B118" s="22" t="str">
        <f>IFERROR(INDEX(Documentos!$B$2:$B$59,MATCH($A118,Documentos!$A$2:$A$59,0)),"")</f>
        <v>Informes periódicos del EoR</v>
      </c>
      <c r="C118" s="18" t="s">
        <v>594</v>
      </c>
      <c r="D118" s="4" t="str">
        <f>IFERROR(INDEX('Criterios GISTM'!$D$2:$D$222,MATCH($C118,'Criterios GISTM'!$A$2:$A$222,0)),"")</f>
        <v>Principio 07</v>
      </c>
      <c r="E118" s="4" t="str">
        <f>IFERROR(INDEX('Criterios GISTM'!$H$2:$H$222,MATCH($C118,'Criterios GISTM'!$A$2:$A$222,0)),"")</f>
        <v xml:space="preserve"> 7.3 - B</v>
      </c>
      <c r="F118" s="16">
        <v>1</v>
      </c>
      <c r="G118" s="46">
        <f>IFERROR(INDEX('Criterios GISTM'!$J$2:$J$222,MATCH($C118,'Criterios GISTM'!$A$2:$A$222,0)),0)</f>
        <v>0.33333333333333331</v>
      </c>
      <c r="H118" s="24">
        <f>IFERROR(INDEX(Documentos!$F$2:$F$59,MATCH($A118,Documentos!$A$2:$A$59,0)),0)</f>
        <v>0.4</v>
      </c>
      <c r="I118" s="25">
        <f t="shared" si="1"/>
        <v>0.13333333333333333</v>
      </c>
      <c r="J118" s="48" t="s">
        <v>1170</v>
      </c>
      <c r="K118" s="48" t="s">
        <v>51</v>
      </c>
    </row>
    <row r="119" spans="1:11">
      <c r="A119" s="19" t="s">
        <v>121</v>
      </c>
      <c r="B119" s="22" t="str">
        <f>IFERROR(INDEX(Documentos!$B$2:$B$59,MATCH($A119,Documentos!$A$2:$A$59,0)),"")</f>
        <v>Informes periódicos del EoR</v>
      </c>
      <c r="C119" s="18" t="s">
        <v>597</v>
      </c>
      <c r="D119" s="4" t="str">
        <f>IFERROR(INDEX('Criterios GISTM'!$D$2:$D$222,MATCH($C119,'Criterios GISTM'!$A$2:$A$222,0)),"")</f>
        <v>Principio 07</v>
      </c>
      <c r="E119" s="4" t="str">
        <f>IFERROR(INDEX('Criterios GISTM'!$H$2:$H$222,MATCH($C119,'Criterios GISTM'!$A$2:$A$222,0)),"")</f>
        <v xml:space="preserve"> 7.3 - C</v>
      </c>
      <c r="F119" s="16">
        <v>1</v>
      </c>
      <c r="G119" s="46">
        <f>IFERROR(INDEX('Criterios GISTM'!$J$2:$J$222,MATCH($C119,'Criterios GISTM'!$A$2:$A$222,0)),0)</f>
        <v>0.33333333333333331</v>
      </c>
      <c r="H119" s="24">
        <f>IFERROR(INDEX(Documentos!$F$2:$F$59,MATCH($A119,Documentos!$A$2:$A$59,0)),0)</f>
        <v>0.4</v>
      </c>
      <c r="I119" s="25">
        <f t="shared" si="1"/>
        <v>0.13333333333333333</v>
      </c>
      <c r="J119" s="48" t="s">
        <v>1171</v>
      </c>
      <c r="K119" s="48" t="s">
        <v>51</v>
      </c>
    </row>
    <row r="120" spans="1:11">
      <c r="A120" s="19" t="s">
        <v>123</v>
      </c>
      <c r="B120" s="22" t="str">
        <f>IFERROR(INDEX(Documentos!$B$2:$B$59,MATCH($A120,Documentos!$A$2:$A$59,0)),"")</f>
        <v>Plan de Respuesta de Acción Desencadenante (TARPS)</v>
      </c>
      <c r="C120" s="18" t="s">
        <v>600</v>
      </c>
      <c r="D120" s="4" t="str">
        <f>IFERROR(INDEX('Criterios GISTM'!$D$2:$D$222,MATCH($C120,'Criterios GISTM'!$A$2:$A$222,0)),"")</f>
        <v>Principio 07</v>
      </c>
      <c r="E120" s="4" t="str">
        <f>IFERROR(INDEX('Criterios GISTM'!$H$2:$H$222,MATCH($C120,'Criterios GISTM'!$A$2:$A$222,0)),"")</f>
        <v xml:space="preserve"> 7.4 - A</v>
      </c>
      <c r="F120" s="16">
        <v>1</v>
      </c>
      <c r="G120" s="46">
        <f>IFERROR(INDEX('Criterios GISTM'!$J$2:$J$222,MATCH($C120,'Criterios GISTM'!$A$2:$A$222,0)),0)</f>
        <v>0.2</v>
      </c>
      <c r="H120" s="24">
        <f>IFERROR(INDEX(Documentos!$F$2:$F$59,MATCH($A120,Documentos!$A$2:$A$59,0)),0)</f>
        <v>0</v>
      </c>
      <c r="I120" s="25">
        <f t="shared" si="1"/>
        <v>0</v>
      </c>
      <c r="J120" s="48" t="s">
        <v>1172</v>
      </c>
      <c r="K120" s="48" t="s">
        <v>51</v>
      </c>
    </row>
    <row r="121" spans="1:11">
      <c r="A121" s="19" t="s">
        <v>123</v>
      </c>
      <c r="B121" s="22" t="str">
        <f>IFERROR(INDEX(Documentos!$B$2:$B$59,MATCH($A121,Documentos!$A$2:$A$59,0)),"")</f>
        <v>Plan de Respuesta de Acción Desencadenante (TARPS)</v>
      </c>
      <c r="C121" s="18" t="s">
        <v>605</v>
      </c>
      <c r="D121" s="4" t="str">
        <f>IFERROR(INDEX('Criterios GISTM'!$D$2:$D$222,MATCH($C121,'Criterios GISTM'!$A$2:$A$222,0)),"")</f>
        <v>Principio 07</v>
      </c>
      <c r="E121" s="4" t="str">
        <f>IFERROR(INDEX('Criterios GISTM'!$H$2:$H$222,MATCH($C121,'Criterios GISTM'!$A$2:$A$222,0)),"")</f>
        <v xml:space="preserve"> 7.4 - B</v>
      </c>
      <c r="F121" s="16">
        <v>1</v>
      </c>
      <c r="G121" s="46">
        <f>IFERROR(INDEX('Criterios GISTM'!$J$2:$J$222,MATCH($C121,'Criterios GISTM'!$A$2:$A$222,0)),0)</f>
        <v>0.2</v>
      </c>
      <c r="H121" s="24">
        <f>IFERROR(INDEX(Documentos!$F$2:$F$59,MATCH($A121,Documentos!$A$2:$A$59,0)),0)</f>
        <v>0</v>
      </c>
      <c r="I121" s="25">
        <f t="shared" si="1"/>
        <v>0</v>
      </c>
      <c r="J121" s="48" t="s">
        <v>1173</v>
      </c>
      <c r="K121" s="48" t="s">
        <v>51</v>
      </c>
    </row>
    <row r="122" spans="1:11">
      <c r="A122" s="19" t="s">
        <v>123</v>
      </c>
      <c r="B122" s="22" t="str">
        <f>IFERROR(INDEX(Documentos!$B$2:$B$59,MATCH($A122,Documentos!$A$2:$A$59,0)),"")</f>
        <v>Plan de Respuesta de Acción Desencadenante (TARPS)</v>
      </c>
      <c r="C122" s="18" t="s">
        <v>608</v>
      </c>
      <c r="D122" s="4" t="str">
        <f>IFERROR(INDEX('Criterios GISTM'!$D$2:$D$222,MATCH($C122,'Criterios GISTM'!$A$2:$A$222,0)),"")</f>
        <v>Principio 07</v>
      </c>
      <c r="E122" s="4" t="str">
        <f>IFERROR(INDEX('Criterios GISTM'!$H$2:$H$222,MATCH($C122,'Criterios GISTM'!$A$2:$A$222,0)),"")</f>
        <v xml:space="preserve"> 7.4 - C</v>
      </c>
      <c r="F122" s="16">
        <v>1</v>
      </c>
      <c r="G122" s="46">
        <f>IFERROR(INDEX('Criterios GISTM'!$J$2:$J$222,MATCH($C122,'Criterios GISTM'!$A$2:$A$222,0)),0)</f>
        <v>0.2</v>
      </c>
      <c r="H122" s="24">
        <f>IFERROR(INDEX(Documentos!$F$2:$F$59,MATCH($A122,Documentos!$A$2:$A$59,0)),0)</f>
        <v>0</v>
      </c>
      <c r="I122" s="25">
        <f t="shared" si="1"/>
        <v>0</v>
      </c>
      <c r="J122" s="48" t="s">
        <v>1174</v>
      </c>
      <c r="K122" s="48" t="s">
        <v>51</v>
      </c>
    </row>
    <row r="123" spans="1:11">
      <c r="A123" s="19" t="s">
        <v>123</v>
      </c>
      <c r="B123" s="22" t="str">
        <f>IFERROR(INDEX(Documentos!$B$2:$B$59,MATCH($A123,Documentos!$A$2:$A$59,0)),"")</f>
        <v>Plan de Respuesta de Acción Desencadenante (TARPS)</v>
      </c>
      <c r="C123" s="18" t="s">
        <v>611</v>
      </c>
      <c r="D123" s="4" t="str">
        <f>IFERROR(INDEX('Criterios GISTM'!$D$2:$D$222,MATCH($C123,'Criterios GISTM'!$A$2:$A$222,0)),"")</f>
        <v>Principio 07</v>
      </c>
      <c r="E123" s="4" t="str">
        <f>IFERROR(INDEX('Criterios GISTM'!$H$2:$H$222,MATCH($C123,'Criterios GISTM'!$A$2:$A$222,0)),"")</f>
        <v xml:space="preserve"> 7.4 - D</v>
      </c>
      <c r="F123" s="16">
        <v>1</v>
      </c>
      <c r="G123" s="46">
        <f>IFERROR(INDEX('Criterios GISTM'!$J$2:$J$222,MATCH($C123,'Criterios GISTM'!$A$2:$A$222,0)),0)</f>
        <v>0.2</v>
      </c>
      <c r="H123" s="24">
        <f>IFERROR(INDEX(Documentos!$F$2:$F$59,MATCH($A123,Documentos!$A$2:$A$59,0)),0)</f>
        <v>0</v>
      </c>
      <c r="I123" s="25">
        <f t="shared" si="1"/>
        <v>0</v>
      </c>
      <c r="J123" s="48" t="s">
        <v>1175</v>
      </c>
      <c r="K123" s="48" t="s">
        <v>51</v>
      </c>
    </row>
    <row r="124" spans="1:11">
      <c r="A124" s="19" t="s">
        <v>125</v>
      </c>
      <c r="B124" s="22" t="str">
        <f>IFERROR(INDEX(Documentos!$B$2:$B$59,MATCH($A124,Documentos!$A$2:$A$59,0)),"")</f>
        <v>Firma del EoR e Ingeniero responsable</v>
      </c>
      <c r="C124" s="18" t="s">
        <v>614</v>
      </c>
      <c r="D124" s="4" t="str">
        <f>IFERROR(INDEX('Criterios GISTM'!$D$2:$D$222,MATCH($C124,'Criterios GISTM'!$A$2:$A$222,0)),"")</f>
        <v>Principio 07</v>
      </c>
      <c r="E124" s="4" t="str">
        <f>IFERROR(INDEX('Criterios GISTM'!$H$2:$H$222,MATCH($C124,'Criterios GISTM'!$A$2:$A$222,0)),"")</f>
        <v xml:space="preserve"> 7.4 - E</v>
      </c>
      <c r="F124" s="16">
        <v>1</v>
      </c>
      <c r="G124" s="46">
        <f>IFERROR(INDEX('Criterios GISTM'!$J$2:$J$222,MATCH($C124,'Criterios GISTM'!$A$2:$A$222,0)),0)</f>
        <v>0.2</v>
      </c>
      <c r="H124" s="24">
        <f>IFERROR(INDEX(Documentos!$F$2:$F$59,MATCH($A124,Documentos!$A$2:$A$59,0)),0)</f>
        <v>0</v>
      </c>
      <c r="I124" s="25">
        <f t="shared" si="1"/>
        <v>0</v>
      </c>
      <c r="J124" s="48" t="s">
        <v>1176</v>
      </c>
      <c r="K124" s="48" t="s">
        <v>51</v>
      </c>
    </row>
    <row r="125" spans="1:11">
      <c r="A125" s="19" t="s">
        <v>129</v>
      </c>
      <c r="B125" s="22" t="str">
        <f>IFERROR(INDEX(Documentos!$B$2:$B$59,MATCH($A125,Documentos!$A$2:$A$59,0)),"")</f>
        <v xml:space="preserve">Política de Relaves </v>
      </c>
      <c r="C125" s="18" t="s">
        <v>617</v>
      </c>
      <c r="D125" s="4" t="str">
        <f>IFERROR(INDEX('Criterios GISTM'!$D$2:$D$222,MATCH($C125,'Criterios GISTM'!$A$2:$A$222,0)),"")</f>
        <v>Principio 07</v>
      </c>
      <c r="E125" s="4" t="str">
        <f>IFERROR(INDEX('Criterios GISTM'!$H$2:$H$222,MATCH($C125,'Criterios GISTM'!$A$2:$A$222,0)),"")</f>
        <v xml:space="preserve"> 7.5 - A</v>
      </c>
      <c r="F125" s="16">
        <v>1</v>
      </c>
      <c r="G125" s="46">
        <f>IFERROR(INDEX('Criterios GISTM'!$J$2:$J$222,MATCH($C125,'Criterios GISTM'!$A$2:$A$222,0)),0)</f>
        <v>0.5</v>
      </c>
      <c r="H125" s="24">
        <f>IFERROR(INDEX(Documentos!$F$2:$F$59,MATCH($A125,Documentos!$A$2:$A$59,0)),0)</f>
        <v>0</v>
      </c>
      <c r="I125" s="25">
        <f t="shared" si="1"/>
        <v>0</v>
      </c>
      <c r="J125" s="48" t="s">
        <v>1177</v>
      </c>
      <c r="K125" s="48" t="s">
        <v>51</v>
      </c>
    </row>
    <row r="126" spans="1:11">
      <c r="A126" s="19" t="s">
        <v>129</v>
      </c>
      <c r="B126" s="22" t="str">
        <f>IFERROR(INDEX(Documentos!$B$2:$B$59,MATCH($A126,Documentos!$A$2:$A$59,0)),"")</f>
        <v xml:space="preserve">Política de Relaves </v>
      </c>
      <c r="C126" s="18" t="s">
        <v>622</v>
      </c>
      <c r="D126" s="4" t="str">
        <f>IFERROR(INDEX('Criterios GISTM'!$D$2:$D$222,MATCH($C126,'Criterios GISTM'!$A$2:$A$222,0)),"")</f>
        <v>Principio 07</v>
      </c>
      <c r="E126" s="4" t="str">
        <f>IFERROR(INDEX('Criterios GISTM'!$H$2:$H$222,MATCH($C126,'Criterios GISTM'!$A$2:$A$222,0)),"")</f>
        <v xml:space="preserve"> 7.5 - B</v>
      </c>
      <c r="F126" s="16">
        <v>1</v>
      </c>
      <c r="G126" s="46">
        <f>IFERROR(INDEX('Criterios GISTM'!$J$2:$J$222,MATCH($C126,'Criterios GISTM'!$A$2:$A$222,0)),0)</f>
        <v>0.5</v>
      </c>
      <c r="H126" s="24">
        <f>IFERROR(INDEX(Documentos!$F$2:$F$59,MATCH($A126,Documentos!$A$2:$A$59,0)),0)</f>
        <v>0</v>
      </c>
      <c r="I126" s="25">
        <f t="shared" si="1"/>
        <v>0</v>
      </c>
      <c r="J126" s="48" t="s">
        <v>1178</v>
      </c>
      <c r="K126" s="48" t="s">
        <v>51</v>
      </c>
    </row>
    <row r="127" spans="1:11">
      <c r="A127" s="19" t="s">
        <v>131</v>
      </c>
      <c r="B127" s="22" t="str">
        <f>IFERROR(INDEX(Documentos!$B$2:$B$59,MATCH($A127,Documentos!$A$2:$A$59,0)),"")</f>
        <v>Procedimiento de Pago de Incentivos</v>
      </c>
      <c r="C127" s="18" t="s">
        <v>625</v>
      </c>
      <c r="D127" s="4" t="str">
        <f>IFERROR(INDEX('Criterios GISTM'!$D$2:$D$222,MATCH($C127,'Criterios GISTM'!$A$2:$A$222,0)),"")</f>
        <v>Principio 08</v>
      </c>
      <c r="E127" s="4" t="str">
        <f>IFERROR(INDEX('Criterios GISTM'!$H$2:$H$222,MATCH($C127,'Criterios GISTM'!$A$2:$A$222,0)),"")</f>
        <v xml:space="preserve"> 8.1 - A</v>
      </c>
      <c r="F127" s="16">
        <v>1</v>
      </c>
      <c r="G127" s="46">
        <f>IFERROR(INDEX('Criterios GISTM'!$J$2:$J$222,MATCH($C127,'Criterios GISTM'!$A$2:$A$222,0)),0)</f>
        <v>0.5</v>
      </c>
      <c r="H127" s="24">
        <f>IFERROR(INDEX(Documentos!$F$2:$F$59,MATCH($A127,Documentos!$A$2:$A$59,0)),0)</f>
        <v>0</v>
      </c>
      <c r="I127" s="25">
        <f t="shared" si="1"/>
        <v>0</v>
      </c>
      <c r="J127" s="48" t="s">
        <v>1179</v>
      </c>
      <c r="K127" s="48" t="s">
        <v>51</v>
      </c>
    </row>
    <row r="128" spans="1:11">
      <c r="A128" s="19" t="s">
        <v>131</v>
      </c>
      <c r="B128" s="22" t="str">
        <f>IFERROR(INDEX(Documentos!$B$2:$B$59,MATCH($A128,Documentos!$A$2:$A$59,0)),"")</f>
        <v>Procedimiento de Pago de Incentivos</v>
      </c>
      <c r="C128" s="18" t="s">
        <v>634</v>
      </c>
      <c r="D128" s="4" t="str">
        <f>IFERROR(INDEX('Criterios GISTM'!$D$2:$D$222,MATCH($C128,'Criterios GISTM'!$A$2:$A$222,0)),"")</f>
        <v>Principio 08</v>
      </c>
      <c r="E128" s="4" t="str">
        <f>IFERROR(INDEX('Criterios GISTM'!$H$2:$H$222,MATCH($C128,'Criterios GISTM'!$A$2:$A$222,0)),"")</f>
        <v xml:space="preserve"> 8.1 - B</v>
      </c>
      <c r="F128" s="16">
        <v>1</v>
      </c>
      <c r="G128" s="46">
        <f>IFERROR(INDEX('Criterios GISTM'!$J$2:$J$222,MATCH($C128,'Criterios GISTM'!$A$2:$A$222,0)),0)</f>
        <v>0.5</v>
      </c>
      <c r="H128" s="24">
        <f>IFERROR(INDEX(Documentos!$F$2:$F$59,MATCH($A128,Documentos!$A$2:$A$59,0)),0)</f>
        <v>0</v>
      </c>
      <c r="I128" s="25">
        <f t="shared" si="1"/>
        <v>0</v>
      </c>
      <c r="J128" s="48" t="s">
        <v>1180</v>
      </c>
      <c r="K128" s="48" t="s">
        <v>51</v>
      </c>
    </row>
    <row r="129" spans="1:11">
      <c r="A129" s="19" t="s">
        <v>106</v>
      </c>
      <c r="B129" s="22" t="str">
        <f>IFERROR(INDEX(Documentos!$B$2:$B$59,MATCH($A129,Documentos!$A$2:$A$59,0)),"")</f>
        <v>Manual Articulador TMS</v>
      </c>
      <c r="C129" s="18" t="s">
        <v>637</v>
      </c>
      <c r="D129" s="4" t="str">
        <f>IFERROR(INDEX('Criterios GISTM'!$D$2:$D$222,MATCH($C129,'Criterios GISTM'!$A$2:$A$222,0)),"")</f>
        <v>Principio 08</v>
      </c>
      <c r="E129" s="4" t="str">
        <f>IFERROR(INDEX('Criterios GISTM'!$H$2:$H$222,MATCH($C129,'Criterios GISTM'!$A$2:$A$222,0)),"")</f>
        <v xml:space="preserve"> 8.2 - A</v>
      </c>
      <c r="F129" s="16">
        <v>1</v>
      </c>
      <c r="G129" s="46">
        <f>IFERROR(INDEX('Criterios GISTM'!$J$2:$J$222,MATCH($C129,'Criterios GISTM'!$A$2:$A$222,0)),0)</f>
        <v>0.25</v>
      </c>
      <c r="H129" s="24">
        <f>IFERROR(INDEX(Documentos!$F$2:$F$59,MATCH($A129,Documentos!$A$2:$A$59,0)),0)</f>
        <v>0.2</v>
      </c>
      <c r="I129" s="25">
        <f t="shared" si="1"/>
        <v>0.05</v>
      </c>
      <c r="J129" s="48" t="s">
        <v>1181</v>
      </c>
      <c r="K129" s="48" t="s">
        <v>51</v>
      </c>
    </row>
    <row r="130" spans="1:11">
      <c r="A130" s="19" t="s">
        <v>106</v>
      </c>
      <c r="B130" s="22" t="str">
        <f>IFERROR(INDEX(Documentos!$B$2:$B$59,MATCH($A130,Documentos!$A$2:$A$59,0)),"")</f>
        <v>Manual Articulador TMS</v>
      </c>
      <c r="C130" s="18" t="s">
        <v>642</v>
      </c>
      <c r="D130" s="4" t="str">
        <f>IFERROR(INDEX('Criterios GISTM'!$D$2:$D$222,MATCH($C130,'Criterios GISTM'!$A$2:$A$222,0)),"")</f>
        <v>Principio 08</v>
      </c>
      <c r="E130" s="4" t="str">
        <f>IFERROR(INDEX('Criterios GISTM'!$H$2:$H$222,MATCH($C130,'Criterios GISTM'!$A$2:$A$222,0)),"")</f>
        <v xml:space="preserve"> 8.2 - B</v>
      </c>
      <c r="F130" s="16">
        <v>1</v>
      </c>
      <c r="G130" s="46">
        <f>IFERROR(INDEX('Criterios GISTM'!$J$2:$J$222,MATCH($C130,'Criterios GISTM'!$A$2:$A$222,0)),0)</f>
        <v>0.25</v>
      </c>
      <c r="H130" s="24">
        <f>IFERROR(INDEX(Documentos!$F$2:$F$59,MATCH($A130,Documentos!$A$2:$A$59,0)),0)</f>
        <v>0.2</v>
      </c>
      <c r="I130" s="25">
        <f t="shared" ref="I130:J193" si="2">F130*G130*H130</f>
        <v>0.05</v>
      </c>
      <c r="J130" s="48" t="s">
        <v>1182</v>
      </c>
      <c r="K130" s="48" t="s">
        <v>51</v>
      </c>
    </row>
    <row r="131" spans="1:11">
      <c r="A131" s="19" t="s">
        <v>106</v>
      </c>
      <c r="B131" s="22" t="str">
        <f>IFERROR(INDEX(Documentos!$B$2:$B$59,MATCH($A131,Documentos!$A$2:$A$59,0)),"")</f>
        <v>Manual Articulador TMS</v>
      </c>
      <c r="C131" s="18" t="s">
        <v>645</v>
      </c>
      <c r="D131" s="4" t="str">
        <f>IFERROR(INDEX('Criterios GISTM'!$D$2:$D$222,MATCH($C131,'Criterios GISTM'!$A$2:$A$222,0)),"")</f>
        <v>Principio 08</v>
      </c>
      <c r="E131" s="4" t="str">
        <f>IFERROR(INDEX('Criterios GISTM'!$H$2:$H$222,MATCH($C131,'Criterios GISTM'!$A$2:$A$222,0)),"")</f>
        <v xml:space="preserve"> 8.2 - C</v>
      </c>
      <c r="F131" s="16">
        <v>1</v>
      </c>
      <c r="G131" s="46">
        <f>IFERROR(INDEX('Criterios GISTM'!$J$2:$J$222,MATCH($C131,'Criterios GISTM'!$A$2:$A$222,0)),0)</f>
        <v>0.25</v>
      </c>
      <c r="H131" s="24">
        <f>IFERROR(INDEX(Documentos!$F$2:$F$59,MATCH($A131,Documentos!$A$2:$A$59,0)),0)</f>
        <v>0.2</v>
      </c>
      <c r="I131" s="25">
        <f t="shared" si="2"/>
        <v>0.05</v>
      </c>
      <c r="J131" s="48" t="s">
        <v>1183</v>
      </c>
      <c r="K131" s="48" t="s">
        <v>51</v>
      </c>
    </row>
    <row r="132" spans="1:11">
      <c r="A132" s="19" t="s">
        <v>106</v>
      </c>
      <c r="B132" s="22" t="str">
        <f>IFERROR(INDEX(Documentos!$B$2:$B$59,MATCH($A132,Documentos!$A$2:$A$59,0)),"")</f>
        <v>Manual Articulador TMS</v>
      </c>
      <c r="C132" s="18" t="s">
        <v>648</v>
      </c>
      <c r="D132" s="4" t="str">
        <f>IFERROR(INDEX('Criterios GISTM'!$D$2:$D$222,MATCH($C132,'Criterios GISTM'!$A$2:$A$222,0)),"")</f>
        <v>Principio 08</v>
      </c>
      <c r="E132" s="4" t="str">
        <f>IFERROR(INDEX('Criterios GISTM'!$H$2:$H$222,MATCH($C132,'Criterios GISTM'!$A$2:$A$222,0)),"")</f>
        <v xml:space="preserve"> 8.2 - D</v>
      </c>
      <c r="F132" s="16">
        <v>1</v>
      </c>
      <c r="G132" s="46">
        <f>IFERROR(INDEX('Criterios GISTM'!$J$2:$J$222,MATCH($C132,'Criterios GISTM'!$A$2:$A$222,0)),0)</f>
        <v>0.25</v>
      </c>
      <c r="H132" s="24">
        <f>IFERROR(INDEX(Documentos!$F$2:$F$59,MATCH($A132,Documentos!$A$2:$A$59,0)),0)</f>
        <v>0.2</v>
      </c>
      <c r="I132" s="25">
        <f t="shared" si="2"/>
        <v>0.05</v>
      </c>
      <c r="J132" s="48" t="s">
        <v>1184</v>
      </c>
      <c r="K132" s="48" t="s">
        <v>51</v>
      </c>
    </row>
    <row r="133" spans="1:11">
      <c r="A133" s="19" t="s">
        <v>133</v>
      </c>
      <c r="B133" s="22" t="str">
        <f>IFERROR(INDEX(Documentos!$B$2:$B$59,MATCH($A133,Documentos!$A$2:$A$59,0)),"")</f>
        <v>Manual de Roles y Responsabilidades</v>
      </c>
      <c r="C133" s="18" t="s">
        <v>651</v>
      </c>
      <c r="D133" s="4" t="str">
        <f>IFERROR(INDEX('Criterios GISTM'!$D$2:$D$222,MATCH($C133,'Criterios GISTM'!$A$2:$A$222,0)),"")</f>
        <v>Principio 08</v>
      </c>
      <c r="E133" s="4" t="str">
        <f>IFERROR(INDEX('Criterios GISTM'!$H$2:$H$222,MATCH($C133,'Criterios GISTM'!$A$2:$A$222,0)),"")</f>
        <v xml:space="preserve"> 8.3 - A</v>
      </c>
      <c r="F133" s="16">
        <v>1</v>
      </c>
      <c r="G133" s="46">
        <f>IFERROR(INDEX('Criterios GISTM'!$J$2:$J$222,MATCH($C133,'Criterios GISTM'!$A$2:$A$222,0)),0)</f>
        <v>0.33333333333333331</v>
      </c>
      <c r="H133" s="24">
        <f>IFERROR(INDEX(Documentos!$F$2:$F$59,MATCH($A133,Documentos!$A$2:$A$59,0)),0)</f>
        <v>0.2</v>
      </c>
      <c r="I133" s="25">
        <f t="shared" si="2"/>
        <v>6.6666666666666666E-2</v>
      </c>
      <c r="J133" s="48" t="s">
        <v>1185</v>
      </c>
      <c r="K133" s="48" t="s">
        <v>51</v>
      </c>
    </row>
    <row r="134" spans="1:11">
      <c r="A134" s="19" t="s">
        <v>133</v>
      </c>
      <c r="B134" s="22" t="str">
        <f>IFERROR(INDEX(Documentos!$B$2:$B$59,MATCH($A134,Documentos!$A$2:$A$59,0)),"")</f>
        <v>Manual de Roles y Responsabilidades</v>
      </c>
      <c r="C134" s="18" t="s">
        <v>656</v>
      </c>
      <c r="D134" s="4" t="str">
        <f>IFERROR(INDEX('Criterios GISTM'!$D$2:$D$222,MATCH($C134,'Criterios GISTM'!$A$2:$A$222,0)),"")</f>
        <v>Principio 08</v>
      </c>
      <c r="E134" s="4" t="str">
        <f>IFERROR(INDEX('Criterios GISTM'!$H$2:$H$222,MATCH($C134,'Criterios GISTM'!$A$2:$A$222,0)),"")</f>
        <v xml:space="preserve"> 8.3 - B</v>
      </c>
      <c r="F134" s="16">
        <v>1</v>
      </c>
      <c r="G134" s="46">
        <f>IFERROR(INDEX('Criterios GISTM'!$J$2:$J$222,MATCH($C134,'Criterios GISTM'!$A$2:$A$222,0)),0)</f>
        <v>0.33333333333333331</v>
      </c>
      <c r="H134" s="24">
        <f>IFERROR(INDEX(Documentos!$F$2:$F$59,MATCH($A134,Documentos!$A$2:$A$59,0)),0)</f>
        <v>0.2</v>
      </c>
      <c r="I134" s="25">
        <f t="shared" si="2"/>
        <v>6.6666666666666666E-2</v>
      </c>
      <c r="J134" s="48" t="s">
        <v>1186</v>
      </c>
      <c r="K134" s="48" t="s">
        <v>51</v>
      </c>
    </row>
    <row r="135" spans="1:11">
      <c r="A135" s="19" t="s">
        <v>133</v>
      </c>
      <c r="B135" s="22" t="str">
        <f>IFERROR(INDEX(Documentos!$B$2:$B$59,MATCH($A135,Documentos!$A$2:$A$59,0)),"")</f>
        <v>Manual de Roles y Responsabilidades</v>
      </c>
      <c r="C135" s="18" t="s">
        <v>659</v>
      </c>
      <c r="D135" s="4" t="str">
        <f>IFERROR(INDEX('Criterios GISTM'!$D$2:$D$222,MATCH($C135,'Criterios GISTM'!$A$2:$A$222,0)),"")</f>
        <v>Principio 08</v>
      </c>
      <c r="E135" s="4" t="str">
        <f>IFERROR(INDEX('Criterios GISTM'!$H$2:$H$222,MATCH($C135,'Criterios GISTM'!$A$2:$A$222,0)),"")</f>
        <v xml:space="preserve"> 8.3 - C</v>
      </c>
      <c r="F135" s="16">
        <v>1</v>
      </c>
      <c r="G135" s="46">
        <f>IFERROR(INDEX('Criterios GISTM'!$J$2:$J$222,MATCH($C135,'Criterios GISTM'!$A$2:$A$222,0)),0)</f>
        <v>0.33333333333333331</v>
      </c>
      <c r="H135" s="24">
        <f>IFERROR(INDEX(Documentos!$F$2:$F$59,MATCH($A135,Documentos!$A$2:$A$59,0)),0)</f>
        <v>0.2</v>
      </c>
      <c r="I135" s="25">
        <f t="shared" si="2"/>
        <v>6.6666666666666666E-2</v>
      </c>
      <c r="J135" s="48" t="s">
        <v>1187</v>
      </c>
      <c r="K135" s="48" t="s">
        <v>51</v>
      </c>
    </row>
    <row r="136" spans="1:11">
      <c r="A136" s="19" t="s">
        <v>58</v>
      </c>
      <c r="B136" s="22" t="str">
        <f>IFERROR(INDEX(Documentos!$B$2:$B$59,MATCH($A136,Documentos!$A$2:$A$59,0)),"")</f>
        <v>Procedimiento de Comunicación</v>
      </c>
      <c r="C136" s="18" t="s">
        <v>662</v>
      </c>
      <c r="D136" s="4" t="str">
        <f>IFERROR(INDEX('Criterios GISTM'!$D$2:$D$222,MATCH($C136,'Criterios GISTM'!$A$2:$A$222,0)),"")</f>
        <v>Principio 08</v>
      </c>
      <c r="E136" s="4" t="str">
        <f>IFERROR(INDEX('Criterios GISTM'!$H$2:$H$222,MATCH($C136,'Criterios GISTM'!$A$2:$A$222,0)),"")</f>
        <v xml:space="preserve"> 8.4 - A</v>
      </c>
      <c r="F136" s="16">
        <v>1</v>
      </c>
      <c r="G136" s="46">
        <f>IFERROR(INDEX('Criterios GISTM'!$J$2:$J$222,MATCH($C136,'Criterios GISTM'!$A$2:$A$222,0)),0)</f>
        <v>0.25</v>
      </c>
      <c r="H136" s="24">
        <f>IFERROR(INDEX(Documentos!$F$2:$F$59,MATCH($A136,Documentos!$A$2:$A$59,0)),0)</f>
        <v>0.2</v>
      </c>
      <c r="I136" s="25">
        <f t="shared" si="2"/>
        <v>0.05</v>
      </c>
      <c r="J136" s="48" t="s">
        <v>1188</v>
      </c>
      <c r="K136" s="48" t="s">
        <v>51</v>
      </c>
    </row>
    <row r="137" spans="1:11">
      <c r="A137" s="19" t="s">
        <v>115</v>
      </c>
      <c r="B137" s="22" t="str">
        <f>IFERROR(INDEX(Documentos!$B$2:$B$59,MATCH($A137,Documentos!$A$2:$A$59,0)),"")</f>
        <v>Plan de Capacitaciones</v>
      </c>
      <c r="C137" s="18" t="s">
        <v>667</v>
      </c>
      <c r="D137" s="4" t="str">
        <f>IFERROR(INDEX('Criterios GISTM'!$D$2:$D$222,MATCH($C137,'Criterios GISTM'!$A$2:$A$222,0)),"")</f>
        <v>Principio 08</v>
      </c>
      <c r="E137" s="4" t="str">
        <f>IFERROR(INDEX('Criterios GISTM'!$H$2:$H$222,MATCH($C137,'Criterios GISTM'!$A$2:$A$222,0)),"")</f>
        <v xml:space="preserve"> 8.4 - B</v>
      </c>
      <c r="F137" s="16">
        <v>1</v>
      </c>
      <c r="G137" s="46">
        <f>IFERROR(INDEX('Criterios GISTM'!$J$2:$J$222,MATCH($C137,'Criterios GISTM'!$A$2:$A$222,0)),0)</f>
        <v>0.25</v>
      </c>
      <c r="H137" s="24">
        <f>IFERROR(INDEX(Documentos!$F$2:$F$59,MATCH($A137,Documentos!$A$2:$A$59,0)),0)</f>
        <v>1</v>
      </c>
      <c r="I137" s="25">
        <f t="shared" si="2"/>
        <v>0.25</v>
      </c>
      <c r="J137" s="48" t="s">
        <v>1189</v>
      </c>
      <c r="K137" s="48" t="s">
        <v>51</v>
      </c>
    </row>
    <row r="138" spans="1:11">
      <c r="A138" s="19" t="s">
        <v>135</v>
      </c>
      <c r="B138" s="22" t="str">
        <f>IFERROR(INDEX(Documentos!$B$2:$B$59,MATCH($A138,Documentos!$A$2:$A$59,0)),"")</f>
        <v>Plan de sucesión</v>
      </c>
      <c r="C138" s="18" t="s">
        <v>670</v>
      </c>
      <c r="D138" s="4" t="str">
        <f>IFERROR(INDEX('Criterios GISTM'!$D$2:$D$222,MATCH($C138,'Criterios GISTM'!$A$2:$A$222,0)),"")</f>
        <v>Principio 08</v>
      </c>
      <c r="E138" s="4" t="str">
        <f>IFERROR(INDEX('Criterios GISTM'!$H$2:$H$222,MATCH($C138,'Criterios GISTM'!$A$2:$A$222,0)),"")</f>
        <v xml:space="preserve"> 8.4 - C</v>
      </c>
      <c r="F138" s="16">
        <v>1</v>
      </c>
      <c r="G138" s="46">
        <f>IFERROR(INDEX('Criterios GISTM'!$J$2:$J$222,MATCH($C138,'Criterios GISTM'!$A$2:$A$222,0)),0)</f>
        <v>0.25</v>
      </c>
      <c r="H138" s="24">
        <f>IFERROR(INDEX(Documentos!$F$2:$F$59,MATCH($A138,Documentos!$A$2:$A$59,0)),0)</f>
        <v>1</v>
      </c>
      <c r="I138" s="25">
        <f t="shared" si="2"/>
        <v>0.25</v>
      </c>
      <c r="J138" s="48" t="s">
        <v>1190</v>
      </c>
      <c r="K138" s="48" t="s">
        <v>51</v>
      </c>
    </row>
    <row r="139" spans="1:11">
      <c r="A139" s="19" t="s">
        <v>135</v>
      </c>
      <c r="B139" s="22" t="str">
        <f>IFERROR(INDEX(Documentos!$B$2:$B$59,MATCH($A139,Documentos!$A$2:$A$59,0)),"")</f>
        <v>Plan de sucesión</v>
      </c>
      <c r="C139" s="18" t="s">
        <v>673</v>
      </c>
      <c r="D139" s="4" t="str">
        <f>IFERROR(INDEX('Criterios GISTM'!$D$2:$D$222,MATCH($C139,'Criterios GISTM'!$A$2:$A$222,0)),"")</f>
        <v>Principio 08</v>
      </c>
      <c r="E139" s="4" t="str">
        <f>IFERROR(INDEX('Criterios GISTM'!$H$2:$H$222,MATCH($C139,'Criterios GISTM'!$A$2:$A$222,0)),"")</f>
        <v xml:space="preserve"> 8.4 - D</v>
      </c>
      <c r="F139" s="16">
        <v>1</v>
      </c>
      <c r="G139" s="46">
        <f>IFERROR(INDEX('Criterios GISTM'!$J$2:$J$222,MATCH($C139,'Criterios GISTM'!$A$2:$A$222,0)),0)</f>
        <v>0.25</v>
      </c>
      <c r="H139" s="24">
        <f>IFERROR(INDEX(Documentos!$F$2:$F$59,MATCH($A139,Documentos!$A$2:$A$59,0)),0)</f>
        <v>1</v>
      </c>
      <c r="I139" s="25">
        <f t="shared" si="2"/>
        <v>0.25</v>
      </c>
      <c r="J139" s="48" t="s">
        <v>1191</v>
      </c>
      <c r="K139" s="48" t="s">
        <v>51</v>
      </c>
    </row>
    <row r="140" spans="1:11">
      <c r="A140" s="19" t="s">
        <v>135</v>
      </c>
      <c r="B140" s="22" t="str">
        <f>IFERROR(INDEX(Documentos!$B$2:$B$59,MATCH($A140,Documentos!$A$2:$A$59,0)),"")</f>
        <v>Plan de sucesión</v>
      </c>
      <c r="C140" s="18" t="s">
        <v>676</v>
      </c>
      <c r="D140" s="4" t="str">
        <f>IFERROR(INDEX('Criterios GISTM'!$D$2:$D$222,MATCH($C140,'Criterios GISTM'!$A$2:$A$222,0)),"")</f>
        <v>Principio 08</v>
      </c>
      <c r="E140" s="4" t="str">
        <f>IFERROR(INDEX('Criterios GISTM'!$H$2:$H$222,MATCH($C140,'Criterios GISTM'!$A$2:$A$222,0)),"")</f>
        <v xml:space="preserve"> 8.5 - A</v>
      </c>
      <c r="F140" s="16">
        <v>1</v>
      </c>
      <c r="G140" s="46">
        <f>IFERROR(INDEX('Criterios GISTM'!$J$2:$J$222,MATCH($C140,'Criterios GISTM'!$A$2:$A$222,0)),0)</f>
        <v>0.2</v>
      </c>
      <c r="H140" s="24">
        <f>IFERROR(INDEX(Documentos!$F$2:$F$59,MATCH($A140,Documentos!$A$2:$A$59,0)),0)</f>
        <v>1</v>
      </c>
      <c r="I140" s="25">
        <f t="shared" si="2"/>
        <v>0.2</v>
      </c>
      <c r="J140" s="48" t="s">
        <v>1192</v>
      </c>
      <c r="K140" s="48" t="s">
        <v>51</v>
      </c>
    </row>
    <row r="141" spans="1:11">
      <c r="A141" s="19" t="s">
        <v>135</v>
      </c>
      <c r="B141" s="22" t="str">
        <f>IFERROR(INDEX(Documentos!$B$2:$B$59,MATCH($A141,Documentos!$A$2:$A$59,0)),"")</f>
        <v>Plan de sucesión</v>
      </c>
      <c r="C141" s="18" t="s">
        <v>681</v>
      </c>
      <c r="D141" s="4" t="str">
        <f>IFERROR(INDEX('Criterios GISTM'!$D$2:$D$222,MATCH($C141,'Criterios GISTM'!$A$2:$A$222,0)),"")</f>
        <v>Principio 08</v>
      </c>
      <c r="E141" s="4" t="str">
        <f>IFERROR(INDEX('Criterios GISTM'!$H$2:$H$222,MATCH($C141,'Criterios GISTM'!$A$2:$A$222,0)),"")</f>
        <v xml:space="preserve"> 8.5 - B</v>
      </c>
      <c r="F141" s="16">
        <v>1</v>
      </c>
      <c r="G141" s="46">
        <f>IFERROR(INDEX('Criterios GISTM'!$J$2:$J$222,MATCH($C141,'Criterios GISTM'!$A$2:$A$222,0)),0)</f>
        <v>0.2</v>
      </c>
      <c r="H141" s="24">
        <f>IFERROR(INDEX(Documentos!$F$2:$F$59,MATCH($A141,Documentos!$A$2:$A$59,0)),0)</f>
        <v>1</v>
      </c>
      <c r="I141" s="25">
        <f t="shared" si="2"/>
        <v>0.2</v>
      </c>
      <c r="J141" s="48" t="s">
        <v>1193</v>
      </c>
      <c r="K141" s="48" t="s">
        <v>51</v>
      </c>
    </row>
    <row r="142" spans="1:11">
      <c r="A142" s="19" t="s">
        <v>58</v>
      </c>
      <c r="B142" s="22" t="str">
        <f>IFERROR(INDEX(Documentos!$B$2:$B$59,MATCH($A142,Documentos!$A$2:$A$59,0)),"")</f>
        <v>Procedimiento de Comunicación</v>
      </c>
      <c r="C142" s="18" t="s">
        <v>684</v>
      </c>
      <c r="D142" s="4" t="str">
        <f>IFERROR(INDEX('Criterios GISTM'!$D$2:$D$222,MATCH($C142,'Criterios GISTM'!$A$2:$A$222,0)),"")</f>
        <v>Principio 08</v>
      </c>
      <c r="E142" s="4" t="str">
        <f>IFERROR(INDEX('Criterios GISTM'!$H$2:$H$222,MATCH($C142,'Criterios GISTM'!$A$2:$A$222,0)),"")</f>
        <v xml:space="preserve"> 8.5 - C</v>
      </c>
      <c r="F142" s="16">
        <v>1</v>
      </c>
      <c r="G142" s="46">
        <f>IFERROR(INDEX('Criterios GISTM'!$J$2:$J$222,MATCH($C142,'Criterios GISTM'!$A$2:$A$222,0)),0)</f>
        <v>0.2</v>
      </c>
      <c r="H142" s="24">
        <f>IFERROR(INDEX(Documentos!$F$2:$F$59,MATCH($A142,Documentos!$A$2:$A$59,0)),0)</f>
        <v>0.2</v>
      </c>
      <c r="I142" s="25">
        <f t="shared" si="2"/>
        <v>4.0000000000000008E-2</v>
      </c>
      <c r="J142" s="48" t="s">
        <v>1194</v>
      </c>
      <c r="K142" s="48" t="s">
        <v>51</v>
      </c>
    </row>
    <row r="143" spans="1:11">
      <c r="A143" s="19" t="s">
        <v>135</v>
      </c>
      <c r="B143" s="22" t="str">
        <f>IFERROR(INDEX(Documentos!$B$2:$B$59,MATCH($A143,Documentos!$A$2:$A$59,0)),"")</f>
        <v>Plan de sucesión</v>
      </c>
      <c r="C143" s="18" t="s">
        <v>687</v>
      </c>
      <c r="D143" s="4" t="str">
        <f>IFERROR(INDEX('Criterios GISTM'!$D$2:$D$222,MATCH($C143,'Criterios GISTM'!$A$2:$A$222,0)),"")</f>
        <v>Principio 08</v>
      </c>
      <c r="E143" s="4" t="str">
        <f>IFERROR(INDEX('Criterios GISTM'!$H$2:$H$222,MATCH($C143,'Criterios GISTM'!$A$2:$A$222,0)),"")</f>
        <v xml:space="preserve"> 8.5 - D</v>
      </c>
      <c r="F143" s="16">
        <v>1</v>
      </c>
      <c r="G143" s="46">
        <f>IFERROR(INDEX('Criterios GISTM'!$J$2:$J$222,MATCH($C143,'Criterios GISTM'!$A$2:$A$222,0)),0)</f>
        <v>0.2</v>
      </c>
      <c r="H143" s="24">
        <f>IFERROR(INDEX(Documentos!$F$2:$F$59,MATCH($A143,Documentos!$A$2:$A$59,0)),0)</f>
        <v>1</v>
      </c>
      <c r="I143" s="25">
        <f t="shared" si="2"/>
        <v>0.2</v>
      </c>
      <c r="J143" s="48" t="s">
        <v>1195</v>
      </c>
      <c r="K143" s="48" t="s">
        <v>51</v>
      </c>
    </row>
    <row r="144" spans="1:11">
      <c r="A144" s="19" t="s">
        <v>58</v>
      </c>
      <c r="B144" s="22" t="str">
        <f>IFERROR(INDEX(Documentos!$B$2:$B$59,MATCH($A144,Documentos!$A$2:$A$59,0)),"")</f>
        <v>Procedimiento de Comunicación</v>
      </c>
      <c r="C144" s="18" t="s">
        <v>690</v>
      </c>
      <c r="D144" s="4" t="str">
        <f>IFERROR(INDEX('Criterios GISTM'!$D$2:$D$222,MATCH($C144,'Criterios GISTM'!$A$2:$A$222,0)),"")</f>
        <v>Principio 08</v>
      </c>
      <c r="E144" s="4" t="str">
        <f>IFERROR(INDEX('Criterios GISTM'!$H$2:$H$222,MATCH($C144,'Criterios GISTM'!$A$2:$A$222,0)),"")</f>
        <v xml:space="preserve"> 8.5 - E</v>
      </c>
      <c r="F144" s="16">
        <v>1</v>
      </c>
      <c r="G144" s="46">
        <f>IFERROR(INDEX('Criterios GISTM'!$J$2:$J$222,MATCH($C144,'Criterios GISTM'!$A$2:$A$222,0)),0)</f>
        <v>0.2</v>
      </c>
      <c r="H144" s="24">
        <f>IFERROR(INDEX(Documentos!$F$2:$F$59,MATCH($A144,Documentos!$A$2:$A$59,0)),0)</f>
        <v>0.2</v>
      </c>
      <c r="I144" s="25">
        <f t="shared" si="2"/>
        <v>4.0000000000000008E-2</v>
      </c>
      <c r="J144" s="48" t="s">
        <v>1196</v>
      </c>
      <c r="K144" s="48" t="s">
        <v>51</v>
      </c>
    </row>
    <row r="145" spans="1:11">
      <c r="A145" s="19" t="s">
        <v>135</v>
      </c>
      <c r="B145" s="22" t="str">
        <f>IFERROR(INDEX(Documentos!$B$2:$B$59,MATCH($A145,Documentos!$A$2:$A$59,0)),"")</f>
        <v>Plan de sucesión</v>
      </c>
      <c r="C145" s="18" t="s">
        <v>693</v>
      </c>
      <c r="D145" s="4" t="str">
        <f>IFERROR(INDEX('Criterios GISTM'!$D$2:$D$222,MATCH($C145,'Criterios GISTM'!$A$2:$A$222,0)),"")</f>
        <v>Principio 08</v>
      </c>
      <c r="E145" s="4" t="str">
        <f>IFERROR(INDEX('Criterios GISTM'!$H$2:$H$222,MATCH($C145,'Criterios GISTM'!$A$2:$A$222,0)),"")</f>
        <v xml:space="preserve"> 8.6 - A</v>
      </c>
      <c r="F145" s="16">
        <v>1</v>
      </c>
      <c r="G145" s="46">
        <f>IFERROR(INDEX('Criterios GISTM'!$J$2:$J$222,MATCH($C145,'Criterios GISTM'!$A$2:$A$222,0)),0)</f>
        <v>0.5</v>
      </c>
      <c r="H145" s="24">
        <f>IFERROR(INDEX(Documentos!$F$2:$F$59,MATCH($A145,Documentos!$A$2:$A$59,0)),0)</f>
        <v>1</v>
      </c>
      <c r="I145" s="25">
        <f t="shared" si="2"/>
        <v>0.5</v>
      </c>
      <c r="J145" s="48" t="s">
        <v>1197</v>
      </c>
      <c r="K145" s="48" t="s">
        <v>51</v>
      </c>
    </row>
    <row r="146" spans="1:11">
      <c r="A146" s="19" t="s">
        <v>137</v>
      </c>
      <c r="B146" s="22" t="str">
        <f>IFERROR(INDEX(Documentos!$B$2:$B$59,MATCH($A146,Documentos!$A$2:$A$59,0)),"")</f>
        <v>Carta de asignación ITRB</v>
      </c>
      <c r="C146" s="18" t="s">
        <v>698</v>
      </c>
      <c r="D146" s="4" t="str">
        <f>IFERROR(INDEX('Criterios GISTM'!$D$2:$D$222,MATCH($C146,'Criterios GISTM'!$A$2:$A$222,0)),"")</f>
        <v>Principio 08</v>
      </c>
      <c r="E146" s="4" t="str">
        <f>IFERROR(INDEX('Criterios GISTM'!$H$2:$H$222,MATCH($C146,'Criterios GISTM'!$A$2:$A$222,0)),"")</f>
        <v xml:space="preserve"> 8.6 - B</v>
      </c>
      <c r="F146" s="16">
        <v>1</v>
      </c>
      <c r="G146" s="46">
        <f>IFERROR(INDEX('Criterios GISTM'!$J$2:$J$222,MATCH($C146,'Criterios GISTM'!$A$2:$A$222,0)),0)</f>
        <v>0.5</v>
      </c>
      <c r="H146" s="24">
        <f>IFERROR(INDEX(Documentos!$F$2:$F$59,MATCH($A146,Documentos!$A$2:$A$59,0)),0)</f>
        <v>1</v>
      </c>
      <c r="I146" s="25">
        <f t="shared" si="2"/>
        <v>0.5</v>
      </c>
      <c r="J146" s="48" t="s">
        <v>1198</v>
      </c>
      <c r="K146" s="48" t="s">
        <v>51</v>
      </c>
    </row>
    <row r="147" spans="1:11">
      <c r="A147" s="19" t="s">
        <v>139</v>
      </c>
      <c r="B147" s="22" t="str">
        <f>IFERROR(INDEX(Documentos!$B$2:$B$59,MATCH($A147,Documentos!$A$2:$A$59,0)),"")</f>
        <v xml:space="preserve">Nota Técnica Términos de Referencia (ToR)
</v>
      </c>
      <c r="C147" s="18" t="s">
        <v>701</v>
      </c>
      <c r="D147" s="4" t="str">
        <f>IFERROR(INDEX('Criterios GISTM'!$D$2:$D$222,MATCH($C147,'Criterios GISTM'!$A$2:$A$222,0)),"")</f>
        <v>Principio 08</v>
      </c>
      <c r="E147" s="4" t="str">
        <f>IFERROR(INDEX('Criterios GISTM'!$H$2:$H$222,MATCH($C147,'Criterios GISTM'!$A$2:$A$222,0)),"")</f>
        <v xml:space="preserve"> 8.7 - A</v>
      </c>
      <c r="F147" s="16">
        <v>1</v>
      </c>
      <c r="G147" s="46">
        <f>IFERROR(INDEX('Criterios GISTM'!$J$2:$J$222,MATCH($C147,'Criterios GISTM'!$A$2:$A$222,0)),0)</f>
        <v>0.2</v>
      </c>
      <c r="H147" s="24">
        <f>IFERROR(INDEX(Documentos!$F$2:$F$59,MATCH($A147,Documentos!$A$2:$A$59,0)),0)</f>
        <v>0.7</v>
      </c>
      <c r="I147" s="25">
        <f t="shared" si="2"/>
        <v>0.13999999999999999</v>
      </c>
      <c r="J147" s="48" t="s">
        <v>1199</v>
      </c>
      <c r="K147" s="48" t="s">
        <v>51</v>
      </c>
    </row>
    <row r="148" spans="1:11">
      <c r="A148" s="19" t="s">
        <v>139</v>
      </c>
      <c r="B148" s="22" t="str">
        <f>IFERROR(INDEX(Documentos!$B$2:$B$59,MATCH($A148,Documentos!$A$2:$A$59,0)),"")</f>
        <v xml:space="preserve">Nota Técnica Términos de Referencia (ToR)
</v>
      </c>
      <c r="C148" s="18" t="s">
        <v>706</v>
      </c>
      <c r="D148" s="4" t="str">
        <f>IFERROR(INDEX('Criterios GISTM'!$D$2:$D$222,MATCH($C148,'Criterios GISTM'!$A$2:$A$222,0)),"")</f>
        <v>Principio 08</v>
      </c>
      <c r="E148" s="4" t="str">
        <f>IFERROR(INDEX('Criterios GISTM'!$H$2:$H$222,MATCH($C148,'Criterios GISTM'!$A$2:$A$222,0)),"")</f>
        <v xml:space="preserve"> 8.7 - B</v>
      </c>
      <c r="F148" s="16">
        <v>1</v>
      </c>
      <c r="G148" s="46">
        <f>IFERROR(INDEX('Criterios GISTM'!$J$2:$J$222,MATCH($C148,'Criterios GISTM'!$A$2:$A$222,0)),0)</f>
        <v>0.2</v>
      </c>
      <c r="H148" s="24">
        <f>IFERROR(INDEX(Documentos!$F$2:$F$59,MATCH($A148,Documentos!$A$2:$A$59,0)),0)</f>
        <v>0.7</v>
      </c>
      <c r="I148" s="25">
        <f t="shared" si="2"/>
        <v>0.13999999999999999</v>
      </c>
      <c r="J148" s="48" t="s">
        <v>1200</v>
      </c>
      <c r="K148" s="48" t="s">
        <v>51</v>
      </c>
    </row>
    <row r="149" spans="1:11">
      <c r="A149" s="19" t="s">
        <v>141</v>
      </c>
      <c r="B149" s="22" t="str">
        <f>IFERROR(INDEX(Documentos!$B$2:$B$59,MATCH($A149,Documentos!$A$2:$A$59,0)),"")</f>
        <v>Carta / Declaración de no conflicto de intereses.</v>
      </c>
      <c r="C149" s="18" t="s">
        <v>709</v>
      </c>
      <c r="D149" s="4" t="str">
        <f>IFERROR(INDEX('Criterios GISTM'!$D$2:$D$222,MATCH($C149,'Criterios GISTM'!$A$2:$A$222,0)),"")</f>
        <v>Principio 08</v>
      </c>
      <c r="E149" s="4" t="str">
        <f>IFERROR(INDEX('Criterios GISTM'!$H$2:$H$222,MATCH($C149,'Criterios GISTM'!$A$2:$A$222,0)),"")</f>
        <v xml:space="preserve"> 8.7 - C</v>
      </c>
      <c r="F149" s="16">
        <v>1</v>
      </c>
      <c r="G149" s="46">
        <f>IFERROR(INDEX('Criterios GISTM'!$J$2:$J$222,MATCH($C149,'Criterios GISTM'!$A$2:$A$222,0)),0)</f>
        <v>0.2</v>
      </c>
      <c r="H149" s="24">
        <f>IFERROR(INDEX(Documentos!$F$2:$F$59,MATCH($A149,Documentos!$A$2:$A$59,0)),0)</f>
        <v>0.2</v>
      </c>
      <c r="I149" s="25">
        <f t="shared" si="2"/>
        <v>4.0000000000000008E-2</v>
      </c>
      <c r="J149" s="48" t="s">
        <v>1201</v>
      </c>
      <c r="K149" s="48" t="s">
        <v>51</v>
      </c>
    </row>
    <row r="150" spans="1:11">
      <c r="A150" s="19" t="s">
        <v>135</v>
      </c>
      <c r="B150" s="22" t="str">
        <f>IFERROR(INDEX(Documentos!$B$2:$B$59,MATCH($A150,Documentos!$A$2:$A$59,0)),"")</f>
        <v>Plan de sucesión</v>
      </c>
      <c r="C150" s="18" t="s">
        <v>709</v>
      </c>
      <c r="D150" s="4" t="str">
        <f>IFERROR(INDEX('Criterios GISTM'!$D$2:$D$222,MATCH($C150,'Criterios GISTM'!$A$2:$A$222,0)),"")</f>
        <v>Principio 08</v>
      </c>
      <c r="E150" s="4" t="str">
        <f>IFERROR(INDEX('Criterios GISTM'!$H$2:$H$222,MATCH($C150,'Criterios GISTM'!$A$2:$A$222,0)),"")</f>
        <v xml:space="preserve"> 8.7 - C</v>
      </c>
      <c r="F150" s="16">
        <v>1</v>
      </c>
      <c r="G150" s="46">
        <f>IFERROR(INDEX('Criterios GISTM'!$J$2:$J$222,MATCH($C150,'Criterios GISTM'!$A$2:$A$222,0)),0)</f>
        <v>0.2</v>
      </c>
      <c r="H150" s="24">
        <f>IFERROR(INDEX(Documentos!$F$2:$F$59,MATCH($A150,Documentos!$A$2:$A$59,0)),0)</f>
        <v>1</v>
      </c>
      <c r="I150" s="25">
        <f t="shared" si="2"/>
        <v>0.2</v>
      </c>
      <c r="J150" s="48" t="s">
        <v>1202</v>
      </c>
      <c r="K150" s="48" t="s">
        <v>51</v>
      </c>
    </row>
    <row r="151" spans="1:11">
      <c r="A151" s="19" t="s">
        <v>139</v>
      </c>
      <c r="B151" s="22" t="str">
        <f>IFERROR(INDEX(Documentos!$B$2:$B$59,MATCH($A151,Documentos!$A$2:$A$59,0)),"")</f>
        <v xml:space="preserve">Nota Técnica Términos de Referencia (ToR)
</v>
      </c>
      <c r="C151" s="18" t="s">
        <v>712</v>
      </c>
      <c r="D151" s="4" t="str">
        <f>IFERROR(INDEX('Criterios GISTM'!$D$2:$D$222,MATCH($C151,'Criterios GISTM'!$A$2:$A$222,0)),"")</f>
        <v>Principio 08</v>
      </c>
      <c r="E151" s="4" t="str">
        <f>IFERROR(INDEX('Criterios GISTM'!$H$2:$H$222,MATCH($C151,'Criterios GISTM'!$A$2:$A$222,0)),"")</f>
        <v xml:space="preserve"> 8.7 - D</v>
      </c>
      <c r="F151" s="16">
        <v>1</v>
      </c>
      <c r="G151" s="46">
        <f>IFERROR(INDEX('Criterios GISTM'!$J$2:$J$222,MATCH($C151,'Criterios GISTM'!$A$2:$A$222,0)),0)</f>
        <v>0.2</v>
      </c>
      <c r="H151" s="24">
        <f>IFERROR(INDEX(Documentos!$F$2:$F$59,MATCH($A151,Documentos!$A$2:$A$59,0)),0)</f>
        <v>0.7</v>
      </c>
      <c r="I151" s="25">
        <f t="shared" si="2"/>
        <v>0.13999999999999999</v>
      </c>
      <c r="J151" s="48" t="s">
        <v>1203</v>
      </c>
      <c r="K151" s="48" t="s">
        <v>51</v>
      </c>
    </row>
    <row r="152" spans="1:11">
      <c r="A152" s="19" t="s">
        <v>143</v>
      </c>
      <c r="B152" s="22" t="str">
        <f>IFERROR(INDEX(Documentos!$B$2:$B$59,MATCH($A152,Documentos!$A$2:$A$59,0)),"")</f>
        <v>Carta de Asignación EoR</v>
      </c>
      <c r="C152" s="18" t="s">
        <v>715</v>
      </c>
      <c r="D152" s="4" t="str">
        <f>IFERROR(INDEX('Criterios GISTM'!$D$2:$D$222,MATCH($C152,'Criterios GISTM'!$A$2:$A$222,0)),"")</f>
        <v>Principio 08</v>
      </c>
      <c r="E152" s="4" t="str">
        <f>IFERROR(INDEX('Criterios GISTM'!$H$2:$H$222,MATCH($C152,'Criterios GISTM'!$A$2:$A$222,0)),"")</f>
        <v xml:space="preserve"> 8.7 - E</v>
      </c>
      <c r="F152" s="16">
        <v>1</v>
      </c>
      <c r="G152" s="46">
        <f>IFERROR(INDEX('Criterios GISTM'!$J$2:$J$222,MATCH($C152,'Criterios GISTM'!$A$2:$A$222,0)),0)</f>
        <v>0.2</v>
      </c>
      <c r="H152" s="24">
        <f>IFERROR(INDEX(Documentos!$F$2:$F$59,MATCH($A152,Documentos!$A$2:$A$59,0)),0)</f>
        <v>0.2</v>
      </c>
      <c r="I152" s="25">
        <f t="shared" si="2"/>
        <v>4.0000000000000008E-2</v>
      </c>
      <c r="J152" s="48" t="s">
        <v>1204</v>
      </c>
      <c r="K152" s="48" t="s">
        <v>51</v>
      </c>
    </row>
    <row r="153" spans="1:11">
      <c r="A153" s="19" t="s">
        <v>145</v>
      </c>
      <c r="B153" s="22" t="str">
        <f>IFERROR(INDEX(Documentos!$B$2:$B$59,MATCH($A153,Documentos!$A$2:$A$59,0)),"")</f>
        <v xml:space="preserve">Nota Técnica Incorporación de EoR
</v>
      </c>
      <c r="C153" s="18" t="s">
        <v>718</v>
      </c>
      <c r="D153" s="4" t="str">
        <f>IFERROR(INDEX('Criterios GISTM'!$D$2:$D$222,MATCH($C153,'Criterios GISTM'!$A$2:$A$222,0)),"")</f>
        <v>Principio 09</v>
      </c>
      <c r="E153" s="4" t="str">
        <f>IFERROR(INDEX('Criterios GISTM'!$H$2:$H$222,MATCH($C153,'Criterios GISTM'!$A$2:$A$222,0)),"")</f>
        <v xml:space="preserve"> 9.1 - A</v>
      </c>
      <c r="F153" s="16">
        <v>1</v>
      </c>
      <c r="G153" s="46">
        <f>IFERROR(INDEX('Criterios GISTM'!$J$2:$J$222,MATCH($C153,'Criterios GISTM'!$A$2:$A$222,0)),0)</f>
        <v>0.33333333333333331</v>
      </c>
      <c r="H153" s="24">
        <f>IFERROR(INDEX(Documentos!$F$2:$F$59,MATCH($A153,Documentos!$A$2:$A$59,0)),0)</f>
        <v>1</v>
      </c>
      <c r="I153" s="25">
        <f t="shared" si="2"/>
        <v>0.33333333333333331</v>
      </c>
      <c r="J153" s="48" t="s">
        <v>1205</v>
      </c>
      <c r="K153" s="48" t="s">
        <v>51</v>
      </c>
    </row>
    <row r="154" spans="1:11">
      <c r="A154" s="19" t="s">
        <v>147</v>
      </c>
      <c r="B154" s="22" t="str">
        <f>IFERROR(INDEX(Documentos!$B$2:$B$59,MATCH($A154,Documentos!$A$2:$A$59,0)),"")</f>
        <v>Carta de asignación DoR</v>
      </c>
      <c r="C154" s="18" t="s">
        <v>725</v>
      </c>
      <c r="D154" s="4" t="str">
        <f>IFERROR(INDEX('Criterios GISTM'!$D$2:$D$222,MATCH($C154,'Criterios GISTM'!$A$2:$A$222,0)),"")</f>
        <v>Principio 09</v>
      </c>
      <c r="E154" s="4" t="str">
        <f>IFERROR(INDEX('Criterios GISTM'!$H$2:$H$222,MATCH($C154,'Criterios GISTM'!$A$2:$A$222,0)),"")</f>
        <v xml:space="preserve"> 9.1 - B</v>
      </c>
      <c r="F154" s="16">
        <v>1</v>
      </c>
      <c r="G154" s="46">
        <f>IFERROR(INDEX('Criterios GISTM'!$J$2:$J$222,MATCH($C154,'Criterios GISTM'!$A$2:$A$222,0)),0)</f>
        <v>0.33333333333333331</v>
      </c>
      <c r="H154" s="24">
        <f>IFERROR(INDEX(Documentos!$F$2:$F$59,MATCH($A154,Documentos!$A$2:$A$59,0)),0)</f>
        <v>1</v>
      </c>
      <c r="I154" s="25">
        <f t="shared" si="2"/>
        <v>0.33333333333333331</v>
      </c>
      <c r="J154" s="48" t="s">
        <v>1206</v>
      </c>
      <c r="K154" s="48" t="s">
        <v>51</v>
      </c>
    </row>
    <row r="155" spans="1:11">
      <c r="A155" s="19" t="s">
        <v>149</v>
      </c>
      <c r="B155" s="22" t="str">
        <f>IFERROR(INDEX(Documentos!$B$2:$B$59,MATCH($A155,Documentos!$A$2:$A$59,0)),"")</f>
        <v>Programa para la Ingeniería de Registro</v>
      </c>
      <c r="C155" s="18" t="s">
        <v>728</v>
      </c>
      <c r="D155" s="4" t="str">
        <f>IFERROR(INDEX('Criterios GISTM'!$D$2:$D$222,MATCH($C155,'Criterios GISTM'!$A$2:$A$222,0)),"")</f>
        <v>Principio 09</v>
      </c>
      <c r="E155" s="4" t="str">
        <f>IFERROR(INDEX('Criterios GISTM'!$H$2:$H$222,MATCH($C155,'Criterios GISTM'!$A$2:$A$222,0)),"")</f>
        <v xml:space="preserve"> 9.1 - C</v>
      </c>
      <c r="F155" s="16">
        <v>1</v>
      </c>
      <c r="G155" s="46">
        <f>IFERROR(INDEX('Criterios GISTM'!$J$2:$J$222,MATCH($C155,'Criterios GISTM'!$A$2:$A$222,0)),0)</f>
        <v>0.33333333333333331</v>
      </c>
      <c r="H155" s="24">
        <f>IFERROR(INDEX(Documentos!$F$2:$F$59,MATCH($A155,Documentos!$A$2:$A$59,0)),0)</f>
        <v>1</v>
      </c>
      <c r="I155" s="25">
        <f t="shared" si="2"/>
        <v>0.33333333333333331</v>
      </c>
      <c r="J155" s="48" t="s">
        <v>1207</v>
      </c>
      <c r="K155" s="48" t="s">
        <v>51</v>
      </c>
    </row>
    <row r="156" spans="1:11">
      <c r="A156" s="19" t="s">
        <v>145</v>
      </c>
      <c r="B156" s="22" t="str">
        <f>IFERROR(INDEX(Documentos!$B$2:$B$59,MATCH($A156,Documentos!$A$2:$A$59,0)),"")</f>
        <v xml:space="preserve">Nota Técnica Incorporación de EoR
</v>
      </c>
      <c r="C156" s="18" t="s">
        <v>731</v>
      </c>
      <c r="D156" s="4" t="str">
        <f>IFERROR(INDEX('Criterios GISTM'!$D$2:$D$222,MATCH($C156,'Criterios GISTM'!$A$2:$A$222,0)),"")</f>
        <v>Principio 09</v>
      </c>
      <c r="E156" s="4" t="str">
        <f>IFERROR(INDEX('Criterios GISTM'!$H$2:$H$222,MATCH($C156,'Criterios GISTM'!$A$2:$A$222,0)),"")</f>
        <v xml:space="preserve"> 9.2 - A</v>
      </c>
      <c r="F156" s="16">
        <v>1</v>
      </c>
      <c r="G156" s="46">
        <f>IFERROR(INDEX('Criterios GISTM'!$J$2:$J$222,MATCH($C156,'Criterios GISTM'!$A$2:$A$222,0)),0)</f>
        <v>0.33333333333333331</v>
      </c>
      <c r="H156" s="24">
        <f>IFERROR(INDEX(Documentos!$F$2:$F$59,MATCH($A156,Documentos!$A$2:$A$59,0)),0)</f>
        <v>1</v>
      </c>
      <c r="I156" s="25">
        <f t="shared" si="2"/>
        <v>0.33333333333333331</v>
      </c>
      <c r="J156" s="48" t="s">
        <v>1208</v>
      </c>
      <c r="K156" s="48" t="s">
        <v>51</v>
      </c>
    </row>
    <row r="157" spans="1:11">
      <c r="A157" s="19" t="s">
        <v>145</v>
      </c>
      <c r="B157" s="22" t="str">
        <f>IFERROR(INDEX(Documentos!$B$2:$B$59,MATCH($A157,Documentos!$A$2:$A$59,0)),"")</f>
        <v xml:space="preserve">Nota Técnica Incorporación de EoR
</v>
      </c>
      <c r="C157" s="18" t="s">
        <v>736</v>
      </c>
      <c r="D157" s="4" t="str">
        <f>IFERROR(INDEX('Criterios GISTM'!$D$2:$D$222,MATCH($C157,'Criterios GISTM'!$A$2:$A$222,0)),"")</f>
        <v>Principio 09</v>
      </c>
      <c r="E157" s="4" t="str">
        <f>IFERROR(INDEX('Criterios GISTM'!$H$2:$H$222,MATCH($C157,'Criterios GISTM'!$A$2:$A$222,0)),"")</f>
        <v xml:space="preserve"> 9.2 - B</v>
      </c>
      <c r="F157" s="16">
        <v>1</v>
      </c>
      <c r="G157" s="46">
        <f>IFERROR(INDEX('Criterios GISTM'!$J$2:$J$222,MATCH($C157,'Criterios GISTM'!$A$2:$A$222,0)),0)</f>
        <v>0.33333333333333331</v>
      </c>
      <c r="H157" s="24">
        <f>IFERROR(INDEX(Documentos!$F$2:$F$59,MATCH($A157,Documentos!$A$2:$A$59,0)),0)</f>
        <v>1</v>
      </c>
      <c r="I157" s="25">
        <f t="shared" si="2"/>
        <v>0.33333333333333331</v>
      </c>
      <c r="J157" s="48" t="s">
        <v>1209</v>
      </c>
      <c r="K157" s="48" t="s">
        <v>51</v>
      </c>
    </row>
    <row r="158" spans="1:11">
      <c r="A158" s="19" t="s">
        <v>145</v>
      </c>
      <c r="B158" s="22" t="str">
        <f>IFERROR(INDEX(Documentos!$B$2:$B$59,MATCH($A158,Documentos!$A$2:$A$59,0)),"")</f>
        <v xml:space="preserve">Nota Técnica Incorporación de EoR
</v>
      </c>
      <c r="C158" s="18" t="s">
        <v>739</v>
      </c>
      <c r="D158" s="4" t="str">
        <f>IFERROR(INDEX('Criterios GISTM'!$D$2:$D$222,MATCH($C158,'Criterios GISTM'!$A$2:$A$222,0)),"")</f>
        <v>Principio 09</v>
      </c>
      <c r="E158" s="4" t="str">
        <f>IFERROR(INDEX('Criterios GISTM'!$H$2:$H$222,MATCH($C158,'Criterios GISTM'!$A$2:$A$222,0)),"")</f>
        <v xml:space="preserve"> 9.2 - C</v>
      </c>
      <c r="F158" s="16">
        <v>1</v>
      </c>
      <c r="G158" s="46">
        <f>IFERROR(INDEX('Criterios GISTM'!$J$2:$J$222,MATCH($C158,'Criterios GISTM'!$A$2:$A$222,0)),0)</f>
        <v>0.33333333333333331</v>
      </c>
      <c r="H158" s="24">
        <f>IFERROR(INDEX(Documentos!$F$2:$F$59,MATCH($A158,Documentos!$A$2:$A$59,0)),0)</f>
        <v>1</v>
      </c>
      <c r="I158" s="25">
        <f t="shared" si="2"/>
        <v>0.33333333333333331</v>
      </c>
      <c r="J158" s="48" t="s">
        <v>1210</v>
      </c>
      <c r="K158" s="48" t="s">
        <v>51</v>
      </c>
    </row>
    <row r="159" spans="1:11">
      <c r="A159" s="19" t="s">
        <v>151</v>
      </c>
      <c r="B159" s="22" t="str">
        <f>IFERROR(INDEX(Documentos!$B$2:$B$59,MATCH($A159,Documentos!$A$2:$A$59,0)),"")</f>
        <v>Matriz Evaluación de Riesgos</v>
      </c>
      <c r="C159" s="18" t="s">
        <v>742</v>
      </c>
      <c r="D159" s="4" t="str">
        <f>IFERROR(INDEX('Criterios GISTM'!$D$2:$D$222,MATCH($C159,'Criterios GISTM'!$A$2:$A$222,0)),"")</f>
        <v>Principio 09</v>
      </c>
      <c r="E159" s="4" t="str">
        <f>IFERROR(INDEX('Criterios GISTM'!$H$2:$H$222,MATCH($C159,'Criterios GISTM'!$A$2:$A$222,0)),"")</f>
        <v xml:space="preserve"> 9.3 - A</v>
      </c>
      <c r="F159" s="16">
        <v>1</v>
      </c>
      <c r="G159" s="46">
        <f>IFERROR(INDEX('Criterios GISTM'!$J$2:$J$222,MATCH($C159,'Criterios GISTM'!$A$2:$A$222,0)),0)</f>
        <v>0.33333333333333331</v>
      </c>
      <c r="H159" s="24">
        <f>IFERROR(INDEX(Documentos!$F$2:$F$59,MATCH($A159,Documentos!$A$2:$A$59,0)),0)</f>
        <v>0.7</v>
      </c>
      <c r="I159" s="25">
        <f t="shared" si="2"/>
        <v>0.23333333333333331</v>
      </c>
      <c r="J159" s="48" t="s">
        <v>1211</v>
      </c>
      <c r="K159" s="48" t="s">
        <v>51</v>
      </c>
    </row>
    <row r="160" spans="1:11">
      <c r="A160" s="19" t="s">
        <v>151</v>
      </c>
      <c r="B160" s="22" t="str">
        <f>IFERROR(INDEX(Documentos!$B$2:$B$59,MATCH($A160,Documentos!$A$2:$A$59,0)),"")</f>
        <v>Matriz Evaluación de Riesgos</v>
      </c>
      <c r="C160" s="18" t="s">
        <v>747</v>
      </c>
      <c r="D160" s="4" t="str">
        <f>IFERROR(INDEX('Criterios GISTM'!$D$2:$D$222,MATCH($C160,'Criterios GISTM'!$A$2:$A$222,0)),"")</f>
        <v>Principio 09</v>
      </c>
      <c r="E160" s="4" t="str">
        <f>IFERROR(INDEX('Criterios GISTM'!$H$2:$H$222,MATCH($C160,'Criterios GISTM'!$A$2:$A$222,0)),"")</f>
        <v xml:space="preserve"> 9.3 - B</v>
      </c>
      <c r="F160" s="16">
        <v>1</v>
      </c>
      <c r="G160" s="46">
        <f>IFERROR(INDEX('Criterios GISTM'!$J$2:$J$222,MATCH($C160,'Criterios GISTM'!$A$2:$A$222,0)),0)</f>
        <v>0.33333333333333331</v>
      </c>
      <c r="H160" s="24">
        <f>IFERROR(INDEX(Documentos!$F$2:$F$59,MATCH($A160,Documentos!$A$2:$A$59,0)),0)</f>
        <v>0.7</v>
      </c>
      <c r="I160" s="25">
        <f t="shared" si="2"/>
        <v>0.23333333333333331</v>
      </c>
      <c r="J160" s="48" t="s">
        <v>1212</v>
      </c>
      <c r="K160" s="48" t="s">
        <v>51</v>
      </c>
    </row>
    <row r="161" spans="1:11">
      <c r="A161" s="19" t="s">
        <v>151</v>
      </c>
      <c r="B161" s="22" t="str">
        <f>IFERROR(INDEX(Documentos!$B$2:$B$59,MATCH($A161,Documentos!$A$2:$A$59,0)),"")</f>
        <v>Matriz Evaluación de Riesgos</v>
      </c>
      <c r="C161" s="18" t="s">
        <v>750</v>
      </c>
      <c r="D161" s="4" t="str">
        <f>IFERROR(INDEX('Criterios GISTM'!$D$2:$D$222,MATCH($C161,'Criterios GISTM'!$A$2:$A$222,0)),"")</f>
        <v>Principio 09</v>
      </c>
      <c r="E161" s="4" t="str">
        <f>IFERROR(INDEX('Criterios GISTM'!$H$2:$H$222,MATCH($C161,'Criterios GISTM'!$A$2:$A$222,0)),"")</f>
        <v xml:space="preserve"> 9.3 - C</v>
      </c>
      <c r="F161" s="16">
        <v>1</v>
      </c>
      <c r="G161" s="46">
        <f>IFERROR(INDEX('Criterios GISTM'!$J$2:$J$222,MATCH($C161,'Criterios GISTM'!$A$2:$A$222,0)),0)</f>
        <v>0.33333333333333331</v>
      </c>
      <c r="H161" s="24">
        <f>IFERROR(INDEX(Documentos!$F$2:$F$59,MATCH($A161,Documentos!$A$2:$A$59,0)),0)</f>
        <v>0.7</v>
      </c>
      <c r="I161" s="25">
        <f t="shared" si="2"/>
        <v>0.23333333333333331</v>
      </c>
      <c r="J161" s="48" t="s">
        <v>1213</v>
      </c>
      <c r="K161" s="48" t="s">
        <v>51</v>
      </c>
    </row>
    <row r="162" spans="1:11">
      <c r="A162" s="19" t="s">
        <v>145</v>
      </c>
      <c r="B162" s="22" t="str">
        <f>IFERROR(INDEX(Documentos!$B$2:$B$59,MATCH($A162,Documentos!$A$2:$A$59,0)),"")</f>
        <v xml:space="preserve">Nota Técnica Incorporación de EoR
</v>
      </c>
      <c r="C162" s="18" t="s">
        <v>753</v>
      </c>
      <c r="D162" s="4" t="str">
        <f>IFERROR(INDEX('Criterios GISTM'!$D$2:$D$222,MATCH($C162,'Criterios GISTM'!$A$2:$A$222,0)),"")</f>
        <v>Principio 09</v>
      </c>
      <c r="E162" s="4" t="str">
        <f>IFERROR(INDEX('Criterios GISTM'!$H$2:$H$222,MATCH($C162,'Criterios GISTM'!$A$2:$A$222,0)),"")</f>
        <v xml:space="preserve"> 9.4 - A</v>
      </c>
      <c r="F162" s="16">
        <v>1</v>
      </c>
      <c r="G162" s="46">
        <f>IFERROR(INDEX('Criterios GISTM'!$J$2:$J$222,MATCH($C162,'Criterios GISTM'!$A$2:$A$222,0)),0)</f>
        <v>0.33333333333333331</v>
      </c>
      <c r="H162" s="24">
        <f>IFERROR(INDEX(Documentos!$F$2:$F$59,MATCH($A162,Documentos!$A$2:$A$59,0)),0)</f>
        <v>1</v>
      </c>
      <c r="I162" s="25">
        <f t="shared" si="2"/>
        <v>0.33333333333333331</v>
      </c>
      <c r="J162" s="48" t="s">
        <v>1214</v>
      </c>
      <c r="K162" s="48" t="s">
        <v>51</v>
      </c>
    </row>
    <row r="163" spans="1:11">
      <c r="A163" s="19" t="s">
        <v>145</v>
      </c>
      <c r="B163" s="22" t="str">
        <f>IFERROR(INDEX(Documentos!$B$2:$B$59,MATCH($A163,Documentos!$A$2:$A$59,0)),"")</f>
        <v xml:space="preserve">Nota Técnica Incorporación de EoR
</v>
      </c>
      <c r="C163" s="18" t="s">
        <v>758</v>
      </c>
      <c r="D163" s="4" t="str">
        <f>IFERROR(INDEX('Criterios GISTM'!$D$2:$D$222,MATCH($C163,'Criterios GISTM'!$A$2:$A$222,0)),"")</f>
        <v>Principio 09</v>
      </c>
      <c r="E163" s="4" t="str">
        <f>IFERROR(INDEX('Criterios GISTM'!$H$2:$H$222,MATCH($C163,'Criterios GISTM'!$A$2:$A$222,0)),"")</f>
        <v xml:space="preserve"> 9.4 - B</v>
      </c>
      <c r="F163" s="16">
        <v>1</v>
      </c>
      <c r="G163" s="46">
        <f>IFERROR(INDEX('Criterios GISTM'!$J$2:$J$222,MATCH($C163,'Criterios GISTM'!$A$2:$A$222,0)),0)</f>
        <v>0.33333333333333331</v>
      </c>
      <c r="H163" s="24">
        <f>IFERROR(INDEX(Documentos!$F$2:$F$59,MATCH($A163,Documentos!$A$2:$A$59,0)),0)</f>
        <v>1</v>
      </c>
      <c r="I163" s="25">
        <f t="shared" si="2"/>
        <v>0.33333333333333331</v>
      </c>
      <c r="J163" s="48" t="s">
        <v>1215</v>
      </c>
      <c r="K163" s="48" t="s">
        <v>51</v>
      </c>
    </row>
    <row r="164" spans="1:11">
      <c r="A164" s="19" t="s">
        <v>145</v>
      </c>
      <c r="B164" s="22" t="str">
        <f>IFERROR(INDEX(Documentos!$B$2:$B$59,MATCH($A164,Documentos!$A$2:$A$59,0)),"")</f>
        <v xml:space="preserve">Nota Técnica Incorporación de EoR
</v>
      </c>
      <c r="C164" s="18" t="s">
        <v>761</v>
      </c>
      <c r="D164" s="4" t="str">
        <f>IFERROR(INDEX('Criterios GISTM'!$D$2:$D$222,MATCH($C164,'Criterios GISTM'!$A$2:$A$222,0)),"")</f>
        <v>Principio 09</v>
      </c>
      <c r="E164" s="4" t="str">
        <f>IFERROR(INDEX('Criterios GISTM'!$H$2:$H$222,MATCH($C164,'Criterios GISTM'!$A$2:$A$222,0)),"")</f>
        <v xml:space="preserve"> 9.4 - C</v>
      </c>
      <c r="F164" s="16">
        <v>1</v>
      </c>
      <c r="G164" s="46">
        <f>IFERROR(INDEX('Criterios GISTM'!$J$2:$J$222,MATCH($C164,'Criterios GISTM'!$A$2:$A$222,0)),0)</f>
        <v>0.33333333333333331</v>
      </c>
      <c r="H164" s="24">
        <f>IFERROR(INDEX(Documentos!$F$2:$F$59,MATCH($A164,Documentos!$A$2:$A$59,0)),0)</f>
        <v>1</v>
      </c>
      <c r="I164" s="25">
        <f t="shared" si="2"/>
        <v>0.33333333333333331</v>
      </c>
      <c r="J164" s="48" t="s">
        <v>1216</v>
      </c>
      <c r="K164" s="48" t="s">
        <v>51</v>
      </c>
    </row>
    <row r="165" spans="1:11">
      <c r="A165" s="19" t="s">
        <v>137</v>
      </c>
      <c r="B165" s="22" t="str">
        <f>IFERROR(INDEX(Documentos!$B$2:$B$59,MATCH($A165,Documentos!$A$2:$A$59,0)),"")</f>
        <v>Carta de asignación ITRB</v>
      </c>
      <c r="C165" s="18" t="s">
        <v>764</v>
      </c>
      <c r="D165" s="4" t="str">
        <f>IFERROR(INDEX('Criterios GISTM'!$D$2:$D$222,MATCH($C165,'Criterios GISTM'!$A$2:$A$222,0)),"")</f>
        <v>Principio 09</v>
      </c>
      <c r="E165" s="4" t="str">
        <f>IFERROR(INDEX('Criterios GISTM'!$H$2:$H$222,MATCH($C165,'Criterios GISTM'!$A$2:$A$222,0)),"")</f>
        <v xml:space="preserve"> 9.5 - A</v>
      </c>
      <c r="F165" s="16">
        <v>1</v>
      </c>
      <c r="G165" s="46">
        <f>IFERROR(INDEX('Criterios GISTM'!$J$2:$J$222,MATCH($C165,'Criterios GISTM'!$A$2:$A$222,0)),0)</f>
        <v>0.5</v>
      </c>
      <c r="H165" s="24">
        <f>IFERROR(INDEX(Documentos!$F$2:$F$59,MATCH($A165,Documentos!$A$2:$A$59,0)),0)</f>
        <v>1</v>
      </c>
      <c r="I165" s="25">
        <f t="shared" si="2"/>
        <v>0.5</v>
      </c>
      <c r="J165" s="48" t="s">
        <v>1217</v>
      </c>
      <c r="K165" s="48" t="s">
        <v>51</v>
      </c>
    </row>
    <row r="166" spans="1:11">
      <c r="A166" s="19" t="s">
        <v>137</v>
      </c>
      <c r="B166" s="22" t="str">
        <f>IFERROR(INDEX(Documentos!$B$2:$B$59,MATCH($A166,Documentos!$A$2:$A$59,0)),"")</f>
        <v>Carta de asignación ITRB</v>
      </c>
      <c r="C166" s="18" t="s">
        <v>769</v>
      </c>
      <c r="D166" s="4" t="str">
        <f>IFERROR(INDEX('Criterios GISTM'!$D$2:$D$222,MATCH($C166,'Criterios GISTM'!$A$2:$A$222,0)),"")</f>
        <v>Principio 09</v>
      </c>
      <c r="E166" s="4" t="str">
        <f>IFERROR(INDEX('Criterios GISTM'!$H$2:$H$222,MATCH($C166,'Criterios GISTM'!$A$2:$A$222,0)),"")</f>
        <v xml:space="preserve"> 9.5 - B</v>
      </c>
      <c r="F166" s="16">
        <v>1</v>
      </c>
      <c r="G166" s="46">
        <f>IFERROR(INDEX('Criterios GISTM'!$J$2:$J$222,MATCH($C166,'Criterios GISTM'!$A$2:$A$222,0)),0)</f>
        <v>0.5</v>
      </c>
      <c r="H166" s="24">
        <f>IFERROR(INDEX(Documentos!$F$2:$F$59,MATCH($A166,Documentos!$A$2:$A$59,0)),0)</f>
        <v>1</v>
      </c>
      <c r="I166" s="25">
        <f t="shared" si="2"/>
        <v>0.5</v>
      </c>
      <c r="J166" s="48" t="s">
        <v>1218</v>
      </c>
      <c r="K166" s="48" t="s">
        <v>51</v>
      </c>
    </row>
    <row r="167" spans="1:11">
      <c r="A167" s="19" t="s">
        <v>153</v>
      </c>
      <c r="B167" s="22" t="str">
        <f>IFERROR(INDEX(Documentos!$B$2:$B$59,MATCH($A167,Documentos!$A$2:$A$59,0)),"")</f>
        <v xml:space="preserve">Informe de auditoría Interna
</v>
      </c>
      <c r="C167" s="18" t="s">
        <v>772</v>
      </c>
      <c r="D167" s="4" t="str">
        <f>IFERROR(INDEX('Criterios GISTM'!$D$2:$D$222,MATCH($C167,'Criterios GISTM'!$A$2:$A$222,0)),"")</f>
        <v>Principio 10</v>
      </c>
      <c r="E167" s="4" t="str">
        <f>IFERROR(INDEX('Criterios GISTM'!$H$2:$H$222,MATCH($C167,'Criterios GISTM'!$A$2:$A$222,0)),"")</f>
        <v xml:space="preserve"> 10.1 - A</v>
      </c>
      <c r="F167" s="16">
        <v>1</v>
      </c>
      <c r="G167" s="46">
        <f>IFERROR(INDEX('Criterios GISTM'!$J$2:$J$222,MATCH($C167,'Criterios GISTM'!$A$2:$A$222,0)),0)</f>
        <v>0.16666666666666666</v>
      </c>
      <c r="H167" s="24">
        <f>IFERROR(INDEX(Documentos!$F$2:$F$59,MATCH($A167,Documentos!$A$2:$A$59,0)),0)</f>
        <v>0.4</v>
      </c>
      <c r="I167" s="25">
        <f t="shared" si="2"/>
        <v>6.6666666666666666E-2</v>
      </c>
      <c r="J167" s="48" t="s">
        <v>1219</v>
      </c>
      <c r="K167" s="48" t="s">
        <v>51</v>
      </c>
    </row>
    <row r="168" spans="1:11">
      <c r="A168" s="19" t="s">
        <v>153</v>
      </c>
      <c r="B168" s="22" t="str">
        <f>IFERROR(INDEX(Documentos!$B$2:$B$59,MATCH($A168,Documentos!$A$2:$A$59,0)),"")</f>
        <v xml:space="preserve">Informe de auditoría Interna
</v>
      </c>
      <c r="C168" s="18" t="s">
        <v>779</v>
      </c>
      <c r="D168" s="4" t="str">
        <f>IFERROR(INDEX('Criterios GISTM'!$D$2:$D$222,MATCH($C168,'Criterios GISTM'!$A$2:$A$222,0)),"")</f>
        <v>Principio 10</v>
      </c>
      <c r="E168" s="4" t="str">
        <f>IFERROR(INDEX('Criterios GISTM'!$H$2:$H$222,MATCH($C168,'Criterios GISTM'!$A$2:$A$222,0)),"")</f>
        <v xml:space="preserve"> 10.1 - B</v>
      </c>
      <c r="F168" s="16">
        <v>1</v>
      </c>
      <c r="G168" s="46">
        <f>IFERROR(INDEX('Criterios GISTM'!$J$2:$J$222,MATCH($C168,'Criterios GISTM'!$A$2:$A$222,0)),0)</f>
        <v>0.16666666666666666</v>
      </c>
      <c r="H168" s="24">
        <f>IFERROR(INDEX(Documentos!$F$2:$F$59,MATCH($A168,Documentos!$A$2:$A$59,0)),0)</f>
        <v>0.4</v>
      </c>
      <c r="I168" s="25">
        <f t="shared" si="2"/>
        <v>6.6666666666666666E-2</v>
      </c>
      <c r="J168" s="48" t="s">
        <v>1220</v>
      </c>
      <c r="K168" s="48" t="s">
        <v>51</v>
      </c>
    </row>
    <row r="169" spans="1:11">
      <c r="A169" s="19" t="s">
        <v>153</v>
      </c>
      <c r="B169" s="22" t="str">
        <f>IFERROR(INDEX(Documentos!$B$2:$B$59,MATCH($A169,Documentos!$A$2:$A$59,0)),"")</f>
        <v xml:space="preserve">Informe de auditoría Interna
</v>
      </c>
      <c r="C169" s="18" t="s">
        <v>782</v>
      </c>
      <c r="D169" s="4" t="str">
        <f>IFERROR(INDEX('Criterios GISTM'!$D$2:$D$222,MATCH($C169,'Criterios GISTM'!$A$2:$A$222,0)),"")</f>
        <v>Principio 10</v>
      </c>
      <c r="E169" s="4" t="str">
        <f>IFERROR(INDEX('Criterios GISTM'!$H$2:$H$222,MATCH($C169,'Criterios GISTM'!$A$2:$A$222,0)),"")</f>
        <v xml:space="preserve"> 10.1 - C</v>
      </c>
      <c r="F169" s="16">
        <v>1</v>
      </c>
      <c r="G169" s="46">
        <f>IFERROR(INDEX('Criterios GISTM'!$J$2:$J$222,MATCH($C169,'Criterios GISTM'!$A$2:$A$222,0)),0)</f>
        <v>0.16666666666666666</v>
      </c>
      <c r="H169" s="24">
        <f>IFERROR(INDEX(Documentos!$F$2:$F$59,MATCH($A169,Documentos!$A$2:$A$59,0)),0)</f>
        <v>0.4</v>
      </c>
      <c r="I169" s="25">
        <f t="shared" si="2"/>
        <v>6.6666666666666666E-2</v>
      </c>
      <c r="J169" s="48" t="s">
        <v>1221</v>
      </c>
      <c r="K169" s="48" t="s">
        <v>51</v>
      </c>
    </row>
    <row r="170" spans="1:11">
      <c r="A170" s="19" t="s">
        <v>153</v>
      </c>
      <c r="B170" s="22" t="str">
        <f>IFERROR(INDEX(Documentos!$B$2:$B$59,MATCH($A170,Documentos!$A$2:$A$59,0)),"")</f>
        <v xml:space="preserve">Informe de auditoría Interna
</v>
      </c>
      <c r="C170" s="18" t="s">
        <v>785</v>
      </c>
      <c r="D170" s="4" t="str">
        <f>IFERROR(INDEX('Criterios GISTM'!$D$2:$D$222,MATCH($C170,'Criterios GISTM'!$A$2:$A$222,0)),"")</f>
        <v>Principio 10</v>
      </c>
      <c r="E170" s="4" t="str">
        <f>IFERROR(INDEX('Criterios GISTM'!$H$2:$H$222,MATCH($C170,'Criterios GISTM'!$A$2:$A$222,0)),"")</f>
        <v xml:space="preserve"> 10.1 - D</v>
      </c>
      <c r="F170" s="16">
        <v>1</v>
      </c>
      <c r="G170" s="46">
        <f>IFERROR(INDEX('Criterios GISTM'!$J$2:$J$222,MATCH($C170,'Criterios GISTM'!$A$2:$A$222,0)),0)</f>
        <v>0.16666666666666666</v>
      </c>
      <c r="H170" s="24">
        <f>IFERROR(INDEX(Documentos!$F$2:$F$59,MATCH($A170,Documentos!$A$2:$A$59,0)),0)</f>
        <v>0.4</v>
      </c>
      <c r="I170" s="25">
        <f t="shared" si="2"/>
        <v>6.6666666666666666E-2</v>
      </c>
      <c r="J170" s="48" t="s">
        <v>1222</v>
      </c>
      <c r="K170" s="48" t="s">
        <v>51</v>
      </c>
    </row>
    <row r="171" spans="1:11">
      <c r="A171" s="19" t="s">
        <v>153</v>
      </c>
      <c r="B171" s="22" t="str">
        <f>IFERROR(INDEX(Documentos!$B$2:$B$59,MATCH($A171,Documentos!$A$2:$A$59,0)),"")</f>
        <v xml:space="preserve">Informe de auditoría Interna
</v>
      </c>
      <c r="C171" s="18" t="s">
        <v>788</v>
      </c>
      <c r="D171" s="4" t="str">
        <f>IFERROR(INDEX('Criterios GISTM'!$D$2:$D$222,MATCH($C171,'Criterios GISTM'!$A$2:$A$222,0)),"")</f>
        <v>Principio 10</v>
      </c>
      <c r="E171" s="4" t="str">
        <f>IFERROR(INDEX('Criterios GISTM'!$H$2:$H$222,MATCH($C171,'Criterios GISTM'!$A$2:$A$222,0)),"")</f>
        <v xml:space="preserve"> 10.1 - E</v>
      </c>
      <c r="F171" s="16">
        <v>1</v>
      </c>
      <c r="G171" s="46">
        <f>IFERROR(INDEX('Criterios GISTM'!$J$2:$J$222,MATCH($C171,'Criterios GISTM'!$A$2:$A$222,0)),0)</f>
        <v>0.16666666666666666</v>
      </c>
      <c r="H171" s="24">
        <f>IFERROR(INDEX(Documentos!$F$2:$F$59,MATCH($A171,Documentos!$A$2:$A$59,0)),0)</f>
        <v>0.4</v>
      </c>
      <c r="I171" s="25">
        <f t="shared" si="2"/>
        <v>6.6666666666666666E-2</v>
      </c>
      <c r="J171" s="48" t="s">
        <v>1223</v>
      </c>
      <c r="K171" s="48" t="s">
        <v>51</v>
      </c>
    </row>
    <row r="172" spans="1:11">
      <c r="A172" s="19" t="s">
        <v>153</v>
      </c>
      <c r="B172" s="22" t="str">
        <f>IFERROR(INDEX(Documentos!$B$2:$B$59,MATCH($A172,Documentos!$A$2:$A$59,0)),"")</f>
        <v xml:space="preserve">Informe de auditoría Interna
</v>
      </c>
      <c r="C172" s="18" t="s">
        <v>791</v>
      </c>
      <c r="D172" s="4" t="str">
        <f>IFERROR(INDEX('Criterios GISTM'!$D$2:$D$222,MATCH($C172,'Criterios GISTM'!$A$2:$A$222,0)),"")</f>
        <v>Principio 10</v>
      </c>
      <c r="E172" s="4" t="str">
        <f>IFERROR(INDEX('Criterios GISTM'!$H$2:$H$222,MATCH($C172,'Criterios GISTM'!$A$2:$A$222,0)),"")</f>
        <v xml:space="preserve"> 10.1 - F</v>
      </c>
      <c r="F172" s="16">
        <v>1</v>
      </c>
      <c r="G172" s="46">
        <f>IFERROR(INDEX('Criterios GISTM'!$J$2:$J$222,MATCH($C172,'Criterios GISTM'!$A$2:$A$222,0)),0)</f>
        <v>0.16666666666666666</v>
      </c>
      <c r="H172" s="24">
        <f>IFERROR(INDEX(Documentos!$F$2:$F$59,MATCH($A172,Documentos!$A$2:$A$59,0)),0)</f>
        <v>0.4</v>
      </c>
      <c r="I172" s="25">
        <f t="shared" si="2"/>
        <v>6.6666666666666666E-2</v>
      </c>
      <c r="J172" s="48" t="s">
        <v>1224</v>
      </c>
      <c r="K172" s="48" t="s">
        <v>51</v>
      </c>
    </row>
    <row r="173" spans="1:11">
      <c r="A173" s="19" t="s">
        <v>155</v>
      </c>
      <c r="B173" s="22" t="str">
        <f>IFERROR(INDEX(Documentos!$B$2:$B$59,MATCH($A173,Documentos!$A$2:$A$59,0)),"")</f>
        <v>Actualización Dam Safety Review (DSR)</v>
      </c>
      <c r="C173" s="18" t="s">
        <v>794</v>
      </c>
      <c r="D173" s="4" t="str">
        <f>IFERROR(INDEX('Criterios GISTM'!$D$2:$D$222,MATCH($C173,'Criterios GISTM'!$A$2:$A$222,0)),"")</f>
        <v>Principio 10</v>
      </c>
      <c r="E173" s="4" t="str">
        <f>IFERROR(INDEX('Criterios GISTM'!$H$2:$H$222,MATCH($C173,'Criterios GISTM'!$A$2:$A$222,0)),"")</f>
        <v xml:space="preserve"> 10.2 - A</v>
      </c>
      <c r="F173" s="16">
        <v>1</v>
      </c>
      <c r="G173" s="46">
        <f>IFERROR(INDEX('Criterios GISTM'!$J$2:$J$222,MATCH($C173,'Criterios GISTM'!$A$2:$A$222,0)),0)</f>
        <v>0.25</v>
      </c>
      <c r="H173" s="24">
        <f>IFERROR(INDEX(Documentos!$F$2:$F$59,MATCH($A173,Documentos!$A$2:$A$59,0)),0)</f>
        <v>1</v>
      </c>
      <c r="I173" s="25">
        <f t="shared" si="2"/>
        <v>0.25</v>
      </c>
      <c r="J173" s="48" t="s">
        <v>1225</v>
      </c>
      <c r="K173" s="48" t="s">
        <v>51</v>
      </c>
    </row>
    <row r="174" spans="1:11">
      <c r="A174" s="19" t="s">
        <v>155</v>
      </c>
      <c r="B174" s="22" t="str">
        <f>IFERROR(INDEX(Documentos!$B$2:$B$59,MATCH($A174,Documentos!$A$2:$A$59,0)),"")</f>
        <v>Actualización Dam Safety Review (DSR)</v>
      </c>
      <c r="C174" s="18" t="s">
        <v>799</v>
      </c>
      <c r="D174" s="4" t="str">
        <f>IFERROR(INDEX('Criterios GISTM'!$D$2:$D$222,MATCH($C174,'Criterios GISTM'!$A$2:$A$222,0)),"")</f>
        <v>Principio 10</v>
      </c>
      <c r="E174" s="4" t="str">
        <f>IFERROR(INDEX('Criterios GISTM'!$H$2:$H$222,MATCH($C174,'Criterios GISTM'!$A$2:$A$222,0)),"")</f>
        <v xml:space="preserve"> 10.2 - B</v>
      </c>
      <c r="F174" s="16">
        <v>1</v>
      </c>
      <c r="G174" s="46">
        <f>IFERROR(INDEX('Criterios GISTM'!$J$2:$J$222,MATCH($C174,'Criterios GISTM'!$A$2:$A$222,0)),0)</f>
        <v>0.25</v>
      </c>
      <c r="H174" s="24">
        <f>IFERROR(INDEX(Documentos!$F$2:$F$59,MATCH($A174,Documentos!$A$2:$A$59,0)),0)</f>
        <v>1</v>
      </c>
      <c r="I174" s="25">
        <f t="shared" si="2"/>
        <v>0.25</v>
      </c>
      <c r="J174" s="48" t="s">
        <v>1226</v>
      </c>
      <c r="K174" s="48" t="s">
        <v>51</v>
      </c>
    </row>
    <row r="175" spans="1:11">
      <c r="A175" s="19" t="s">
        <v>155</v>
      </c>
      <c r="B175" s="22" t="str">
        <f>IFERROR(INDEX(Documentos!$B$2:$B$59,MATCH($A175,Documentos!$A$2:$A$59,0)),"")</f>
        <v>Actualización Dam Safety Review (DSR)</v>
      </c>
      <c r="C175" s="18" t="s">
        <v>802</v>
      </c>
      <c r="D175" s="4" t="str">
        <f>IFERROR(INDEX('Criterios GISTM'!$D$2:$D$222,MATCH($C175,'Criterios GISTM'!$A$2:$A$222,0)),"")</f>
        <v>Principio 10</v>
      </c>
      <c r="E175" s="4" t="str">
        <f>IFERROR(INDEX('Criterios GISTM'!$H$2:$H$222,MATCH($C175,'Criterios GISTM'!$A$2:$A$222,0)),"")</f>
        <v xml:space="preserve"> 10.2 - C</v>
      </c>
      <c r="F175" s="16">
        <v>1</v>
      </c>
      <c r="G175" s="46">
        <f>IFERROR(INDEX('Criterios GISTM'!$J$2:$J$222,MATCH($C175,'Criterios GISTM'!$A$2:$A$222,0)),0)</f>
        <v>0.25</v>
      </c>
      <c r="H175" s="24">
        <f>IFERROR(INDEX(Documentos!$F$2:$F$59,MATCH($A175,Documentos!$A$2:$A$59,0)),0)</f>
        <v>1</v>
      </c>
      <c r="I175" s="25">
        <f t="shared" si="2"/>
        <v>0.25</v>
      </c>
      <c r="J175" s="48" t="s">
        <v>1227</v>
      </c>
      <c r="K175" s="48" t="s">
        <v>51</v>
      </c>
    </row>
    <row r="176" spans="1:11">
      <c r="A176" s="19" t="s">
        <v>155</v>
      </c>
      <c r="B176" s="22" t="str">
        <f>IFERROR(INDEX(Documentos!$B$2:$B$59,MATCH($A176,Documentos!$A$2:$A$59,0)),"")</f>
        <v>Actualización Dam Safety Review (DSR)</v>
      </c>
      <c r="C176" s="18" t="s">
        <v>805</v>
      </c>
      <c r="D176" s="4" t="str">
        <f>IFERROR(INDEX('Criterios GISTM'!$D$2:$D$222,MATCH($C176,'Criterios GISTM'!$A$2:$A$222,0)),"")</f>
        <v>Principio 10</v>
      </c>
      <c r="E176" s="4" t="str">
        <f>IFERROR(INDEX('Criterios GISTM'!$H$2:$H$222,MATCH($C176,'Criterios GISTM'!$A$2:$A$222,0)),"")</f>
        <v xml:space="preserve"> 10.2 - D</v>
      </c>
      <c r="F176" s="16">
        <v>1</v>
      </c>
      <c r="G176" s="46">
        <f>IFERROR(INDEX('Criterios GISTM'!$J$2:$J$222,MATCH($C176,'Criterios GISTM'!$A$2:$A$222,0)),0)</f>
        <v>0.25</v>
      </c>
      <c r="H176" s="24">
        <f>IFERROR(INDEX(Documentos!$F$2:$F$59,MATCH($A176,Documentos!$A$2:$A$59,0)),0)</f>
        <v>1</v>
      </c>
      <c r="I176" s="25">
        <f t="shared" si="2"/>
        <v>0.25</v>
      </c>
      <c r="J176" s="48" t="s">
        <v>1228</v>
      </c>
      <c r="K176" s="48" t="s">
        <v>51</v>
      </c>
    </row>
    <row r="177" spans="1:11">
      <c r="A177" s="19" t="s">
        <v>155</v>
      </c>
      <c r="B177" s="22" t="str">
        <f>IFERROR(INDEX(Documentos!$B$2:$B$59,MATCH($A177,Documentos!$A$2:$A$59,0)),"")</f>
        <v>Actualización Dam Safety Review (DSR)</v>
      </c>
      <c r="C177" s="18" t="s">
        <v>808</v>
      </c>
      <c r="D177" s="4" t="str">
        <f>IFERROR(INDEX('Criterios GISTM'!$D$2:$D$222,MATCH($C177,'Criterios GISTM'!$A$2:$A$222,0)),"")</f>
        <v>Principio 10</v>
      </c>
      <c r="E177" s="4" t="str">
        <f>IFERROR(INDEX('Criterios GISTM'!$H$2:$H$222,MATCH($C177,'Criterios GISTM'!$A$2:$A$222,0)),"")</f>
        <v xml:space="preserve"> 10.3 - A</v>
      </c>
      <c r="F177" s="16">
        <v>1</v>
      </c>
      <c r="G177" s="46">
        <f>IFERROR(INDEX('Criterios GISTM'!$J$2:$J$222,MATCH($C177,'Criterios GISTM'!$A$2:$A$222,0)),0)</f>
        <v>1</v>
      </c>
      <c r="H177" s="24">
        <f>IFERROR(INDEX(Documentos!$F$2:$F$59,MATCH($A177,Documentos!$A$2:$A$59,0)),0)</f>
        <v>1</v>
      </c>
      <c r="I177" s="25">
        <f t="shared" si="2"/>
        <v>1</v>
      </c>
      <c r="J177" s="48" t="s">
        <v>1229</v>
      </c>
      <c r="K177" s="48" t="s">
        <v>51</v>
      </c>
    </row>
    <row r="178" spans="1:11">
      <c r="A178" s="19" t="s">
        <v>90</v>
      </c>
      <c r="B178" s="22" t="str">
        <f>IFERROR(INDEX(Documentos!$B$2:$B$59,MATCH($A178,Documentos!$A$2:$A$59,0)),"")</f>
        <v>Informe Anual de Desempeño del Depósito</v>
      </c>
      <c r="C178" s="18" t="s">
        <v>813</v>
      </c>
      <c r="D178" s="4" t="str">
        <f>IFERROR(INDEX('Criterios GISTM'!$D$2:$D$222,MATCH($C178,'Criterios GISTM'!$A$2:$A$222,0)),"")</f>
        <v>Principio 10</v>
      </c>
      <c r="E178" s="4" t="str">
        <f>IFERROR(INDEX('Criterios GISTM'!$H$2:$H$222,MATCH($C178,'Criterios GISTM'!$A$2:$A$222,0)),"")</f>
        <v xml:space="preserve"> 10.4 - A</v>
      </c>
      <c r="F178" s="16">
        <v>1</v>
      </c>
      <c r="G178" s="46">
        <f>IFERROR(INDEX('Criterios GISTM'!$J$2:$J$222,MATCH($C178,'Criterios GISTM'!$A$2:$A$222,0)),0)</f>
        <v>0.5</v>
      </c>
      <c r="H178" s="24">
        <f>IFERROR(INDEX(Documentos!$F$2:$F$59,MATCH($A178,Documentos!$A$2:$A$59,0)),0)</f>
        <v>0.7</v>
      </c>
      <c r="I178" s="25">
        <f t="shared" si="2"/>
        <v>0.35</v>
      </c>
      <c r="J178" s="48" t="s">
        <v>1230</v>
      </c>
      <c r="K178" s="48" t="s">
        <v>51</v>
      </c>
    </row>
    <row r="179" spans="1:11">
      <c r="A179" s="19" t="s">
        <v>90</v>
      </c>
      <c r="B179" s="22" t="str">
        <f>IFERROR(INDEX(Documentos!$B$2:$B$59,MATCH($A179,Documentos!$A$2:$A$59,0)),"")</f>
        <v>Informe Anual de Desempeño del Depósito</v>
      </c>
      <c r="C179" s="18" t="s">
        <v>818</v>
      </c>
      <c r="D179" s="4" t="str">
        <f>IFERROR(INDEX('Criterios GISTM'!$D$2:$D$222,MATCH($C179,'Criterios GISTM'!$A$2:$A$222,0)),"")</f>
        <v>Principio 10</v>
      </c>
      <c r="E179" s="4" t="str">
        <f>IFERROR(INDEX('Criterios GISTM'!$H$2:$H$222,MATCH($C179,'Criterios GISTM'!$A$2:$A$222,0)),"")</f>
        <v xml:space="preserve"> 10.4 - B</v>
      </c>
      <c r="F179" s="16">
        <v>1</v>
      </c>
      <c r="G179" s="46">
        <f>IFERROR(INDEX('Criterios GISTM'!$J$2:$J$222,MATCH($C179,'Criterios GISTM'!$A$2:$A$222,0)),0)</f>
        <v>0.5</v>
      </c>
      <c r="H179" s="24">
        <f>IFERROR(INDEX(Documentos!$F$2:$F$59,MATCH($A179,Documentos!$A$2:$A$59,0)),0)</f>
        <v>0.7</v>
      </c>
      <c r="I179" s="25">
        <f t="shared" si="2"/>
        <v>0.35</v>
      </c>
      <c r="J179" s="48" t="s">
        <v>1231</v>
      </c>
      <c r="K179" s="48" t="s">
        <v>51</v>
      </c>
    </row>
    <row r="180" spans="1:11">
      <c r="A180" s="19" t="s">
        <v>158</v>
      </c>
      <c r="B180" s="22" t="str">
        <f>IFERROR(INDEX(Documentos!$B$2:$B$59,MATCH($A180,Documentos!$A$2:$A$59,0)),"")</f>
        <v>Informe de ITRB</v>
      </c>
      <c r="C180" s="18" t="s">
        <v>821</v>
      </c>
      <c r="D180" s="4" t="str">
        <f>IFERROR(INDEX('Criterios GISTM'!$D$2:$D$222,MATCH($C180,'Criterios GISTM'!$A$2:$A$222,0)),"")</f>
        <v>Principio 10</v>
      </c>
      <c r="E180" s="4" t="str">
        <f>IFERROR(INDEX('Criterios GISTM'!$H$2:$H$222,MATCH($C180,'Criterios GISTM'!$A$2:$A$222,0)),"")</f>
        <v xml:space="preserve"> 10.5 - A</v>
      </c>
      <c r="F180" s="16">
        <v>1</v>
      </c>
      <c r="G180" s="46">
        <f>IFERROR(INDEX('Criterios GISTM'!$J$2:$J$222,MATCH($C180,'Criterios GISTM'!$A$2:$A$222,0)),0)</f>
        <v>0.25</v>
      </c>
      <c r="H180" s="24">
        <f>IFERROR(INDEX(Documentos!$F$2:$F$59,MATCH($A180,Documentos!$A$2:$A$59,0)),0)</f>
        <v>1</v>
      </c>
      <c r="I180" s="25">
        <f t="shared" si="2"/>
        <v>0.25</v>
      </c>
      <c r="J180" s="48" t="s">
        <v>1232</v>
      </c>
      <c r="K180" s="48" t="s">
        <v>51</v>
      </c>
    </row>
    <row r="181" spans="1:11">
      <c r="A181" s="19" t="s">
        <v>158</v>
      </c>
      <c r="B181" s="22" t="str">
        <f>IFERROR(INDEX(Documentos!$B$2:$B$59,MATCH($A181,Documentos!$A$2:$A$59,0)),"")</f>
        <v>Informe de ITRB</v>
      </c>
      <c r="C181" s="18" t="s">
        <v>826</v>
      </c>
      <c r="D181" s="4" t="str">
        <f>IFERROR(INDEX('Criterios GISTM'!$D$2:$D$222,MATCH($C181,'Criterios GISTM'!$A$2:$A$222,0)),"")</f>
        <v>Principio 10</v>
      </c>
      <c r="E181" s="4" t="str">
        <f>IFERROR(INDEX('Criterios GISTM'!$H$2:$H$222,MATCH($C181,'Criterios GISTM'!$A$2:$A$222,0)),"")</f>
        <v xml:space="preserve"> 10.5 - B</v>
      </c>
      <c r="F181" s="16">
        <v>1</v>
      </c>
      <c r="G181" s="46">
        <f>IFERROR(INDEX('Criterios GISTM'!$J$2:$J$222,MATCH($C181,'Criterios GISTM'!$A$2:$A$222,0)),0)</f>
        <v>0.25</v>
      </c>
      <c r="H181" s="24">
        <f>IFERROR(INDEX(Documentos!$F$2:$F$59,MATCH($A181,Documentos!$A$2:$A$59,0)),0)</f>
        <v>1</v>
      </c>
      <c r="I181" s="25">
        <f t="shared" si="2"/>
        <v>0.25</v>
      </c>
      <c r="J181" s="48" t="s">
        <v>1233</v>
      </c>
      <c r="K181" s="48" t="s">
        <v>51</v>
      </c>
    </row>
    <row r="182" spans="1:11">
      <c r="A182" s="19" t="s">
        <v>158</v>
      </c>
      <c r="B182" s="22" t="str">
        <f>IFERROR(INDEX(Documentos!$B$2:$B$59,MATCH($A182,Documentos!$A$2:$A$59,0)),"")</f>
        <v>Informe de ITRB</v>
      </c>
      <c r="C182" s="18" t="s">
        <v>829</v>
      </c>
      <c r="D182" s="4" t="str">
        <f>IFERROR(INDEX('Criterios GISTM'!$D$2:$D$222,MATCH($C182,'Criterios GISTM'!$A$2:$A$222,0)),"")</f>
        <v>Principio 10</v>
      </c>
      <c r="E182" s="4" t="str">
        <f>IFERROR(INDEX('Criterios GISTM'!$H$2:$H$222,MATCH($C182,'Criterios GISTM'!$A$2:$A$222,0)),"")</f>
        <v xml:space="preserve"> 10.5 - C</v>
      </c>
      <c r="F182" s="16">
        <v>1</v>
      </c>
      <c r="G182" s="46">
        <f>IFERROR(INDEX('Criterios GISTM'!$J$2:$J$222,MATCH($C182,'Criterios GISTM'!$A$2:$A$222,0)),0)</f>
        <v>0.25</v>
      </c>
      <c r="H182" s="24">
        <f>IFERROR(INDEX(Documentos!$F$2:$F$59,MATCH($A182,Documentos!$A$2:$A$59,0)),0)</f>
        <v>1</v>
      </c>
      <c r="I182" s="25">
        <f t="shared" si="2"/>
        <v>0.25</v>
      </c>
      <c r="J182" s="48" t="s">
        <v>1234</v>
      </c>
      <c r="K182" s="48" t="s">
        <v>51</v>
      </c>
    </row>
    <row r="183" spans="1:11">
      <c r="A183" s="19" t="s">
        <v>158</v>
      </c>
      <c r="B183" s="22" t="str">
        <f>IFERROR(INDEX(Documentos!$B$2:$B$59,MATCH($A183,Documentos!$A$2:$A$59,0)),"")</f>
        <v>Informe de ITRB</v>
      </c>
      <c r="C183" s="18" t="s">
        <v>832</v>
      </c>
      <c r="D183" s="4" t="str">
        <f>IFERROR(INDEX('Criterios GISTM'!$D$2:$D$222,MATCH($C183,'Criterios GISTM'!$A$2:$A$222,0)),"")</f>
        <v>Principio 10</v>
      </c>
      <c r="E183" s="4" t="str">
        <f>IFERROR(INDEX('Criterios GISTM'!$H$2:$H$222,MATCH($C183,'Criterios GISTM'!$A$2:$A$222,0)),"")</f>
        <v xml:space="preserve"> 10.5 - D</v>
      </c>
      <c r="F183" s="16">
        <v>1</v>
      </c>
      <c r="G183" s="46">
        <f>IFERROR(INDEX('Criterios GISTM'!$J$2:$J$222,MATCH($C183,'Criterios GISTM'!$A$2:$A$222,0)),0)</f>
        <v>0.25</v>
      </c>
      <c r="H183" s="24">
        <f>IFERROR(INDEX(Documentos!$F$2:$F$59,MATCH($A183,Documentos!$A$2:$A$59,0)),0)</f>
        <v>1</v>
      </c>
      <c r="I183" s="25">
        <f t="shared" si="2"/>
        <v>0.25</v>
      </c>
      <c r="J183" s="48" t="s">
        <v>1235</v>
      </c>
      <c r="K183" s="48" t="s">
        <v>51</v>
      </c>
    </row>
    <row r="184" spans="1:11">
      <c r="A184" s="19" t="s">
        <v>160</v>
      </c>
      <c r="B184" s="22" t="str">
        <f>IFERROR(INDEX(Documentos!$B$2:$B$59,MATCH($A184,Documentos!$A$2:$A$59,0)),"")</f>
        <v>Procedimiento de Involucramiento del Personal</v>
      </c>
      <c r="C184" s="18" t="s">
        <v>835</v>
      </c>
      <c r="D184" s="4" t="str">
        <f>IFERROR(INDEX('Criterios GISTM'!$D$2:$D$222,MATCH($C184,'Criterios GISTM'!$A$2:$A$222,0)),"")</f>
        <v>Principio 10</v>
      </c>
      <c r="E184" s="4" t="str">
        <f>IFERROR(INDEX('Criterios GISTM'!$H$2:$H$222,MATCH($C184,'Criterios GISTM'!$A$2:$A$222,0)),"")</f>
        <v xml:space="preserve"> 10.6 - A</v>
      </c>
      <c r="F184" s="16">
        <v>1</v>
      </c>
      <c r="G184" s="46">
        <f>IFERROR(INDEX('Criterios GISTM'!$J$2:$J$222,MATCH($C184,'Criterios GISTM'!$A$2:$A$222,0)),0)</f>
        <v>0.33333333333333331</v>
      </c>
      <c r="H184" s="24">
        <f>IFERROR(INDEX(Documentos!$F$2:$F$59,MATCH($A184,Documentos!$A$2:$A$59,0)),0)</f>
        <v>0.7</v>
      </c>
      <c r="I184" s="25">
        <f t="shared" si="2"/>
        <v>0.23333333333333331</v>
      </c>
      <c r="J184" s="48" t="s">
        <v>1236</v>
      </c>
      <c r="K184" s="48" t="s">
        <v>51</v>
      </c>
    </row>
    <row r="185" spans="1:11">
      <c r="A185" s="19" t="s">
        <v>160</v>
      </c>
      <c r="B185" s="22" t="str">
        <f>IFERROR(INDEX(Documentos!$B$2:$B$59,MATCH($A185,Documentos!$A$2:$A$59,0)),"")</f>
        <v>Procedimiento de Involucramiento del Personal</v>
      </c>
      <c r="C185" s="18" t="s">
        <v>840</v>
      </c>
      <c r="D185" s="4" t="str">
        <f>IFERROR(INDEX('Criterios GISTM'!$D$2:$D$222,MATCH($C185,'Criterios GISTM'!$A$2:$A$222,0)),"")</f>
        <v>Principio 10</v>
      </c>
      <c r="E185" s="4" t="str">
        <f>IFERROR(INDEX('Criterios GISTM'!$H$2:$H$222,MATCH($C185,'Criterios GISTM'!$A$2:$A$222,0)),"")</f>
        <v xml:space="preserve"> 10.6 - B</v>
      </c>
      <c r="F185" s="16">
        <v>1</v>
      </c>
      <c r="G185" s="46">
        <f>IFERROR(INDEX('Criterios GISTM'!$J$2:$J$222,MATCH($C185,'Criterios GISTM'!$A$2:$A$222,0)),0)</f>
        <v>0.33333333333333331</v>
      </c>
      <c r="H185" s="24">
        <f>IFERROR(INDEX(Documentos!$F$2:$F$59,MATCH($A185,Documentos!$A$2:$A$59,0)),0)</f>
        <v>0.7</v>
      </c>
      <c r="I185" s="25">
        <f t="shared" si="2"/>
        <v>0.23333333333333331</v>
      </c>
      <c r="J185" s="48" t="s">
        <v>1237</v>
      </c>
      <c r="K185" s="48" t="s">
        <v>51</v>
      </c>
    </row>
    <row r="186" spans="1:11">
      <c r="A186" s="19" t="s">
        <v>106</v>
      </c>
      <c r="B186" s="22" t="str">
        <f>IFERROR(INDEX(Documentos!$B$2:$B$59,MATCH($A186,Documentos!$A$2:$A$59,0)),"")</f>
        <v>Manual Articulador TMS</v>
      </c>
      <c r="C186" s="18" t="s">
        <v>843</v>
      </c>
      <c r="D186" s="4" t="str">
        <f>IFERROR(INDEX('Criterios GISTM'!$D$2:$D$222,MATCH($C186,'Criterios GISTM'!$A$2:$A$222,0)),"")</f>
        <v>Principio 10</v>
      </c>
      <c r="E186" s="4" t="str">
        <f>IFERROR(INDEX('Criterios GISTM'!$H$2:$H$222,MATCH($C186,'Criterios GISTM'!$A$2:$A$222,0)),"")</f>
        <v xml:space="preserve"> 10.6 - C</v>
      </c>
      <c r="F186" s="16">
        <v>1</v>
      </c>
      <c r="G186" s="46">
        <f>IFERROR(INDEX('Criterios GISTM'!$J$2:$J$222,MATCH($C186,'Criterios GISTM'!$A$2:$A$222,0)),0)</f>
        <v>0.33333333333333331</v>
      </c>
      <c r="H186" s="24">
        <f>IFERROR(INDEX(Documentos!$F$2:$F$59,MATCH($A186,Documentos!$A$2:$A$59,0)),0)</f>
        <v>0.2</v>
      </c>
      <c r="I186" s="25">
        <f t="shared" si="2"/>
        <v>6.6666666666666666E-2</v>
      </c>
      <c r="J186" s="48" t="s">
        <v>1238</v>
      </c>
      <c r="K186" s="48" t="s">
        <v>51</v>
      </c>
    </row>
    <row r="187" spans="1:11">
      <c r="A187" s="19" t="s">
        <v>96</v>
      </c>
      <c r="B187" s="22" t="str">
        <f>IFERROR(INDEX(Documentos!$B$2:$B$59,MATCH($A187,Documentos!$A$2:$A$59,0)),"")</f>
        <v>Plan de cierre</v>
      </c>
      <c r="C187" s="18" t="s">
        <v>846</v>
      </c>
      <c r="D187" s="4" t="str">
        <f>IFERROR(INDEX('Criterios GISTM'!$D$2:$D$222,MATCH($C187,'Criterios GISTM'!$A$2:$A$222,0)),"")</f>
        <v>Principio 10</v>
      </c>
      <c r="E187" s="4" t="str">
        <f>IFERROR(INDEX('Criterios GISTM'!$H$2:$H$222,MATCH($C187,'Criterios GISTM'!$A$2:$A$222,0)),"")</f>
        <v xml:space="preserve"> 10.7 - A</v>
      </c>
      <c r="F187" s="16">
        <v>1</v>
      </c>
      <c r="G187" s="46">
        <f>IFERROR(INDEX('Criterios GISTM'!$J$2:$J$222,MATCH($C187,'Criterios GISTM'!$A$2:$A$222,0)),0)</f>
        <v>0.25</v>
      </c>
      <c r="H187" s="24">
        <f>IFERROR(INDEX(Documentos!$F$2:$F$59,MATCH($A187,Documentos!$A$2:$A$59,0)),0)</f>
        <v>1</v>
      </c>
      <c r="I187" s="25">
        <f t="shared" si="2"/>
        <v>0.25</v>
      </c>
      <c r="J187" s="48" t="s">
        <v>1239</v>
      </c>
      <c r="K187" s="48" t="s">
        <v>51</v>
      </c>
    </row>
    <row r="188" spans="1:11">
      <c r="A188" s="19" t="s">
        <v>96</v>
      </c>
      <c r="B188" s="22" t="str">
        <f>IFERROR(INDEX(Documentos!$B$2:$B$59,MATCH($A188,Documentos!$A$2:$A$59,0)),"")</f>
        <v>Plan de cierre</v>
      </c>
      <c r="C188" s="18" t="s">
        <v>851</v>
      </c>
      <c r="D188" s="4" t="str">
        <f>IFERROR(INDEX('Criterios GISTM'!$D$2:$D$222,MATCH($C188,'Criterios GISTM'!$A$2:$A$222,0)),"")</f>
        <v>Principio 10</v>
      </c>
      <c r="E188" s="4" t="str">
        <f>IFERROR(INDEX('Criterios GISTM'!$H$2:$H$222,MATCH($C188,'Criterios GISTM'!$A$2:$A$222,0)),"")</f>
        <v xml:space="preserve"> 10.7 - B</v>
      </c>
      <c r="F188" s="16">
        <v>1</v>
      </c>
      <c r="G188" s="46">
        <f>IFERROR(INDEX('Criterios GISTM'!$J$2:$J$222,MATCH($C188,'Criterios GISTM'!$A$2:$A$222,0)),0)</f>
        <v>0.25</v>
      </c>
      <c r="H188" s="24">
        <f>IFERROR(INDEX(Documentos!$F$2:$F$59,MATCH($A188,Documentos!$A$2:$A$59,0)),0)</f>
        <v>1</v>
      </c>
      <c r="I188" s="25">
        <f t="shared" si="2"/>
        <v>0.25</v>
      </c>
      <c r="J188" s="48" t="s">
        <v>1240</v>
      </c>
      <c r="K188" s="48" t="s">
        <v>51</v>
      </c>
    </row>
    <row r="189" spans="1:11">
      <c r="A189" s="19" t="s">
        <v>96</v>
      </c>
      <c r="B189" s="22" t="str">
        <f>IFERROR(INDEX(Documentos!$B$2:$B$59,MATCH($A189,Documentos!$A$2:$A$59,0)),"")</f>
        <v>Plan de cierre</v>
      </c>
      <c r="C189" s="18" t="s">
        <v>854</v>
      </c>
      <c r="D189" s="4" t="str">
        <f>IFERROR(INDEX('Criterios GISTM'!$D$2:$D$222,MATCH($C189,'Criterios GISTM'!$A$2:$A$222,0)),"")</f>
        <v>Principio 10</v>
      </c>
      <c r="E189" s="4" t="str">
        <f>IFERROR(INDEX('Criterios GISTM'!$H$2:$H$222,MATCH($C189,'Criterios GISTM'!$A$2:$A$222,0)),"")</f>
        <v xml:space="preserve"> 10.7 - C</v>
      </c>
      <c r="F189" s="16">
        <v>1</v>
      </c>
      <c r="G189" s="46">
        <f>IFERROR(INDEX('Criterios GISTM'!$J$2:$J$222,MATCH($C189,'Criterios GISTM'!$A$2:$A$222,0)),0)</f>
        <v>0.25</v>
      </c>
      <c r="H189" s="24">
        <f>IFERROR(INDEX(Documentos!$F$2:$F$59,MATCH($A189,Documentos!$A$2:$A$59,0)),0)</f>
        <v>1</v>
      </c>
      <c r="I189" s="25">
        <f t="shared" si="2"/>
        <v>0.25</v>
      </c>
      <c r="J189" s="48" t="s">
        <v>1241</v>
      </c>
      <c r="K189" s="48" t="s">
        <v>51</v>
      </c>
    </row>
    <row r="190" spans="1:11">
      <c r="A190" s="19" t="s">
        <v>96</v>
      </c>
      <c r="B190" s="22" t="str">
        <f>IFERROR(INDEX(Documentos!$B$2:$B$59,MATCH($A190,Documentos!$A$2:$A$59,0)),"")</f>
        <v>Plan de cierre</v>
      </c>
      <c r="C190" s="18" t="s">
        <v>857</v>
      </c>
      <c r="D190" s="4" t="str">
        <f>IFERROR(INDEX('Criterios GISTM'!$D$2:$D$222,MATCH($C190,'Criterios GISTM'!$A$2:$A$222,0)),"")</f>
        <v>Principio 10</v>
      </c>
      <c r="E190" s="4" t="str">
        <f>IFERROR(INDEX('Criterios GISTM'!$H$2:$H$222,MATCH($C190,'Criterios GISTM'!$A$2:$A$222,0)),"")</f>
        <v xml:space="preserve"> 10.7 - D</v>
      </c>
      <c r="F190" s="16">
        <v>1</v>
      </c>
      <c r="G190" s="46">
        <f>IFERROR(INDEX('Criterios GISTM'!$J$2:$J$222,MATCH($C190,'Criterios GISTM'!$A$2:$A$222,0)),0)</f>
        <v>0.25</v>
      </c>
      <c r="H190" s="24">
        <f>IFERROR(INDEX(Documentos!$F$2:$F$59,MATCH($A190,Documentos!$A$2:$A$59,0)),0)</f>
        <v>1</v>
      </c>
      <c r="I190" s="25">
        <f t="shared" si="2"/>
        <v>0.25</v>
      </c>
      <c r="J190" s="48" t="s">
        <v>1242</v>
      </c>
      <c r="K190" s="48" t="s">
        <v>51</v>
      </c>
    </row>
    <row r="191" spans="1:11">
      <c r="A191" s="19" t="s">
        <v>115</v>
      </c>
      <c r="B191" s="22" t="str">
        <f>IFERROR(INDEX(Documentos!$B$2:$B$59,MATCH($A191,Documentos!$A$2:$A$59,0)),"")</f>
        <v>Plan de Capacitaciones</v>
      </c>
      <c r="C191" s="18" t="s">
        <v>860</v>
      </c>
      <c r="D191" s="4" t="str">
        <f>IFERROR(INDEX('Criterios GISTM'!$D$2:$D$222,MATCH($C191,'Criterios GISTM'!$A$2:$A$222,0)),"")</f>
        <v>Principio 11</v>
      </c>
      <c r="E191" s="4" t="str">
        <f>IFERROR(INDEX('Criterios GISTM'!$H$2:$H$222,MATCH($C191,'Criterios GISTM'!$A$2:$A$222,0)),"")</f>
        <v xml:space="preserve"> 11.1 - A</v>
      </c>
      <c r="F191" s="16">
        <v>1</v>
      </c>
      <c r="G191" s="46">
        <f>IFERROR(INDEX('Criterios GISTM'!$J$2:$J$222,MATCH($C191,'Criterios GISTM'!$A$2:$A$222,0)),0)</f>
        <v>0.5</v>
      </c>
      <c r="H191" s="24">
        <f>IFERROR(INDEX(Documentos!$F$2:$F$59,MATCH($A191,Documentos!$A$2:$A$59,0)),0)</f>
        <v>1</v>
      </c>
      <c r="I191" s="25">
        <f t="shared" si="2"/>
        <v>0.5</v>
      </c>
      <c r="J191" s="48" t="s">
        <v>1243</v>
      </c>
      <c r="K191" s="48" t="s">
        <v>51</v>
      </c>
    </row>
    <row r="192" spans="1:11">
      <c r="A192" s="19" t="s">
        <v>115</v>
      </c>
      <c r="B192" s="22" t="str">
        <f>IFERROR(INDEX(Documentos!$B$2:$B$59,MATCH($A192,Documentos!$A$2:$A$59,0)),"")</f>
        <v>Plan de Capacitaciones</v>
      </c>
      <c r="C192" s="18" t="s">
        <v>867</v>
      </c>
      <c r="D192" s="4" t="str">
        <f>IFERROR(INDEX('Criterios GISTM'!$D$2:$D$222,MATCH($C192,'Criterios GISTM'!$A$2:$A$222,0)),"")</f>
        <v>Principio 11</v>
      </c>
      <c r="E192" s="4" t="str">
        <f>IFERROR(INDEX('Criterios GISTM'!$H$2:$H$222,MATCH($C192,'Criterios GISTM'!$A$2:$A$222,0)),"")</f>
        <v xml:space="preserve"> 11.1 - B</v>
      </c>
      <c r="F192" s="16">
        <v>1</v>
      </c>
      <c r="G192" s="46">
        <f>IFERROR(INDEX('Criterios GISTM'!$J$2:$J$222,MATCH($C192,'Criterios GISTM'!$A$2:$A$222,0)),0)</f>
        <v>0.5</v>
      </c>
      <c r="H192" s="24">
        <f>IFERROR(INDEX(Documentos!$F$2:$F$59,MATCH($A192,Documentos!$A$2:$A$59,0)),0)</f>
        <v>1</v>
      </c>
      <c r="I192" s="25">
        <f t="shared" si="2"/>
        <v>0.5</v>
      </c>
      <c r="J192" s="48" t="s">
        <v>1244</v>
      </c>
      <c r="K192" s="48" t="s">
        <v>51</v>
      </c>
    </row>
    <row r="193" spans="1:11">
      <c r="A193" s="19" t="s">
        <v>162</v>
      </c>
      <c r="B193" s="22" t="str">
        <f>IFERROR(INDEX(Documentos!$B$2:$B$59,MATCH($A193,Documentos!$A$2:$A$59,0)),"")</f>
        <v>Procedimiento de Gestión de Conocimiento</v>
      </c>
      <c r="C193" s="18" t="s">
        <v>870</v>
      </c>
      <c r="D193" s="4" t="str">
        <f>IFERROR(INDEX('Criterios GISTM'!$D$2:$D$222,MATCH($C193,'Criterios GISTM'!$A$2:$A$222,0)),"")</f>
        <v>Principio 11</v>
      </c>
      <c r="E193" s="4" t="str">
        <f>IFERROR(INDEX('Criterios GISTM'!$H$2:$H$222,MATCH($C193,'Criterios GISTM'!$A$2:$A$222,0)),"")</f>
        <v xml:space="preserve"> 11.2 - A</v>
      </c>
      <c r="F193" s="16">
        <v>1</v>
      </c>
      <c r="G193" s="46">
        <f>IFERROR(INDEX('Criterios GISTM'!$J$2:$J$222,MATCH($C193,'Criterios GISTM'!$A$2:$A$222,0)),0)</f>
        <v>1</v>
      </c>
      <c r="H193" s="24">
        <f>IFERROR(INDEX(Documentos!$F$2:$F$59,MATCH($A193,Documentos!$A$2:$A$59,0)),0)</f>
        <v>0.7</v>
      </c>
      <c r="I193" s="25">
        <f t="shared" si="2"/>
        <v>0.7</v>
      </c>
      <c r="J193" s="48" t="s">
        <v>1245</v>
      </c>
      <c r="K193" s="48" t="s">
        <v>51</v>
      </c>
    </row>
    <row r="194" spans="1:11">
      <c r="A194" s="19" t="s">
        <v>164</v>
      </c>
      <c r="B194" s="22" t="str">
        <f>IFERROR(INDEX(Documentos!$B$2:$B$59,MATCH($A194,Documentos!$A$2:$A$59,0)),"")</f>
        <v>Procedimiento Gestión de Denuncias</v>
      </c>
      <c r="C194" s="18" t="s">
        <v>870</v>
      </c>
      <c r="D194" s="4" t="str">
        <f>IFERROR(INDEX('Criterios GISTM'!$D$2:$D$222,MATCH($C194,'Criterios GISTM'!$A$2:$A$222,0)),"")</f>
        <v>Principio 11</v>
      </c>
      <c r="E194" s="4" t="str">
        <f>IFERROR(INDEX('Criterios GISTM'!$H$2:$H$222,MATCH($C194,'Criterios GISTM'!$A$2:$A$222,0)),"")</f>
        <v xml:space="preserve"> 11.2 - A</v>
      </c>
      <c r="F194" s="16">
        <v>1</v>
      </c>
      <c r="G194" s="46">
        <f>IFERROR(INDEX('Criterios GISTM'!$J$2:$J$222,MATCH($C194,'Criterios GISTM'!$A$2:$A$222,0)),0)</f>
        <v>1</v>
      </c>
      <c r="H194" s="24">
        <f>IFERROR(INDEX(Documentos!$F$2:$F$59,MATCH($A194,Documentos!$A$2:$A$59,0)),0)</f>
        <v>0.4</v>
      </c>
      <c r="I194" s="25">
        <f t="shared" ref="I194:J232" si="3">F194*G194*H194</f>
        <v>0.4</v>
      </c>
      <c r="J194" s="48" t="s">
        <v>1246</v>
      </c>
      <c r="K194" s="48" t="s">
        <v>51</v>
      </c>
    </row>
    <row r="195" spans="1:11">
      <c r="A195" s="19" t="s">
        <v>58</v>
      </c>
      <c r="B195" s="22" t="str">
        <f>IFERROR(INDEX(Documentos!$B$2:$B$59,MATCH($A195,Documentos!$A$2:$A$59,0)),"")</f>
        <v>Procedimiento de Comunicación</v>
      </c>
      <c r="C195" s="18" t="s">
        <v>875</v>
      </c>
      <c r="D195" s="4" t="str">
        <f>IFERROR(INDEX('Criterios GISTM'!$D$2:$D$222,MATCH($C195,'Criterios GISTM'!$A$2:$A$222,0)),"")</f>
        <v>Principio 11</v>
      </c>
      <c r="E195" s="4" t="str">
        <f>IFERROR(INDEX('Criterios GISTM'!$H$2:$H$222,MATCH($C195,'Criterios GISTM'!$A$2:$A$222,0)),"")</f>
        <v xml:space="preserve"> 11.3 - A</v>
      </c>
      <c r="F195" s="16">
        <v>1</v>
      </c>
      <c r="G195" s="46">
        <f>IFERROR(INDEX('Criterios GISTM'!$J$2:$J$222,MATCH($C195,'Criterios GISTM'!$A$2:$A$222,0)),0)</f>
        <v>1</v>
      </c>
      <c r="H195" s="24">
        <f>IFERROR(INDEX(Documentos!$F$2:$F$59,MATCH($A195,Documentos!$A$2:$A$59,0)),0)</f>
        <v>0.2</v>
      </c>
      <c r="I195" s="25">
        <f t="shared" si="3"/>
        <v>0.2</v>
      </c>
      <c r="J195" s="48" t="s">
        <v>1247</v>
      </c>
      <c r="K195" s="48" t="s">
        <v>51</v>
      </c>
    </row>
    <row r="196" spans="1:11">
      <c r="A196" s="19" t="s">
        <v>164</v>
      </c>
      <c r="B196" s="22" t="str">
        <f>IFERROR(INDEX(Documentos!$B$2:$B$59,MATCH($A196,Documentos!$A$2:$A$59,0)),"")</f>
        <v>Procedimiento Gestión de Denuncias</v>
      </c>
      <c r="C196" s="18" t="s">
        <v>875</v>
      </c>
      <c r="D196" s="4" t="str">
        <f>IFERROR(INDEX('Criterios GISTM'!$D$2:$D$222,MATCH($C196,'Criterios GISTM'!$A$2:$A$222,0)),"")</f>
        <v>Principio 11</v>
      </c>
      <c r="E196" s="4" t="str">
        <f>IFERROR(INDEX('Criterios GISTM'!$H$2:$H$222,MATCH($C196,'Criterios GISTM'!$A$2:$A$222,0)),"")</f>
        <v xml:space="preserve"> 11.3 - A</v>
      </c>
      <c r="F196" s="16">
        <v>1</v>
      </c>
      <c r="G196" s="46">
        <f>IFERROR(INDEX('Criterios GISTM'!$J$2:$J$222,MATCH($C196,'Criterios GISTM'!$A$2:$A$222,0)),0)</f>
        <v>1</v>
      </c>
      <c r="H196" s="24">
        <f>IFERROR(INDEX(Documentos!$F$2:$F$59,MATCH($A196,Documentos!$A$2:$A$59,0)),0)</f>
        <v>0.4</v>
      </c>
      <c r="I196" s="25">
        <f t="shared" si="3"/>
        <v>0.4</v>
      </c>
      <c r="J196" s="48" t="s">
        <v>1248</v>
      </c>
      <c r="K196" s="48" t="s">
        <v>51</v>
      </c>
    </row>
    <row r="197" spans="1:11">
      <c r="A197" s="19" t="s">
        <v>166</v>
      </c>
      <c r="B197" s="22" t="str">
        <f>IFERROR(INDEX(Documentos!$B$2:$B$59,MATCH($A197,Documentos!$A$2:$A$59,0)),"")</f>
        <v>Plan de Preparación y Respuesta ante Emergencia (EPRP)</v>
      </c>
      <c r="C197" s="18" t="s">
        <v>880</v>
      </c>
      <c r="D197" s="4" t="str">
        <f>IFERROR(INDEX('Criterios GISTM'!$D$2:$D$222,MATCH($C197,'Criterios GISTM'!$A$2:$A$222,0)),"")</f>
        <v>Principio 11</v>
      </c>
      <c r="E197" s="4" t="str">
        <f>IFERROR(INDEX('Criterios GISTM'!$H$2:$H$222,MATCH($C197,'Criterios GISTM'!$A$2:$A$222,0)),"")</f>
        <v xml:space="preserve"> 11.4 - A</v>
      </c>
      <c r="F197" s="16">
        <v>1</v>
      </c>
      <c r="G197" s="46">
        <f>IFERROR(INDEX('Criterios GISTM'!$J$2:$J$222,MATCH($C197,'Criterios GISTM'!$A$2:$A$222,0)),0)</f>
        <v>0.33333333333333331</v>
      </c>
      <c r="H197" s="24">
        <f>IFERROR(INDEX(Documentos!$F$2:$F$59,MATCH($A197,Documentos!$A$2:$A$59,0)),0)</f>
        <v>0.4</v>
      </c>
      <c r="I197" s="25">
        <f t="shared" si="3"/>
        <v>0.13333333333333333</v>
      </c>
      <c r="J197" s="48" t="s">
        <v>1249</v>
      </c>
      <c r="K197" s="48" t="s">
        <v>51</v>
      </c>
    </row>
    <row r="198" spans="1:11">
      <c r="A198" s="19" t="s">
        <v>166</v>
      </c>
      <c r="B198" s="22" t="str">
        <f>IFERROR(INDEX(Documentos!$B$2:$B$59,MATCH($A198,Documentos!$A$2:$A$59,0)),"")</f>
        <v>Plan de Preparación y Respuesta ante Emergencia (EPRP)</v>
      </c>
      <c r="C198" s="18" t="s">
        <v>885</v>
      </c>
      <c r="D198" s="4" t="str">
        <f>IFERROR(INDEX('Criterios GISTM'!$D$2:$D$222,MATCH($C198,'Criterios GISTM'!$A$2:$A$222,0)),"")</f>
        <v>Principio 11</v>
      </c>
      <c r="E198" s="4" t="str">
        <f>IFERROR(INDEX('Criterios GISTM'!$H$2:$H$222,MATCH($C198,'Criterios GISTM'!$A$2:$A$222,0)),"")</f>
        <v xml:space="preserve"> 11.4 - B</v>
      </c>
      <c r="F198" s="16">
        <v>1</v>
      </c>
      <c r="G198" s="46">
        <f>IFERROR(INDEX('Criterios GISTM'!$J$2:$J$222,MATCH($C198,'Criterios GISTM'!$A$2:$A$222,0)),0)</f>
        <v>0.33333333333333331</v>
      </c>
      <c r="H198" s="24">
        <f>IFERROR(INDEX(Documentos!$F$2:$F$59,MATCH($A198,Documentos!$A$2:$A$59,0)),0)</f>
        <v>0.4</v>
      </c>
      <c r="I198" s="25">
        <f t="shared" si="3"/>
        <v>0.13333333333333333</v>
      </c>
      <c r="J198" s="48" t="s">
        <v>1250</v>
      </c>
      <c r="K198" s="48" t="s">
        <v>51</v>
      </c>
    </row>
    <row r="199" spans="1:11">
      <c r="A199" s="19" t="s">
        <v>166</v>
      </c>
      <c r="B199" s="22" t="str">
        <f>IFERROR(INDEX(Documentos!$B$2:$B$59,MATCH($A199,Documentos!$A$2:$A$59,0)),"")</f>
        <v>Plan de Preparación y Respuesta ante Emergencia (EPRP)</v>
      </c>
      <c r="C199" s="18" t="s">
        <v>888</v>
      </c>
      <c r="D199" s="4" t="str">
        <f>IFERROR(INDEX('Criterios GISTM'!$D$2:$D$222,MATCH($C199,'Criterios GISTM'!$A$2:$A$222,0)),"")</f>
        <v>Principio 11</v>
      </c>
      <c r="E199" s="4" t="str">
        <f>IFERROR(INDEX('Criterios GISTM'!$H$2:$H$222,MATCH($C199,'Criterios GISTM'!$A$2:$A$222,0)),"")</f>
        <v xml:space="preserve"> 11.4 - C</v>
      </c>
      <c r="F199" s="16">
        <v>1</v>
      </c>
      <c r="G199" s="46">
        <f>IFERROR(INDEX('Criterios GISTM'!$J$2:$J$222,MATCH($C199,'Criterios GISTM'!$A$2:$A$222,0)),0)</f>
        <v>0.33333333333333331</v>
      </c>
      <c r="H199" s="24">
        <f>IFERROR(INDEX(Documentos!$F$2:$F$59,MATCH($A199,Documentos!$A$2:$A$59,0)),0)</f>
        <v>0.4</v>
      </c>
      <c r="I199" s="25">
        <f t="shared" si="3"/>
        <v>0.13333333333333333</v>
      </c>
      <c r="J199" s="48" t="s">
        <v>1251</v>
      </c>
      <c r="K199" s="48" t="s">
        <v>51</v>
      </c>
    </row>
    <row r="200" spans="1:11">
      <c r="A200" s="19" t="s">
        <v>166</v>
      </c>
      <c r="B200" s="22" t="str">
        <f>IFERROR(INDEX(Documentos!$B$2:$B$59,MATCH($A200,Documentos!$A$2:$A$59,0)),"")</f>
        <v>Plan de Preparación y Respuesta ante Emergencia (EPRP)</v>
      </c>
      <c r="C200" s="18" t="s">
        <v>891</v>
      </c>
      <c r="D200" s="4" t="str">
        <f>IFERROR(INDEX('Criterios GISTM'!$D$2:$D$222,MATCH($C200,'Criterios GISTM'!$A$2:$A$222,0)),"")</f>
        <v>Principio 11</v>
      </c>
      <c r="E200" s="4" t="str">
        <f>IFERROR(INDEX('Criterios GISTM'!$H$2:$H$222,MATCH($C200,'Criterios GISTM'!$A$2:$A$222,0)),"")</f>
        <v xml:space="preserve"> 11.5 - A</v>
      </c>
      <c r="F200" s="16">
        <v>1</v>
      </c>
      <c r="G200" s="46">
        <f>IFERROR(INDEX('Criterios GISTM'!$J$2:$J$222,MATCH($C200,'Criterios GISTM'!$A$2:$A$222,0)),0)</f>
        <v>0.5</v>
      </c>
      <c r="H200" s="24">
        <f>IFERROR(INDEX(Documentos!$F$2:$F$59,MATCH($A200,Documentos!$A$2:$A$59,0)),0)</f>
        <v>0.4</v>
      </c>
      <c r="I200" s="25">
        <f t="shared" si="3"/>
        <v>0.2</v>
      </c>
      <c r="J200" s="48" t="s">
        <v>1252</v>
      </c>
      <c r="K200" s="48" t="s">
        <v>51</v>
      </c>
    </row>
    <row r="201" spans="1:11">
      <c r="A201" s="19" t="s">
        <v>166</v>
      </c>
      <c r="B201" s="22" t="str">
        <f>IFERROR(INDEX(Documentos!$B$2:$B$59,MATCH($A201,Documentos!$A$2:$A$59,0)),"")</f>
        <v>Plan de Preparación y Respuesta ante Emergencia (EPRP)</v>
      </c>
      <c r="C201" s="18" t="s">
        <v>896</v>
      </c>
      <c r="D201" s="4" t="str">
        <f>IFERROR(INDEX('Criterios GISTM'!$D$2:$D$222,MATCH($C201,'Criterios GISTM'!$A$2:$A$222,0)),"")</f>
        <v>Principio 11</v>
      </c>
      <c r="E201" s="4" t="str">
        <f>IFERROR(INDEX('Criterios GISTM'!$H$2:$H$222,MATCH($C201,'Criterios GISTM'!$A$2:$A$222,0)),"")</f>
        <v xml:space="preserve"> 11.5 - B</v>
      </c>
      <c r="F201" s="16">
        <v>1</v>
      </c>
      <c r="G201" s="46">
        <f>IFERROR(INDEX('Criterios GISTM'!$J$2:$J$222,MATCH($C201,'Criterios GISTM'!$A$2:$A$222,0)),0)</f>
        <v>0.5</v>
      </c>
      <c r="H201" s="24">
        <f>IFERROR(INDEX(Documentos!$F$2:$F$59,MATCH($A201,Documentos!$A$2:$A$59,0)),0)</f>
        <v>0.4</v>
      </c>
      <c r="I201" s="25">
        <f t="shared" si="3"/>
        <v>0.2</v>
      </c>
      <c r="J201" s="48" t="s">
        <v>1253</v>
      </c>
      <c r="K201" s="48" t="s">
        <v>51</v>
      </c>
    </row>
    <row r="202" spans="1:11">
      <c r="A202" s="19" t="s">
        <v>166</v>
      </c>
      <c r="B202" s="22" t="str">
        <f>IFERROR(INDEX(Documentos!$B$2:$B$59,MATCH($A202,Documentos!$A$2:$A$59,0)),"")</f>
        <v>Plan de Preparación y Respuesta ante Emergencia (EPRP)</v>
      </c>
      <c r="C202" s="18" t="s">
        <v>900</v>
      </c>
      <c r="D202" s="4" t="str">
        <f>IFERROR(INDEX('Criterios GISTM'!$D$2:$D$222,MATCH($C202,'Criterios GISTM'!$A$2:$A$222,0)),"")</f>
        <v>Principio 12</v>
      </c>
      <c r="E202" s="4" t="str">
        <f>IFERROR(INDEX('Criterios GISTM'!$H$2:$H$222,MATCH($C202,'Criterios GISTM'!$A$2:$A$222,0)),"")</f>
        <v xml:space="preserve"> 12.1 - A</v>
      </c>
      <c r="F202" s="16">
        <v>1</v>
      </c>
      <c r="G202" s="46">
        <f>IFERROR(INDEX('Criterios GISTM'!$J$2:$J$222,MATCH($C202,'Criterios GISTM'!$A$2:$A$222,0)),0)</f>
        <v>1</v>
      </c>
      <c r="H202" s="24">
        <f>IFERROR(INDEX(Documentos!$F$2:$F$59,MATCH($A202,Documentos!$A$2:$A$59,0)),0)</f>
        <v>0.4</v>
      </c>
      <c r="I202" s="25">
        <f t="shared" si="3"/>
        <v>0.4</v>
      </c>
      <c r="J202" s="48" t="s">
        <v>1254</v>
      </c>
      <c r="K202" s="48" t="s">
        <v>51</v>
      </c>
    </row>
    <row r="203" spans="1:11">
      <c r="A203" s="19" t="s">
        <v>166</v>
      </c>
      <c r="B203" s="22" t="str">
        <f>IFERROR(INDEX(Documentos!$B$2:$B$59,MATCH($A203,Documentos!$A$2:$A$59,0)),"")</f>
        <v>Plan de Preparación y Respuesta ante Emergencia (EPRP)</v>
      </c>
      <c r="C203" s="18" t="s">
        <v>907</v>
      </c>
      <c r="D203" s="4" t="str">
        <f>IFERROR(INDEX('Criterios GISTM'!$D$2:$D$222,MATCH($C203,'Criterios GISTM'!$A$2:$A$222,0)),"")</f>
        <v>Principio 12</v>
      </c>
      <c r="E203" s="4" t="str">
        <f>IFERROR(INDEX('Criterios GISTM'!$H$2:$H$222,MATCH($C203,'Criterios GISTM'!$A$2:$A$222,0)),"")</f>
        <v xml:space="preserve"> 12.2 - A</v>
      </c>
      <c r="F203" s="16">
        <v>1</v>
      </c>
      <c r="G203" s="46">
        <f>IFERROR(INDEX('Criterios GISTM'!$J$2:$J$222,MATCH($C203,'Criterios GISTM'!$A$2:$A$222,0)),0)</f>
        <v>1</v>
      </c>
      <c r="H203" s="24">
        <f>IFERROR(INDEX(Documentos!$F$2:$F$59,MATCH($A203,Documentos!$A$2:$A$59,0)),0)</f>
        <v>0.4</v>
      </c>
      <c r="I203" s="25">
        <f t="shared" si="3"/>
        <v>0.4</v>
      </c>
      <c r="J203" s="48" t="s">
        <v>1255</v>
      </c>
      <c r="K203" s="48" t="s">
        <v>51</v>
      </c>
    </row>
    <row r="204" spans="1:11">
      <c r="A204" s="19" t="s">
        <v>169</v>
      </c>
      <c r="B204" s="22" t="str">
        <f>IFERROR(INDEX(Documentos!$B$2:$B$59,MATCH($A204,Documentos!$A$2:$A$59,0)),"")</f>
        <v>Plan de Recuperación a Largo Plazo</v>
      </c>
      <c r="C204" s="18" t="s">
        <v>912</v>
      </c>
      <c r="D204" s="4" t="str">
        <f>IFERROR(INDEX('Criterios GISTM'!$D$2:$D$222,MATCH($C204,'Criterios GISTM'!$A$2:$A$222,0)),"")</f>
        <v>Principio 13</v>
      </c>
      <c r="E204" s="4" t="str">
        <f>IFERROR(INDEX('Criterios GISTM'!$H$2:$H$222,MATCH($C204,'Criterios GISTM'!$A$2:$A$222,0)),"")</f>
        <v xml:space="preserve"> 13.1 - A</v>
      </c>
      <c r="F204" s="16">
        <v>1</v>
      </c>
      <c r="G204" s="46">
        <f>IFERROR(INDEX('Criterios GISTM'!$J$2:$J$222,MATCH($C204,'Criterios GISTM'!$A$2:$A$222,0)),0)</f>
        <v>0.2</v>
      </c>
      <c r="H204" s="24">
        <f>IFERROR(INDEX(Documentos!$F$2:$F$59,MATCH($A204,Documentos!$A$2:$A$59,0)),0)</f>
        <v>0.4</v>
      </c>
      <c r="I204" s="25">
        <f t="shared" si="3"/>
        <v>8.0000000000000016E-2</v>
      </c>
      <c r="J204" s="48" t="s">
        <v>1256</v>
      </c>
      <c r="K204" s="48" t="s">
        <v>51</v>
      </c>
    </row>
    <row r="205" spans="1:11">
      <c r="A205" s="19" t="s">
        <v>169</v>
      </c>
      <c r="B205" s="22" t="str">
        <f>IFERROR(INDEX(Documentos!$B$2:$B$59,MATCH($A205,Documentos!$A$2:$A$59,0)),"")</f>
        <v>Plan de Recuperación a Largo Plazo</v>
      </c>
      <c r="C205" s="18" t="s">
        <v>921</v>
      </c>
      <c r="D205" s="4" t="str">
        <f>IFERROR(INDEX('Criterios GISTM'!$D$2:$D$222,MATCH($C205,'Criterios GISTM'!$A$2:$A$222,0)),"")</f>
        <v>Principio 13</v>
      </c>
      <c r="E205" s="4" t="str">
        <f>IFERROR(INDEX('Criterios GISTM'!$H$2:$H$222,MATCH($C205,'Criterios GISTM'!$A$2:$A$222,0)),"")</f>
        <v xml:space="preserve"> 13.1 - B</v>
      </c>
      <c r="F205" s="16">
        <v>1</v>
      </c>
      <c r="G205" s="46">
        <f>IFERROR(INDEX('Criterios GISTM'!$J$2:$J$222,MATCH($C205,'Criterios GISTM'!$A$2:$A$222,0)),0)</f>
        <v>0.2</v>
      </c>
      <c r="H205" s="24">
        <f>IFERROR(INDEX(Documentos!$F$2:$F$59,MATCH($A205,Documentos!$A$2:$A$59,0)),0)</f>
        <v>0.4</v>
      </c>
      <c r="I205" s="25">
        <f t="shared" si="3"/>
        <v>8.0000000000000016E-2</v>
      </c>
      <c r="J205" s="48" t="s">
        <v>1257</v>
      </c>
      <c r="K205" s="48" t="s">
        <v>51</v>
      </c>
    </row>
    <row r="206" spans="1:11">
      <c r="A206" s="19" t="s">
        <v>169</v>
      </c>
      <c r="B206" s="22" t="str">
        <f>IFERROR(INDEX(Documentos!$B$2:$B$59,MATCH($A206,Documentos!$A$2:$A$59,0)),"")</f>
        <v>Plan de Recuperación a Largo Plazo</v>
      </c>
      <c r="C206" s="18" t="s">
        <v>924</v>
      </c>
      <c r="D206" s="4" t="str">
        <f>IFERROR(INDEX('Criterios GISTM'!$D$2:$D$222,MATCH($C206,'Criterios GISTM'!$A$2:$A$222,0)),"")</f>
        <v>Principio 13</v>
      </c>
      <c r="E206" s="4" t="str">
        <f>IFERROR(INDEX('Criterios GISTM'!$H$2:$H$222,MATCH($C206,'Criterios GISTM'!$A$2:$A$222,0)),"")</f>
        <v xml:space="preserve"> 13.1 - C</v>
      </c>
      <c r="F206" s="16">
        <v>1</v>
      </c>
      <c r="G206" s="46">
        <f>IFERROR(INDEX('Criterios GISTM'!$J$2:$J$222,MATCH($C206,'Criterios GISTM'!$A$2:$A$222,0)),0)</f>
        <v>0.2</v>
      </c>
      <c r="H206" s="24">
        <f>IFERROR(INDEX(Documentos!$F$2:$F$59,MATCH($A206,Documentos!$A$2:$A$59,0)),0)</f>
        <v>0.4</v>
      </c>
      <c r="I206" s="25">
        <f t="shared" si="3"/>
        <v>8.0000000000000016E-2</v>
      </c>
      <c r="J206" s="48" t="s">
        <v>1258</v>
      </c>
      <c r="K206" s="48" t="s">
        <v>51</v>
      </c>
    </row>
    <row r="207" spans="1:11">
      <c r="A207" s="19" t="s">
        <v>169</v>
      </c>
      <c r="B207" s="22" t="str">
        <f>IFERROR(INDEX(Documentos!$B$2:$B$59,MATCH($A207,Documentos!$A$2:$A$59,0)),"")</f>
        <v>Plan de Recuperación a Largo Plazo</v>
      </c>
      <c r="C207" s="18" t="s">
        <v>927</v>
      </c>
      <c r="D207" s="4" t="str">
        <f>IFERROR(INDEX('Criterios GISTM'!$D$2:$D$222,MATCH($C207,'Criterios GISTM'!$A$2:$A$222,0)),"")</f>
        <v>Principio 13</v>
      </c>
      <c r="E207" s="4" t="str">
        <f>IFERROR(INDEX('Criterios GISTM'!$H$2:$H$222,MATCH($C207,'Criterios GISTM'!$A$2:$A$222,0)),"")</f>
        <v xml:space="preserve"> 13.1 - D</v>
      </c>
      <c r="F207" s="16">
        <v>1</v>
      </c>
      <c r="G207" s="46">
        <f>IFERROR(INDEX('Criterios GISTM'!$J$2:$J$222,MATCH($C207,'Criterios GISTM'!$A$2:$A$222,0)),0)</f>
        <v>0.2</v>
      </c>
      <c r="H207" s="24">
        <f>IFERROR(INDEX(Documentos!$F$2:$F$59,MATCH($A207,Documentos!$A$2:$A$59,0)),0)</f>
        <v>0.4</v>
      </c>
      <c r="I207" s="25">
        <f t="shared" si="3"/>
        <v>8.0000000000000016E-2</v>
      </c>
      <c r="J207" s="48" t="s">
        <v>1259</v>
      </c>
      <c r="K207" s="48" t="s">
        <v>51</v>
      </c>
    </row>
    <row r="208" spans="1:11">
      <c r="A208" s="19" t="s">
        <v>169</v>
      </c>
      <c r="B208" s="22" t="str">
        <f>IFERROR(INDEX(Documentos!$B$2:$B$59,MATCH($A208,Documentos!$A$2:$A$59,0)),"")</f>
        <v>Plan de Recuperación a Largo Plazo</v>
      </c>
      <c r="C208" s="18" t="s">
        <v>930</v>
      </c>
      <c r="D208" s="4" t="str">
        <f>IFERROR(INDEX('Criterios GISTM'!$D$2:$D$222,MATCH($C208,'Criterios GISTM'!$A$2:$A$222,0)),"")</f>
        <v>Principio 13</v>
      </c>
      <c r="E208" s="4" t="str">
        <f>IFERROR(INDEX('Criterios GISTM'!$H$2:$H$222,MATCH($C208,'Criterios GISTM'!$A$2:$A$222,0)),"")</f>
        <v xml:space="preserve"> 13.1 - E</v>
      </c>
      <c r="F208" s="16">
        <v>1</v>
      </c>
      <c r="G208" s="46">
        <f>IFERROR(INDEX('Criterios GISTM'!$J$2:$J$222,MATCH($C208,'Criterios GISTM'!$A$2:$A$222,0)),0)</f>
        <v>0.2</v>
      </c>
      <c r="H208" s="24">
        <f>IFERROR(INDEX(Documentos!$F$2:$F$59,MATCH($A208,Documentos!$A$2:$A$59,0)),0)</f>
        <v>0.4</v>
      </c>
      <c r="I208" s="25">
        <f t="shared" si="3"/>
        <v>8.0000000000000016E-2</v>
      </c>
      <c r="J208" s="48" t="s">
        <v>1260</v>
      </c>
      <c r="K208" s="48" t="s">
        <v>51</v>
      </c>
    </row>
    <row r="209" spans="1:11">
      <c r="A209" s="19" t="s">
        <v>169</v>
      </c>
      <c r="B209" s="22" t="str">
        <f>IFERROR(INDEX(Documentos!$B$2:$B$59,MATCH($A209,Documentos!$A$2:$A$59,0)),"")</f>
        <v>Plan de Recuperación a Largo Plazo</v>
      </c>
      <c r="C209" s="18" t="s">
        <v>933</v>
      </c>
      <c r="D209" s="4" t="str">
        <f>IFERROR(INDEX('Criterios GISTM'!$D$2:$D$222,MATCH($C209,'Criterios GISTM'!$A$2:$A$222,0)),"")</f>
        <v>Principio 13</v>
      </c>
      <c r="E209" s="4" t="str">
        <f>IFERROR(INDEX('Criterios GISTM'!$H$2:$H$222,MATCH($C209,'Criterios GISTM'!$A$2:$A$222,0)),"")</f>
        <v xml:space="preserve"> 13.2 - A</v>
      </c>
      <c r="F209" s="16">
        <v>1</v>
      </c>
      <c r="G209" s="46">
        <f>IFERROR(INDEX('Criterios GISTM'!$J$2:$J$222,MATCH($C209,'Criterios GISTM'!$A$2:$A$222,0)),0)</f>
        <v>0.25</v>
      </c>
      <c r="H209" s="24">
        <f>IFERROR(INDEX(Documentos!$F$2:$F$59,MATCH($A209,Documentos!$A$2:$A$59,0)),0)</f>
        <v>0.4</v>
      </c>
      <c r="I209" s="25">
        <f t="shared" si="3"/>
        <v>0.1</v>
      </c>
      <c r="J209" s="48" t="s">
        <v>1261</v>
      </c>
      <c r="K209" s="48" t="s">
        <v>51</v>
      </c>
    </row>
    <row r="210" spans="1:11">
      <c r="A210" s="19" t="s">
        <v>169</v>
      </c>
      <c r="B210" s="22" t="str">
        <f>IFERROR(INDEX(Documentos!$B$2:$B$59,MATCH($A210,Documentos!$A$2:$A$59,0)),"")</f>
        <v>Plan de Recuperación a Largo Plazo</v>
      </c>
      <c r="C210" s="18" t="s">
        <v>938</v>
      </c>
      <c r="D210" s="4" t="str">
        <f>IFERROR(INDEX('Criterios GISTM'!$D$2:$D$222,MATCH($C210,'Criterios GISTM'!$A$2:$A$222,0)),"")</f>
        <v>Principio 13</v>
      </c>
      <c r="E210" s="4" t="str">
        <f>IFERROR(INDEX('Criterios GISTM'!$H$2:$H$222,MATCH($C210,'Criterios GISTM'!$A$2:$A$222,0)),"")</f>
        <v xml:space="preserve"> 13.2 - B</v>
      </c>
      <c r="F210" s="16">
        <v>1</v>
      </c>
      <c r="G210" s="46">
        <f>IFERROR(INDEX('Criterios GISTM'!$J$2:$J$222,MATCH($C210,'Criterios GISTM'!$A$2:$A$222,0)),0)</f>
        <v>0.25</v>
      </c>
      <c r="H210" s="24">
        <f>IFERROR(INDEX(Documentos!$F$2:$F$59,MATCH($A210,Documentos!$A$2:$A$59,0)),0)</f>
        <v>0.4</v>
      </c>
      <c r="I210" s="25">
        <f t="shared" si="3"/>
        <v>0.1</v>
      </c>
      <c r="J210" s="48" t="s">
        <v>1262</v>
      </c>
      <c r="K210" s="48" t="s">
        <v>51</v>
      </c>
    </row>
    <row r="211" spans="1:11">
      <c r="A211" s="19" t="s">
        <v>169</v>
      </c>
      <c r="B211" s="22" t="str">
        <f>IFERROR(INDEX(Documentos!$B$2:$B$59,MATCH($A211,Documentos!$A$2:$A$59,0)),"")</f>
        <v>Plan de Recuperación a Largo Plazo</v>
      </c>
      <c r="C211" s="18" t="s">
        <v>941</v>
      </c>
      <c r="D211" s="4" t="str">
        <f>IFERROR(INDEX('Criterios GISTM'!$D$2:$D$222,MATCH($C211,'Criterios GISTM'!$A$2:$A$222,0)),"")</f>
        <v>Principio 13</v>
      </c>
      <c r="E211" s="4" t="str">
        <f>IFERROR(INDEX('Criterios GISTM'!$H$2:$H$222,MATCH($C211,'Criterios GISTM'!$A$2:$A$222,0)),"")</f>
        <v xml:space="preserve"> 13.2 - C</v>
      </c>
      <c r="F211" s="16">
        <v>1</v>
      </c>
      <c r="G211" s="46">
        <f>IFERROR(INDEX('Criterios GISTM'!$J$2:$J$222,MATCH($C211,'Criterios GISTM'!$A$2:$A$222,0)),0)</f>
        <v>0.25</v>
      </c>
      <c r="H211" s="24">
        <f>IFERROR(INDEX(Documentos!$F$2:$F$59,MATCH($A211,Documentos!$A$2:$A$59,0)),0)</f>
        <v>0.4</v>
      </c>
      <c r="I211" s="25">
        <f t="shared" si="3"/>
        <v>0.1</v>
      </c>
      <c r="J211" s="48" t="s">
        <v>1263</v>
      </c>
      <c r="K211" s="48" t="s">
        <v>51</v>
      </c>
    </row>
    <row r="212" spans="1:11">
      <c r="A212" s="19" t="s">
        <v>169</v>
      </c>
      <c r="B212" s="22" t="str">
        <f>IFERROR(INDEX(Documentos!$B$2:$B$59,MATCH($A212,Documentos!$A$2:$A$59,0)),"")</f>
        <v>Plan de Recuperación a Largo Plazo</v>
      </c>
      <c r="C212" s="18" t="s">
        <v>944</v>
      </c>
      <c r="D212" s="4" t="str">
        <f>IFERROR(INDEX('Criterios GISTM'!$D$2:$D$222,MATCH($C212,'Criterios GISTM'!$A$2:$A$222,0)),"")</f>
        <v>Principio 13</v>
      </c>
      <c r="E212" s="4" t="str">
        <f>IFERROR(INDEX('Criterios GISTM'!$H$2:$H$222,MATCH($C212,'Criterios GISTM'!$A$2:$A$222,0)),"")</f>
        <v xml:space="preserve"> 13.2 - D</v>
      </c>
      <c r="F212" s="16">
        <v>1</v>
      </c>
      <c r="G212" s="46">
        <f>IFERROR(INDEX('Criterios GISTM'!$J$2:$J$222,MATCH($C212,'Criterios GISTM'!$A$2:$A$222,0)),0)</f>
        <v>0.25</v>
      </c>
      <c r="H212" s="24">
        <f>IFERROR(INDEX(Documentos!$F$2:$F$59,MATCH($A212,Documentos!$A$2:$A$59,0)),0)</f>
        <v>0.4</v>
      </c>
      <c r="I212" s="25">
        <f t="shared" si="3"/>
        <v>0.1</v>
      </c>
      <c r="J212" s="48" t="s">
        <v>1264</v>
      </c>
      <c r="K212" s="48" t="s">
        <v>51</v>
      </c>
    </row>
    <row r="213" spans="1:11">
      <c r="A213" s="19" t="s">
        <v>169</v>
      </c>
      <c r="B213" s="22" t="str">
        <f>IFERROR(INDEX(Documentos!$B$2:$B$59,MATCH($A213,Documentos!$A$2:$A$59,0)),"")</f>
        <v>Plan de Recuperación a Largo Plazo</v>
      </c>
      <c r="C213" s="18" t="s">
        <v>947</v>
      </c>
      <c r="D213" s="4" t="str">
        <f>IFERROR(INDEX('Criterios GISTM'!$D$2:$D$222,MATCH($C213,'Criterios GISTM'!$A$2:$A$222,0)),"")</f>
        <v>Principio 13</v>
      </c>
      <c r="E213" s="4" t="str">
        <f>IFERROR(INDEX('Criterios GISTM'!$H$2:$H$222,MATCH($C213,'Criterios GISTM'!$A$2:$A$222,0)),"")</f>
        <v xml:space="preserve"> 13.3 - A</v>
      </c>
      <c r="F213" s="16">
        <v>1</v>
      </c>
      <c r="G213" s="46">
        <f>IFERROR(INDEX('Criterios GISTM'!$J$2:$J$222,MATCH($C213,'Criterios GISTM'!$A$2:$A$222,0)),0)</f>
        <v>0.16666666666666666</v>
      </c>
      <c r="H213" s="24">
        <f>IFERROR(INDEX(Documentos!$F$2:$F$59,MATCH($A213,Documentos!$A$2:$A$59,0)),0)</f>
        <v>0.4</v>
      </c>
      <c r="I213" s="25">
        <f t="shared" si="3"/>
        <v>6.6666666666666666E-2</v>
      </c>
      <c r="J213" s="48" t="s">
        <v>1265</v>
      </c>
      <c r="K213" s="48" t="s">
        <v>51</v>
      </c>
    </row>
    <row r="214" spans="1:11">
      <c r="A214" s="19" t="s">
        <v>169</v>
      </c>
      <c r="B214" s="22" t="str">
        <f>IFERROR(INDEX(Documentos!$B$2:$B$59,MATCH($A214,Documentos!$A$2:$A$59,0)),"")</f>
        <v>Plan de Recuperación a Largo Plazo</v>
      </c>
      <c r="C214" s="18" t="s">
        <v>952</v>
      </c>
      <c r="D214" s="4" t="str">
        <f>IFERROR(INDEX('Criterios GISTM'!$D$2:$D$222,MATCH($C214,'Criterios GISTM'!$A$2:$A$222,0)),"")</f>
        <v>Principio 13</v>
      </c>
      <c r="E214" s="4" t="str">
        <f>IFERROR(INDEX('Criterios GISTM'!$H$2:$H$222,MATCH($C214,'Criterios GISTM'!$A$2:$A$222,0)),"")</f>
        <v xml:space="preserve"> 13.3 - B</v>
      </c>
      <c r="F214" s="16">
        <v>1</v>
      </c>
      <c r="G214" s="46">
        <f>IFERROR(INDEX('Criterios GISTM'!$J$2:$J$222,MATCH($C214,'Criterios GISTM'!$A$2:$A$222,0)),0)</f>
        <v>0.16666666666666666</v>
      </c>
      <c r="H214" s="24">
        <f>IFERROR(INDEX(Documentos!$F$2:$F$59,MATCH($A214,Documentos!$A$2:$A$59,0)),0)</f>
        <v>0.4</v>
      </c>
      <c r="I214" s="25">
        <f t="shared" si="3"/>
        <v>6.6666666666666666E-2</v>
      </c>
      <c r="J214" s="48" t="s">
        <v>1266</v>
      </c>
      <c r="K214" s="48" t="s">
        <v>51</v>
      </c>
    </row>
    <row r="215" spans="1:11">
      <c r="A215" s="19" t="s">
        <v>169</v>
      </c>
      <c r="B215" s="22" t="str">
        <f>IFERROR(INDEX(Documentos!$B$2:$B$59,MATCH($A215,Documentos!$A$2:$A$59,0)),"")</f>
        <v>Plan de Recuperación a Largo Plazo</v>
      </c>
      <c r="C215" s="18" t="s">
        <v>955</v>
      </c>
      <c r="D215" s="4" t="str">
        <f>IFERROR(INDEX('Criterios GISTM'!$D$2:$D$222,MATCH($C215,'Criterios GISTM'!$A$2:$A$222,0)),"")</f>
        <v>Principio 13</v>
      </c>
      <c r="E215" s="4" t="str">
        <f>IFERROR(INDEX('Criterios GISTM'!$H$2:$H$222,MATCH($C215,'Criterios GISTM'!$A$2:$A$222,0)),"")</f>
        <v xml:space="preserve"> 13.3 - C</v>
      </c>
      <c r="F215" s="16">
        <v>1</v>
      </c>
      <c r="G215" s="46">
        <f>IFERROR(INDEX('Criterios GISTM'!$J$2:$J$222,MATCH($C215,'Criterios GISTM'!$A$2:$A$222,0)),0)</f>
        <v>0.16666666666666666</v>
      </c>
      <c r="H215" s="24">
        <f>IFERROR(INDEX(Documentos!$F$2:$F$59,MATCH($A215,Documentos!$A$2:$A$59,0)),0)</f>
        <v>0.4</v>
      </c>
      <c r="I215" s="25">
        <f t="shared" si="3"/>
        <v>6.6666666666666666E-2</v>
      </c>
      <c r="J215" s="48" t="s">
        <v>1267</v>
      </c>
      <c r="K215" s="48" t="s">
        <v>51</v>
      </c>
    </row>
    <row r="216" spans="1:11">
      <c r="A216" s="19" t="s">
        <v>169</v>
      </c>
      <c r="B216" s="22" t="str">
        <f>IFERROR(INDEX(Documentos!$B$2:$B$59,MATCH($A216,Documentos!$A$2:$A$59,0)),"")</f>
        <v>Plan de Recuperación a Largo Plazo</v>
      </c>
      <c r="C216" s="18" t="s">
        <v>958</v>
      </c>
      <c r="D216" s="4" t="str">
        <f>IFERROR(INDEX('Criterios GISTM'!$D$2:$D$222,MATCH($C216,'Criterios GISTM'!$A$2:$A$222,0)),"")</f>
        <v>Principio 13</v>
      </c>
      <c r="E216" s="4" t="str">
        <f>IFERROR(INDEX('Criterios GISTM'!$H$2:$H$222,MATCH($C216,'Criterios GISTM'!$A$2:$A$222,0)),"")</f>
        <v xml:space="preserve"> 13.3 - D</v>
      </c>
      <c r="F216" s="16">
        <v>1</v>
      </c>
      <c r="G216" s="46">
        <f>IFERROR(INDEX('Criterios GISTM'!$J$2:$J$222,MATCH($C216,'Criterios GISTM'!$A$2:$A$222,0)),0)</f>
        <v>0.16666666666666666</v>
      </c>
      <c r="H216" s="24">
        <f>IFERROR(INDEX(Documentos!$F$2:$F$59,MATCH($A216,Documentos!$A$2:$A$59,0)),0)</f>
        <v>0.4</v>
      </c>
      <c r="I216" s="25">
        <f t="shared" si="3"/>
        <v>6.6666666666666666E-2</v>
      </c>
      <c r="J216" s="48" t="s">
        <v>1268</v>
      </c>
      <c r="K216" s="48" t="s">
        <v>51</v>
      </c>
    </row>
    <row r="217" spans="1:11">
      <c r="A217" s="19" t="s">
        <v>169</v>
      </c>
      <c r="B217" s="22" t="str">
        <f>IFERROR(INDEX(Documentos!$B$2:$B$59,MATCH($A217,Documentos!$A$2:$A$59,0)),"")</f>
        <v>Plan de Recuperación a Largo Plazo</v>
      </c>
      <c r="C217" s="18" t="s">
        <v>961</v>
      </c>
      <c r="D217" s="4" t="str">
        <f>IFERROR(INDEX('Criterios GISTM'!$D$2:$D$222,MATCH($C217,'Criterios GISTM'!$A$2:$A$222,0)),"")</f>
        <v>Principio 13</v>
      </c>
      <c r="E217" s="4" t="str">
        <f>IFERROR(INDEX('Criterios GISTM'!$H$2:$H$222,MATCH($C217,'Criterios GISTM'!$A$2:$A$222,0)),"")</f>
        <v xml:space="preserve"> 13.3 - E</v>
      </c>
      <c r="F217" s="16">
        <v>1</v>
      </c>
      <c r="G217" s="46">
        <f>IFERROR(INDEX('Criterios GISTM'!$J$2:$J$222,MATCH($C217,'Criterios GISTM'!$A$2:$A$222,0)),0)</f>
        <v>0.16666666666666666</v>
      </c>
      <c r="H217" s="24">
        <f>IFERROR(INDEX(Documentos!$F$2:$F$59,MATCH($A217,Documentos!$A$2:$A$59,0)),0)</f>
        <v>0.4</v>
      </c>
      <c r="I217" s="25">
        <f t="shared" si="3"/>
        <v>6.6666666666666666E-2</v>
      </c>
      <c r="J217" s="48" t="s">
        <v>1269</v>
      </c>
      <c r="K217" s="48" t="s">
        <v>51</v>
      </c>
    </row>
    <row r="218" spans="1:11">
      <c r="A218" s="19" t="s">
        <v>169</v>
      </c>
      <c r="B218" s="22" t="str">
        <f>IFERROR(INDEX(Documentos!$B$2:$B$59,MATCH($A218,Documentos!$A$2:$A$59,0)),"")</f>
        <v>Plan de Recuperación a Largo Plazo</v>
      </c>
      <c r="C218" s="18" t="s">
        <v>964</v>
      </c>
      <c r="D218" s="4" t="str">
        <f>IFERROR(INDEX('Criterios GISTM'!$D$2:$D$222,MATCH($C218,'Criterios GISTM'!$A$2:$A$222,0)),"")</f>
        <v>Principio 13</v>
      </c>
      <c r="E218" s="4" t="str">
        <f>IFERROR(INDEX('Criterios GISTM'!$H$2:$H$222,MATCH($C218,'Criterios GISTM'!$A$2:$A$222,0)),"")</f>
        <v xml:space="preserve"> 13.3 - F</v>
      </c>
      <c r="F218" s="16">
        <v>1</v>
      </c>
      <c r="G218" s="46">
        <f>IFERROR(INDEX('Criterios GISTM'!$J$2:$J$222,MATCH($C218,'Criterios GISTM'!$A$2:$A$222,0)),0)</f>
        <v>0.16666666666666666</v>
      </c>
      <c r="H218" s="24">
        <f>IFERROR(INDEX(Documentos!$F$2:$F$59,MATCH($A218,Documentos!$A$2:$A$59,0)),0)</f>
        <v>0.4</v>
      </c>
      <c r="I218" s="25">
        <f t="shared" si="3"/>
        <v>6.6666666666666666E-2</v>
      </c>
      <c r="J218" s="48" t="s">
        <v>1270</v>
      </c>
      <c r="K218" s="48" t="s">
        <v>51</v>
      </c>
    </row>
    <row r="219" spans="1:11">
      <c r="A219" s="19" t="s">
        <v>169</v>
      </c>
      <c r="B219" s="22" t="str">
        <f>IFERROR(INDEX(Documentos!$B$2:$B$59,MATCH($A219,Documentos!$A$2:$A$59,0)),"")</f>
        <v>Plan de Recuperación a Largo Plazo</v>
      </c>
      <c r="C219" s="18" t="s">
        <v>967</v>
      </c>
      <c r="D219" s="4" t="str">
        <f>IFERROR(INDEX('Criterios GISTM'!$D$2:$D$222,MATCH($C219,'Criterios GISTM'!$A$2:$A$222,0)),"")</f>
        <v>Principio 13</v>
      </c>
      <c r="E219" s="4" t="str">
        <f>IFERROR(INDEX('Criterios GISTM'!$H$2:$H$222,MATCH($C219,'Criterios GISTM'!$A$2:$A$222,0)),"")</f>
        <v xml:space="preserve"> 13.4 - A</v>
      </c>
      <c r="F219" s="16">
        <v>1</v>
      </c>
      <c r="G219" s="46">
        <f>IFERROR(INDEX('Criterios GISTM'!$J$2:$J$222,MATCH($C219,'Criterios GISTM'!$A$2:$A$222,0)),0)</f>
        <v>0.5</v>
      </c>
      <c r="H219" s="24">
        <f>IFERROR(INDEX(Documentos!$F$2:$F$59,MATCH($A219,Documentos!$A$2:$A$59,0)),0)</f>
        <v>0.4</v>
      </c>
      <c r="I219" s="25">
        <f t="shared" si="3"/>
        <v>0.2</v>
      </c>
      <c r="J219" s="48" t="s">
        <v>1271</v>
      </c>
      <c r="K219" s="48" t="s">
        <v>51</v>
      </c>
    </row>
    <row r="220" spans="1:11">
      <c r="A220" s="19" t="s">
        <v>169</v>
      </c>
      <c r="B220" s="22" t="str">
        <f>IFERROR(INDEX(Documentos!$B$2:$B$59,MATCH($A220,Documentos!$A$2:$A$59,0)),"")</f>
        <v>Plan de Recuperación a Largo Plazo</v>
      </c>
      <c r="C220" s="18" t="s">
        <v>972</v>
      </c>
      <c r="D220" s="4" t="str">
        <f>IFERROR(INDEX('Criterios GISTM'!$D$2:$D$222,MATCH($C220,'Criterios GISTM'!$A$2:$A$222,0)),"")</f>
        <v>Principio 13</v>
      </c>
      <c r="E220" s="4" t="str">
        <f>IFERROR(INDEX('Criterios GISTM'!$H$2:$H$222,MATCH($C220,'Criterios GISTM'!$A$2:$A$222,0)),"")</f>
        <v xml:space="preserve"> 13.4 - B</v>
      </c>
      <c r="F220" s="16">
        <v>1</v>
      </c>
      <c r="G220" s="46">
        <f>IFERROR(INDEX('Criterios GISTM'!$J$2:$J$222,MATCH($C220,'Criterios GISTM'!$A$2:$A$222,0)),0)</f>
        <v>0.5</v>
      </c>
      <c r="H220" s="24">
        <f>IFERROR(INDEX(Documentos!$F$2:$F$59,MATCH($A220,Documentos!$A$2:$A$59,0)),0)</f>
        <v>0.4</v>
      </c>
      <c r="I220" s="25">
        <f t="shared" si="3"/>
        <v>0.2</v>
      </c>
      <c r="J220" s="48" t="s">
        <v>1272</v>
      </c>
      <c r="K220" s="48" t="s">
        <v>51</v>
      </c>
    </row>
    <row r="221" spans="1:11">
      <c r="A221" s="19" t="s">
        <v>171</v>
      </c>
      <c r="B221" s="22" t="str">
        <f>IFERROR(INDEX(Documentos!$B$2:$B$59,MATCH($A221,Documentos!$A$2:$A$59,0)),"")</f>
        <v>Informe Recopilatorio de Divulgación Pública</v>
      </c>
      <c r="C221" s="18" t="s">
        <v>975</v>
      </c>
      <c r="D221" s="4" t="str">
        <f>IFERROR(INDEX('Criterios GISTM'!$D$2:$D$222,MATCH($C221,'Criterios GISTM'!$A$2:$A$222,0)),"")</f>
        <v>Principio 14</v>
      </c>
      <c r="E221" s="4" t="str">
        <f>IFERROR(INDEX('Criterios GISTM'!$H$2:$H$222,MATCH($C221,'Criterios GISTM'!$A$2:$A$222,0)),"")</f>
        <v xml:space="preserve"> 14.1 - A</v>
      </c>
      <c r="F221" s="16">
        <v>1</v>
      </c>
      <c r="G221" s="46">
        <f>IFERROR(INDEX('Criterios GISTM'!$J$2:$J$222,MATCH($C221,'Criterios GISTM'!$A$2:$A$222,0)),0)</f>
        <v>0.5</v>
      </c>
      <c r="H221" s="24">
        <f>IFERROR(INDEX(Documentos!$F$2:$F$59,MATCH($A221,Documentos!$A$2:$A$59,0)),0)</f>
        <v>0.7</v>
      </c>
      <c r="I221" s="25">
        <f t="shared" si="3"/>
        <v>0.35</v>
      </c>
      <c r="J221" s="48" t="s">
        <v>1273</v>
      </c>
      <c r="K221" s="48" t="s">
        <v>51</v>
      </c>
    </row>
    <row r="222" spans="1:11">
      <c r="A222" s="19" t="s">
        <v>171</v>
      </c>
      <c r="B222" s="22" t="str">
        <f>IFERROR(INDEX(Documentos!$B$2:$B$59,MATCH($A222,Documentos!$A$2:$A$59,0)),"")</f>
        <v>Informe Recopilatorio de Divulgación Pública</v>
      </c>
      <c r="C222" s="18" t="s">
        <v>982</v>
      </c>
      <c r="D222" s="4" t="str">
        <f>IFERROR(INDEX('Criterios GISTM'!$D$2:$D$222,MATCH($C222,'Criterios GISTM'!$A$2:$A$222,0)),"")</f>
        <v>Principio 14</v>
      </c>
      <c r="E222" s="4" t="str">
        <f>IFERROR(INDEX('Criterios GISTM'!$H$2:$H$222,MATCH($C222,'Criterios GISTM'!$A$2:$A$222,0)),"")</f>
        <v xml:space="preserve"> 14.1 - B</v>
      </c>
      <c r="F222" s="16">
        <v>1</v>
      </c>
      <c r="G222" s="46">
        <f>IFERROR(INDEX('Criterios GISTM'!$J$2:$J$222,MATCH($C222,'Criterios GISTM'!$A$2:$A$222,0)),0)</f>
        <v>0.5</v>
      </c>
      <c r="H222" s="24">
        <f>IFERROR(INDEX(Documentos!$F$2:$F$59,MATCH($A222,Documentos!$A$2:$A$59,0)),0)</f>
        <v>0.7</v>
      </c>
      <c r="I222" s="25">
        <f t="shared" si="3"/>
        <v>0.35</v>
      </c>
      <c r="J222" s="48" t="s">
        <v>1274</v>
      </c>
      <c r="K222" s="48" t="s">
        <v>51</v>
      </c>
    </row>
    <row r="223" spans="1:11">
      <c r="A223" s="19" t="s">
        <v>171</v>
      </c>
      <c r="B223" s="22" t="str">
        <f>IFERROR(INDEX(Documentos!$B$2:$B$59,MATCH($A223,Documentos!$A$2:$A$59,0)),"")</f>
        <v>Informe Recopilatorio de Divulgación Pública</v>
      </c>
      <c r="C223" s="18" t="s">
        <v>985</v>
      </c>
      <c r="D223" s="4" t="str">
        <f>IFERROR(INDEX('Criterios GISTM'!$D$2:$D$222,MATCH($C223,'Criterios GISTM'!$A$2:$A$222,0)),"")</f>
        <v>Principio 14</v>
      </c>
      <c r="E223" s="4" t="str">
        <f>IFERROR(INDEX('Criterios GISTM'!$H$2:$H$222,MATCH($C223,'Criterios GISTM'!$A$2:$A$222,0)),"")</f>
        <v xml:space="preserve"> 14.2 - A</v>
      </c>
      <c r="F223" s="16">
        <v>1</v>
      </c>
      <c r="G223" s="46">
        <f>IFERROR(INDEX('Criterios GISTM'!$J$2:$J$222,MATCH($C223,'Criterios GISTM'!$A$2:$A$222,0)),0)</f>
        <v>0.5</v>
      </c>
      <c r="H223" s="24">
        <f>IFERROR(INDEX(Documentos!$F$2:$F$59,MATCH($A223,Documentos!$A$2:$A$59,0)),0)</f>
        <v>0.7</v>
      </c>
      <c r="I223" s="25">
        <f t="shared" si="3"/>
        <v>0.35</v>
      </c>
      <c r="J223" s="48" t="s">
        <v>1275</v>
      </c>
      <c r="K223" s="48" t="s">
        <v>51</v>
      </c>
    </row>
    <row r="224" spans="1:11">
      <c r="A224" s="19" t="s">
        <v>171</v>
      </c>
      <c r="B224" s="22" t="str">
        <f>IFERROR(INDEX(Documentos!$B$2:$B$59,MATCH($A224,Documentos!$A$2:$A$59,0)),"")</f>
        <v>Informe Recopilatorio de Divulgación Pública</v>
      </c>
      <c r="C224" s="18" t="s">
        <v>990</v>
      </c>
      <c r="D224" s="4" t="str">
        <f>IFERROR(INDEX('Criterios GISTM'!$D$2:$D$222,MATCH($C224,'Criterios GISTM'!$A$2:$A$222,0)),"")</f>
        <v>Principio 14</v>
      </c>
      <c r="E224" s="4" t="str">
        <f>IFERROR(INDEX('Criterios GISTM'!$H$2:$H$222,MATCH($C224,'Criterios GISTM'!$A$2:$A$222,0)),"")</f>
        <v xml:space="preserve"> 14.2 - B</v>
      </c>
      <c r="F224" s="16">
        <v>1</v>
      </c>
      <c r="G224" s="46">
        <f>IFERROR(INDEX('Criterios GISTM'!$J$2:$J$222,MATCH($C224,'Criterios GISTM'!$A$2:$A$222,0)),0)</f>
        <v>0.5</v>
      </c>
      <c r="H224" s="24">
        <f>IFERROR(INDEX(Documentos!$F$2:$F$59,MATCH($A224,Documentos!$A$2:$A$59,0)),0)</f>
        <v>0.7</v>
      </c>
      <c r="I224" s="25">
        <f t="shared" si="3"/>
        <v>0.35</v>
      </c>
      <c r="J224" s="48" t="s">
        <v>1276</v>
      </c>
      <c r="K224" s="48" t="s">
        <v>51</v>
      </c>
    </row>
    <row r="225" spans="1:11">
      <c r="A225" s="19" t="s">
        <v>171</v>
      </c>
      <c r="B225" s="22" t="str">
        <f>IFERROR(INDEX(Documentos!$B$2:$B$59,MATCH($A225,Documentos!$A$2:$A$59,0)),"")</f>
        <v>Informe Recopilatorio de Divulgación Pública</v>
      </c>
      <c r="C225" s="18" t="s">
        <v>993</v>
      </c>
      <c r="D225" s="4" t="str">
        <f>IFERROR(INDEX('Criterios GISTM'!$D$2:$D$222,MATCH($C225,'Criterios GISTM'!$A$2:$A$222,0)),"")</f>
        <v>Principio 14</v>
      </c>
      <c r="E225" s="4" t="str">
        <f>IFERROR(INDEX('Criterios GISTM'!$H$2:$H$222,MATCH($C225,'Criterios GISTM'!$A$2:$A$222,0)),"")</f>
        <v xml:space="preserve"> 14.3 - A</v>
      </c>
      <c r="F225" s="16">
        <v>1</v>
      </c>
      <c r="G225" s="46">
        <f>IFERROR(INDEX('Criterios GISTM'!$J$2:$J$222,MATCH($C225,'Criterios GISTM'!$A$2:$A$222,0)),0)</f>
        <v>0.33333333333333331</v>
      </c>
      <c r="H225" s="24">
        <f>IFERROR(INDEX(Documentos!$F$2:$F$59,MATCH($A225,Documentos!$A$2:$A$59,0)),0)</f>
        <v>0.7</v>
      </c>
      <c r="I225" s="25">
        <f t="shared" si="3"/>
        <v>0.23333333333333331</v>
      </c>
      <c r="J225" s="48" t="s">
        <v>1277</v>
      </c>
      <c r="K225" s="48" t="s">
        <v>51</v>
      </c>
    </row>
    <row r="226" spans="1:11">
      <c r="A226" s="19" t="s">
        <v>171</v>
      </c>
      <c r="B226" s="22" t="str">
        <f>IFERROR(INDEX(Documentos!$B$2:$B$59,MATCH($A226,Documentos!$A$2:$A$59,0)),"")</f>
        <v>Informe Recopilatorio de Divulgación Pública</v>
      </c>
      <c r="C226" s="18" t="s">
        <v>998</v>
      </c>
      <c r="D226" s="4" t="str">
        <f>IFERROR(INDEX('Criterios GISTM'!$D$2:$D$222,MATCH($C226,'Criterios GISTM'!$A$2:$A$222,0)),"")</f>
        <v>Principio 14</v>
      </c>
      <c r="E226" s="4" t="str">
        <f>IFERROR(INDEX('Criterios GISTM'!$H$2:$H$222,MATCH($C226,'Criterios GISTM'!$A$2:$A$222,0)),"")</f>
        <v xml:space="preserve"> 14.3 - B</v>
      </c>
      <c r="F226" s="16">
        <v>1</v>
      </c>
      <c r="G226" s="46">
        <f>IFERROR(INDEX('Criterios GISTM'!$J$2:$J$222,MATCH($C226,'Criterios GISTM'!$A$2:$A$222,0)),0)</f>
        <v>0.33333333333333331</v>
      </c>
      <c r="H226" s="24">
        <f>IFERROR(INDEX(Documentos!$F$2:$F$59,MATCH($A226,Documentos!$A$2:$A$59,0)),0)</f>
        <v>0.7</v>
      </c>
      <c r="I226" s="25">
        <f t="shared" si="3"/>
        <v>0.23333333333333331</v>
      </c>
      <c r="J226" s="48" t="s">
        <v>1278</v>
      </c>
      <c r="K226" s="48" t="s">
        <v>51</v>
      </c>
    </row>
    <row r="227" spans="1:11">
      <c r="A227" s="19" t="s">
        <v>171</v>
      </c>
      <c r="B227" s="22" t="str">
        <f>IFERROR(INDEX(Documentos!$B$2:$B$59,MATCH($A227,Documentos!$A$2:$A$59,0)),"")</f>
        <v>Informe Recopilatorio de Divulgación Pública</v>
      </c>
      <c r="C227" s="18" t="s">
        <v>1001</v>
      </c>
      <c r="D227" s="4" t="str">
        <f>IFERROR(INDEX('Criterios GISTM'!$D$2:$D$222,MATCH($C227,'Criterios GISTM'!$A$2:$A$222,0)),"")</f>
        <v>Principio 14</v>
      </c>
      <c r="E227" s="4" t="str">
        <f>IFERROR(INDEX('Criterios GISTM'!$H$2:$H$222,MATCH($C227,'Criterios GISTM'!$A$2:$A$222,0)),"")</f>
        <v xml:space="preserve"> 14.3 - C</v>
      </c>
      <c r="F227" s="16">
        <v>1</v>
      </c>
      <c r="G227" s="46">
        <f>IFERROR(INDEX('Criterios GISTM'!$J$2:$J$222,MATCH($C227,'Criterios GISTM'!$A$2:$A$222,0)),0)</f>
        <v>0.33333333333333331</v>
      </c>
      <c r="H227" s="24">
        <f>IFERROR(INDEX(Documentos!$F$2:$F$59,MATCH($A227,Documentos!$A$2:$A$59,0)),0)</f>
        <v>0.7</v>
      </c>
      <c r="I227" s="25">
        <f t="shared" si="3"/>
        <v>0.23333333333333331</v>
      </c>
      <c r="J227" s="48" t="s">
        <v>1279</v>
      </c>
      <c r="K227" s="48" t="s">
        <v>51</v>
      </c>
    </row>
    <row r="228" spans="1:11">
      <c r="A228" s="19" t="s">
        <v>171</v>
      </c>
      <c r="B228" s="22" t="str">
        <f>IFERROR(INDEX(Documentos!$B$2:$B$59,MATCH($A228,Documentos!$A$2:$A$59,0)),"")</f>
        <v>Informe Recopilatorio de Divulgación Pública</v>
      </c>
      <c r="C228" s="18" t="s">
        <v>1004</v>
      </c>
      <c r="D228" s="4" t="str">
        <f>IFERROR(INDEX('Criterios GISTM'!$D$2:$D$222,MATCH($C228,'Criterios GISTM'!$A$2:$A$222,0)),"")</f>
        <v>Principio 14</v>
      </c>
      <c r="E228" s="4" t="str">
        <f>IFERROR(INDEX('Criterios GISTM'!$H$2:$H$222,MATCH($C228,'Criterios GISTM'!$A$2:$A$222,0)),"")</f>
        <v xml:space="preserve"> 14.4 - A</v>
      </c>
      <c r="F228" s="16">
        <v>1</v>
      </c>
      <c r="G228" s="46">
        <f>IFERROR(INDEX('Criterios GISTM'!$J$2:$J$222,MATCH($C228,'Criterios GISTM'!$A$2:$A$222,0)),0)</f>
        <v>1</v>
      </c>
      <c r="H228" s="24">
        <f>IFERROR(INDEX(Documentos!$F$2:$F$59,MATCH($A228,Documentos!$A$2:$A$59,0)),0)</f>
        <v>0.7</v>
      </c>
      <c r="I228" s="25">
        <f t="shared" si="3"/>
        <v>0.7</v>
      </c>
      <c r="J228" s="48" t="s">
        <v>1280</v>
      </c>
      <c r="K228" s="48" t="s">
        <v>51</v>
      </c>
    </row>
    <row r="229" spans="1:11">
      <c r="A229" s="19" t="s">
        <v>171</v>
      </c>
      <c r="B229" s="22" t="str">
        <f>IFERROR(INDEX(Documentos!$B$2:$B$59,MATCH($A229,Documentos!$A$2:$A$59,0)),"")</f>
        <v>Informe Recopilatorio de Divulgación Pública</v>
      </c>
      <c r="C229" s="18" t="s">
        <v>1009</v>
      </c>
      <c r="D229" s="4" t="str">
        <f>IFERROR(INDEX('Criterios GISTM'!$D$2:$D$222,MATCH($C229,'Criterios GISTM'!$A$2:$A$222,0)),"")</f>
        <v>Principio 14</v>
      </c>
      <c r="E229" s="4" t="str">
        <f>IFERROR(INDEX('Criterios GISTM'!$H$2:$H$222,MATCH($C229,'Criterios GISTM'!$A$2:$A$222,0)),"")</f>
        <v xml:space="preserve"> 14.5 - A</v>
      </c>
      <c r="F229" s="16">
        <v>1</v>
      </c>
      <c r="G229" s="46">
        <f>IFERROR(INDEX('Criterios GISTM'!$J$2:$J$222,MATCH($C229,'Criterios GISTM'!$A$2:$A$222,0)),0)</f>
        <v>0.33333333333333331</v>
      </c>
      <c r="H229" s="24">
        <f>IFERROR(INDEX(Documentos!$F$2:$F$59,MATCH($A229,Documentos!$A$2:$A$59,0)),0)</f>
        <v>0.7</v>
      </c>
      <c r="I229" s="25">
        <f t="shared" si="3"/>
        <v>0.23333333333333331</v>
      </c>
      <c r="J229" s="48" t="s">
        <v>1281</v>
      </c>
      <c r="K229" s="48" t="s">
        <v>51</v>
      </c>
    </row>
    <row r="230" spans="1:11">
      <c r="A230" s="19" t="s">
        <v>171</v>
      </c>
      <c r="B230" s="22" t="str">
        <f>IFERROR(INDEX(Documentos!$B$2:$B$59,MATCH($A230,Documentos!$A$2:$A$59,0)),"")</f>
        <v>Informe Recopilatorio de Divulgación Pública</v>
      </c>
      <c r="C230" s="18" t="s">
        <v>1014</v>
      </c>
      <c r="D230" s="4" t="str">
        <f>IFERROR(INDEX('Criterios GISTM'!$D$2:$D$222,MATCH($C230,'Criterios GISTM'!$A$2:$A$222,0)),"")</f>
        <v>Principio 14</v>
      </c>
      <c r="E230" s="4" t="str">
        <f>IFERROR(INDEX('Criterios GISTM'!$H$2:$H$222,MATCH($C230,'Criterios GISTM'!$A$2:$A$222,0)),"")</f>
        <v xml:space="preserve"> 14.5 - B</v>
      </c>
      <c r="F230" s="16">
        <v>1</v>
      </c>
      <c r="G230" s="46">
        <f>IFERROR(INDEX('Criterios GISTM'!$J$2:$J$222,MATCH($C230,'Criterios GISTM'!$A$2:$A$222,0)),0)</f>
        <v>0.33333333333333331</v>
      </c>
      <c r="H230" s="24">
        <f>IFERROR(INDEX(Documentos!$F$2:$F$59,MATCH($A230,Documentos!$A$2:$A$59,0)),0)</f>
        <v>0.7</v>
      </c>
      <c r="I230" s="25">
        <f t="shared" si="3"/>
        <v>0.23333333333333331</v>
      </c>
      <c r="J230" s="48" t="s">
        <v>1282</v>
      </c>
      <c r="K230" s="48" t="s">
        <v>51</v>
      </c>
    </row>
    <row r="231" spans="1:11">
      <c r="A231" s="19" t="s">
        <v>171</v>
      </c>
      <c r="B231" s="22" t="str">
        <f>IFERROR(INDEX(Documentos!$B$2:$B$59,MATCH($A231,Documentos!$A$2:$A$59,0)),"")</f>
        <v>Informe Recopilatorio de Divulgación Pública</v>
      </c>
      <c r="C231" s="18" t="s">
        <v>1017</v>
      </c>
      <c r="D231" s="4" t="str">
        <f>IFERROR(INDEX('Criterios GISTM'!$D$2:$D$222,MATCH($C231,'Criterios GISTM'!$A$2:$A$222,0)),"")</f>
        <v>Principio 14</v>
      </c>
      <c r="E231" s="4" t="str">
        <f>IFERROR(INDEX('Criterios GISTM'!$H$2:$H$222,MATCH($C231,'Criterios GISTM'!$A$2:$A$222,0)),"")</f>
        <v xml:space="preserve"> 14.5 - C</v>
      </c>
      <c r="F231" s="16">
        <v>1</v>
      </c>
      <c r="G231" s="46">
        <f>IFERROR(INDEX('Criterios GISTM'!$J$2:$J$222,MATCH($C231,'Criterios GISTM'!$A$2:$A$222,0)),0)</f>
        <v>0.33333333333333331</v>
      </c>
      <c r="H231" s="24">
        <f>IFERROR(INDEX(Documentos!$F$2:$F$59,MATCH($A231,Documentos!$A$2:$A$59,0)),0)</f>
        <v>0.7</v>
      </c>
      <c r="I231" s="25">
        <f t="shared" si="3"/>
        <v>0.23333333333333331</v>
      </c>
      <c r="J231" s="48" t="s">
        <v>1283</v>
      </c>
      <c r="K231" s="48" t="s">
        <v>51</v>
      </c>
    </row>
    <row r="232" spans="1:11">
      <c r="A232" s="19" t="s">
        <v>174</v>
      </c>
      <c r="B232" s="22" t="str">
        <f>IFERROR(INDEX(Documentos!$B$2:$B$59,MATCH($A232,Documentos!$A$2:$A$59,0)),"")</f>
        <v>Procedimiento Gestión de Información Pública</v>
      </c>
      <c r="C232" s="18" t="s">
        <v>1020</v>
      </c>
      <c r="D232" s="4" t="str">
        <f>IFERROR(INDEX('Criterios GISTM'!$D$2:$D$222,MATCH($C232,'Criterios GISTM'!$A$2:$A$222,0)),"")</f>
        <v>Principio 15</v>
      </c>
      <c r="E232" s="4" t="str">
        <f>IFERROR(INDEX('Criterios GISTM'!$H$2:$H$222,MATCH($C232,'Criterios GISTM'!$A$2:$A$222,0)),"")</f>
        <v xml:space="preserve"> 15.1 - A</v>
      </c>
      <c r="F232" s="16">
        <v>1</v>
      </c>
      <c r="G232" s="46">
        <f>IFERROR(INDEX('Criterios GISTM'!$J$2:$J$222,MATCH($C232,'Criterios GISTM'!$A$2:$A$222,0)),0)</f>
        <v>0.5</v>
      </c>
      <c r="H232" s="24">
        <f>IFERROR(INDEX(Documentos!$F$2:$F$59,MATCH($A232,Documentos!$A$2:$A$59,0)),0)</f>
        <v>1</v>
      </c>
      <c r="I232" s="25">
        <f t="shared" si="3"/>
        <v>0.5</v>
      </c>
      <c r="J232" s="48" t="s">
        <v>1284</v>
      </c>
      <c r="K232" s="48" t="s">
        <v>51</v>
      </c>
    </row>
  </sheetData>
  <phoneticPr fontId="12" type="noConversion"/>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zoomScaleNormal="100" workbookViewId="0">
      <pane ySplit="1" topLeftCell="A2" activePane="bottomLeft" state="frozen"/>
      <selection pane="bottomLeft" activeCell="F2" sqref="F2"/>
    </sheetView>
  </sheetViews>
  <sheetFormatPr defaultColWidth="8.7109375" defaultRowHeight="14.45"/>
  <cols>
    <col min="1" max="1" width="7" style="27" customWidth="1"/>
    <col min="2" max="2" width="89.28515625" style="30" customWidth="1"/>
    <col min="3" max="3" width="15.140625" customWidth="1"/>
    <col min="4" max="4" width="55" customWidth="1"/>
    <col min="5" max="8" width="14" customWidth="1"/>
  </cols>
  <sheetData>
    <row r="1" spans="1:8" ht="39.6">
      <c r="A1" s="9" t="s">
        <v>177</v>
      </c>
      <c r="B1" s="28" t="s">
        <v>178</v>
      </c>
      <c r="C1" s="9" t="s">
        <v>179</v>
      </c>
      <c r="D1" s="9" t="s">
        <v>180</v>
      </c>
      <c r="E1" s="9" t="s">
        <v>1285</v>
      </c>
      <c r="F1" s="9" t="s">
        <v>1286</v>
      </c>
      <c r="G1" s="9" t="s">
        <v>1287</v>
      </c>
      <c r="H1" s="9" t="s">
        <v>1288</v>
      </c>
    </row>
    <row r="2" spans="1:8" ht="30" customHeight="1">
      <c r="A2" s="26" t="s">
        <v>187</v>
      </c>
      <c r="B2" s="29" t="s">
        <v>188</v>
      </c>
      <c r="C2" s="3" t="s">
        <v>189</v>
      </c>
      <c r="D2" s="6" t="s">
        <v>190</v>
      </c>
      <c r="E2" s="7">
        <f>COUNTIFS(Documento_x_Criterio!$D$2:$D$232,$C2)</f>
        <v>11</v>
      </c>
      <c r="F2" s="5">
        <f>SUMPRODUCT((Documento_x_Criterio!$D$2:$D$232=$C2)*Documento_x_Criterio!$F$2:$F$232*Documento_x_Criterio!$G$2:$G$232)</f>
        <v>4.5</v>
      </c>
      <c r="G2" s="5">
        <f>SUMIFS(Documento_x_Criterio!$I$2:$I$232,Documento_x_Criterio!$D$2:$D$232,$C2)</f>
        <v>1.5</v>
      </c>
      <c r="H2" s="8">
        <f t="shared" ref="H2:H16" si="0">IFERROR(G2/F2,0)</f>
        <v>0.33333333333333331</v>
      </c>
    </row>
    <row r="3" spans="1:8" ht="30" customHeight="1">
      <c r="A3" s="26" t="s">
        <v>231</v>
      </c>
      <c r="B3" s="29" t="s">
        <v>232</v>
      </c>
      <c r="C3" s="3" t="s">
        <v>233</v>
      </c>
      <c r="D3" s="6" t="s">
        <v>234</v>
      </c>
      <c r="E3" s="7">
        <f>COUNTIFS(Documento_x_Criterio!$D$2:$D$232,$C3)</f>
        <v>19</v>
      </c>
      <c r="F3" s="5">
        <f>SUMPRODUCT((Documento_x_Criterio!$D$2:$D$232=$C3)*Documento_x_Criterio!$F$2:$F$232*Documento_x_Criterio!$G$2:$G$232)</f>
        <v>5.9999999999999982</v>
      </c>
      <c r="G3" s="5">
        <f>SUMIFS(Documento_x_Criterio!$I$2:$I$232,Documento_x_Criterio!$D$2:$D$232,$C3)</f>
        <v>4.4000000000000004</v>
      </c>
      <c r="H3" s="8">
        <f t="shared" si="0"/>
        <v>0.73333333333333361</v>
      </c>
    </row>
    <row r="4" spans="1:8" ht="30" customHeight="1">
      <c r="A4" s="26" t="s">
        <v>231</v>
      </c>
      <c r="B4" s="29" t="s">
        <v>232</v>
      </c>
      <c r="C4" s="3" t="s">
        <v>282</v>
      </c>
      <c r="D4" s="6" t="s">
        <v>283</v>
      </c>
      <c r="E4" s="7">
        <f>COUNTIFS(Documento_x_Criterio!$D$2:$D$232,$C4)</f>
        <v>12</v>
      </c>
      <c r="F4" s="5">
        <f>SUMPRODUCT((Documento_x_Criterio!$D$2:$D$232=$C4)*Documento_x_Criterio!$F$2:$F$232*Documento_x_Criterio!$G$2:$G$232)</f>
        <v>5</v>
      </c>
      <c r="G4" s="5">
        <f>SUMIFS(Documento_x_Criterio!$I$2:$I$232,Documento_x_Criterio!$D$2:$D$232,$C4)</f>
        <v>1.2000000000000004</v>
      </c>
      <c r="H4" s="8">
        <f t="shared" si="0"/>
        <v>0.24000000000000007</v>
      </c>
    </row>
    <row r="5" spans="1:8" ht="30" customHeight="1">
      <c r="A5" s="26" t="s">
        <v>322</v>
      </c>
      <c r="B5" s="29" t="s">
        <v>323</v>
      </c>
      <c r="C5" s="3" t="s">
        <v>324</v>
      </c>
      <c r="D5" s="6" t="s">
        <v>325</v>
      </c>
      <c r="E5" s="7">
        <f>COUNTIFS(Documento_x_Criterio!$D$2:$D$232,$C5)</f>
        <v>21</v>
      </c>
      <c r="F5" s="5">
        <f>SUMPRODUCT((Documento_x_Criterio!$D$2:$D$232=$C5)*Documento_x_Criterio!$F$2:$F$232*Documento_x_Criterio!$G$2:$G$232)</f>
        <v>7.9999999999999982</v>
      </c>
      <c r="G5" s="5">
        <f>SUMIFS(Documento_x_Criterio!$I$2:$I$232,Documento_x_Criterio!$D$2:$D$232,$C5)</f>
        <v>1.8</v>
      </c>
      <c r="H5" s="8">
        <f t="shared" si="0"/>
        <v>0.22500000000000006</v>
      </c>
    </row>
    <row r="6" spans="1:8" ht="30" customHeight="1">
      <c r="A6" s="26" t="s">
        <v>322</v>
      </c>
      <c r="B6" s="29" t="s">
        <v>323</v>
      </c>
      <c r="C6" s="3" t="s">
        <v>405</v>
      </c>
      <c r="D6" s="6" t="s">
        <v>406</v>
      </c>
      <c r="E6" s="7">
        <f>COUNTIFS(Documento_x_Criterio!$D$2:$D$232,$C6)</f>
        <v>22</v>
      </c>
      <c r="F6" s="5">
        <f>SUMPRODUCT((Documento_x_Criterio!$D$2:$D$232=$C6)*Documento_x_Criterio!$F$2:$F$232*Documento_x_Criterio!$G$2:$G$232)</f>
        <v>8</v>
      </c>
      <c r="G6" s="5">
        <f>SUMIFS(Documento_x_Criterio!$I$2:$I$232,Documento_x_Criterio!$D$2:$D$232,$C6)</f>
        <v>4.5833333333333321</v>
      </c>
      <c r="H6" s="8">
        <f t="shared" si="0"/>
        <v>0.57291666666666652</v>
      </c>
    </row>
    <row r="7" spans="1:8" ht="30" customHeight="1">
      <c r="A7" s="26" t="s">
        <v>322</v>
      </c>
      <c r="B7" s="29" t="s">
        <v>323</v>
      </c>
      <c r="C7" s="3" t="s">
        <v>489</v>
      </c>
      <c r="D7" s="6" t="s">
        <v>490</v>
      </c>
      <c r="E7" s="7">
        <f>COUNTIFS(Documento_x_Criterio!$D$2:$D$232,$C7)</f>
        <v>24</v>
      </c>
      <c r="F7" s="5">
        <f>SUMPRODUCT((Documento_x_Criterio!$D$2:$D$232=$C7)*Documento_x_Criterio!$F$2:$F$232*Documento_x_Criterio!$G$2:$G$232)</f>
        <v>7.7500000000000027</v>
      </c>
      <c r="G7" s="5">
        <f>SUMIFS(Documento_x_Criterio!$I$2:$I$232,Documento_x_Criterio!$D$2:$D$232,$C7)</f>
        <v>2.3600000000000008</v>
      </c>
      <c r="H7" s="8">
        <f t="shared" si="0"/>
        <v>0.30451612903225805</v>
      </c>
    </row>
    <row r="8" spans="1:8" ht="30" customHeight="1">
      <c r="A8" s="26" t="s">
        <v>322</v>
      </c>
      <c r="B8" s="29" t="s">
        <v>323</v>
      </c>
      <c r="C8" s="3" t="s">
        <v>566</v>
      </c>
      <c r="D8" s="6" t="s">
        <v>567</v>
      </c>
      <c r="E8" s="7">
        <f>COUNTIFS(Documento_x_Criterio!$D$2:$D$232,$C8)</f>
        <v>16</v>
      </c>
      <c r="F8" s="5">
        <f>SUMPRODUCT((Documento_x_Criterio!$D$2:$D$232=$C8)*Documento_x_Criterio!$F$2:$F$232*Documento_x_Criterio!$G$2:$G$232)</f>
        <v>5.0000000000000009</v>
      </c>
      <c r="G8" s="5">
        <f>SUMIFS(Documento_x_Criterio!$I$2:$I$232,Documento_x_Criterio!$D$2:$D$232,$C8)</f>
        <v>1.1333333333333333</v>
      </c>
      <c r="H8" s="8">
        <f t="shared" si="0"/>
        <v>0.22666666666666663</v>
      </c>
    </row>
    <row r="9" spans="1:8" ht="30" customHeight="1">
      <c r="A9" s="26" t="s">
        <v>626</v>
      </c>
      <c r="B9" s="29" t="s">
        <v>627</v>
      </c>
      <c r="C9" s="3" t="s">
        <v>628</v>
      </c>
      <c r="D9" s="6" t="s">
        <v>629</v>
      </c>
      <c r="E9" s="7">
        <f>COUNTIFS(Documento_x_Criterio!$D$2:$D$232,$C9)</f>
        <v>26</v>
      </c>
      <c r="F9" s="5">
        <f>SUMPRODUCT((Documento_x_Criterio!$D$2:$D$232=$C9)*Documento_x_Criterio!$F$2:$F$232*Documento_x_Criterio!$G$2:$G$232)</f>
        <v>7.200000000000002</v>
      </c>
      <c r="G9" s="5">
        <f>SUMIFS(Documento_x_Criterio!$I$2:$I$232,Documento_x_Criterio!$D$2:$D$232,$C9)</f>
        <v>3.5800000000000005</v>
      </c>
      <c r="H9" s="8">
        <f t="shared" si="0"/>
        <v>0.49722222222222218</v>
      </c>
    </row>
    <row r="10" spans="1:8" ht="30" customHeight="1">
      <c r="A10" s="26" t="s">
        <v>626</v>
      </c>
      <c r="B10" s="29" t="s">
        <v>627</v>
      </c>
      <c r="C10" s="3" t="s">
        <v>719</v>
      </c>
      <c r="D10" s="6" t="s">
        <v>720</v>
      </c>
      <c r="E10" s="7">
        <f>COUNTIFS(Documento_x_Criterio!$D$2:$D$232,$C10)</f>
        <v>14</v>
      </c>
      <c r="F10" s="5">
        <f>SUMPRODUCT((Documento_x_Criterio!$D$2:$D$232=$C10)*Documento_x_Criterio!$F$2:$F$232*Documento_x_Criterio!$G$2:$G$232)</f>
        <v>5</v>
      </c>
      <c r="G10" s="5">
        <f>SUMIFS(Documento_x_Criterio!$I$2:$I$232,Documento_x_Criterio!$D$2:$D$232,$C10)</f>
        <v>4.7</v>
      </c>
      <c r="H10" s="8">
        <f t="shared" si="0"/>
        <v>0.94000000000000006</v>
      </c>
    </row>
    <row r="11" spans="1:8" ht="30" customHeight="1">
      <c r="A11" s="26" t="s">
        <v>626</v>
      </c>
      <c r="B11" s="29" t="s">
        <v>627</v>
      </c>
      <c r="C11" s="3" t="s">
        <v>773</v>
      </c>
      <c r="D11" s="6" t="s">
        <v>774</v>
      </c>
      <c r="E11" s="7">
        <f>COUNTIFS(Documento_x_Criterio!$D$2:$D$232,$C11)</f>
        <v>24</v>
      </c>
      <c r="F11" s="5">
        <f>SUMPRODUCT((Documento_x_Criterio!$D$2:$D$232=$C11)*Documento_x_Criterio!$F$2:$F$232*Documento_x_Criterio!$G$2:$G$232)</f>
        <v>6.9999999999999991</v>
      </c>
      <c r="G11" s="5">
        <f>SUMIFS(Documento_x_Criterio!$I$2:$I$232,Documento_x_Criterio!$D$2:$D$232,$C11)</f>
        <v>5.6333333333333329</v>
      </c>
      <c r="H11" s="8">
        <f t="shared" si="0"/>
        <v>0.80476190476190479</v>
      </c>
    </row>
    <row r="12" spans="1:8" ht="30" customHeight="1">
      <c r="A12" s="26" t="s">
        <v>626</v>
      </c>
      <c r="B12" s="29" t="s">
        <v>627</v>
      </c>
      <c r="C12" s="3" t="s">
        <v>861</v>
      </c>
      <c r="D12" s="6" t="s">
        <v>862</v>
      </c>
      <c r="E12" s="7">
        <f>COUNTIFS(Documento_x_Criterio!$D$2:$D$232,$C12)</f>
        <v>11</v>
      </c>
      <c r="F12" s="5">
        <f>SUMPRODUCT((Documento_x_Criterio!$D$2:$D$232=$C12)*Documento_x_Criterio!$F$2:$F$232*Documento_x_Criterio!$G$2:$G$232)</f>
        <v>6.9999999999999991</v>
      </c>
      <c r="G12" s="5">
        <f>SUMIFS(Documento_x_Criterio!$I$2:$I$232,Documento_x_Criterio!$D$2:$D$232,$C12)</f>
        <v>3.5000000000000004</v>
      </c>
      <c r="H12" s="8">
        <f t="shared" si="0"/>
        <v>0.50000000000000011</v>
      </c>
    </row>
    <row r="13" spans="1:8" ht="30" customHeight="1">
      <c r="A13" s="26" t="s">
        <v>626</v>
      </c>
      <c r="B13" s="29" t="s">
        <v>627</v>
      </c>
      <c r="C13" s="3" t="s">
        <v>901</v>
      </c>
      <c r="D13" s="6" t="s">
        <v>902</v>
      </c>
      <c r="E13" s="7">
        <f>COUNTIFS(Documento_x_Criterio!$D$2:$D$232,$C13)</f>
        <v>2</v>
      </c>
      <c r="F13" s="5">
        <f>SUMPRODUCT((Documento_x_Criterio!$D$2:$D$232=$C13)*Documento_x_Criterio!$F$2:$F$232*Documento_x_Criterio!$G$2:$G$232)</f>
        <v>2</v>
      </c>
      <c r="G13" s="5">
        <f>SUMIFS(Documento_x_Criterio!$I$2:$I$232,Documento_x_Criterio!$D$2:$D$232,$C13)</f>
        <v>0.8</v>
      </c>
      <c r="H13" s="8">
        <f t="shared" si="0"/>
        <v>0.4</v>
      </c>
    </row>
    <row r="14" spans="1:8" ht="30" customHeight="1">
      <c r="A14" s="26" t="s">
        <v>913</v>
      </c>
      <c r="B14" s="29" t="s">
        <v>914</v>
      </c>
      <c r="C14" s="3" t="s">
        <v>915</v>
      </c>
      <c r="D14" s="6" t="s">
        <v>916</v>
      </c>
      <c r="E14" s="7">
        <f>COUNTIFS(Documento_x_Criterio!$D$2:$D$232,$C14)</f>
        <v>17</v>
      </c>
      <c r="F14" s="5">
        <f>SUMPRODUCT((Documento_x_Criterio!$D$2:$D$232=$C14)*Documento_x_Criterio!$F$2:$F$232*Documento_x_Criterio!$G$2:$G$232)</f>
        <v>3.9999999999999991</v>
      </c>
      <c r="G14" s="5">
        <f>SUMIFS(Documento_x_Criterio!$I$2:$I$232,Documento_x_Criterio!$D$2:$D$232,$C14)</f>
        <v>1.5999999999999999</v>
      </c>
      <c r="H14" s="8">
        <f t="shared" si="0"/>
        <v>0.40000000000000008</v>
      </c>
    </row>
    <row r="15" spans="1:8" ht="30" customHeight="1">
      <c r="A15" s="26" t="s">
        <v>913</v>
      </c>
      <c r="B15" s="29" t="s">
        <v>914</v>
      </c>
      <c r="C15" s="3" t="s">
        <v>976</v>
      </c>
      <c r="D15" s="6" t="s">
        <v>977</v>
      </c>
      <c r="E15" s="7">
        <f>COUNTIFS(Documento_x_Criterio!$D$2:$D$232,$C15)</f>
        <v>11</v>
      </c>
      <c r="F15" s="5">
        <f>SUMPRODUCT((Documento_x_Criterio!$D$2:$D$232=$C15)*Documento_x_Criterio!$F$2:$F$232*Documento_x_Criterio!$G$2:$G$232)</f>
        <v>4.9999999999999991</v>
      </c>
      <c r="G15" s="5">
        <f>SUMIFS(Documento_x_Criterio!$I$2:$I$232,Documento_x_Criterio!$D$2:$D$232,$C15)</f>
        <v>3.5</v>
      </c>
      <c r="H15" s="8">
        <f t="shared" si="0"/>
        <v>0.70000000000000018</v>
      </c>
    </row>
    <row r="16" spans="1:8" ht="30" customHeight="1">
      <c r="A16" s="26" t="s">
        <v>1021</v>
      </c>
      <c r="B16" s="29" t="s">
        <v>1022</v>
      </c>
      <c r="C16" s="3" t="s">
        <v>1023</v>
      </c>
      <c r="D16" s="6" t="s">
        <v>1024</v>
      </c>
      <c r="E16" s="7">
        <f>COUNTIFS(Documento_x_Criterio!$D$2:$D$232,$C16)</f>
        <v>1</v>
      </c>
      <c r="F16" s="5">
        <f>SUMPRODUCT((Documento_x_Criterio!$D$2:$D$232=$C16)*Documento_x_Criterio!$F$2:$F$232*Documento_x_Criterio!$G$2:$G$232)</f>
        <v>0.5</v>
      </c>
      <c r="G16" s="5">
        <f>SUMIFS(Documento_x_Criterio!$I$2:$I$232,Documento_x_Criterio!$D$2:$D$232,$C16)</f>
        <v>0.5</v>
      </c>
      <c r="H16" s="8">
        <f t="shared" si="0"/>
        <v>1</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zoomScaleNormal="100" workbookViewId="0">
      <pane ySplit="1" topLeftCell="A2" activePane="bottomLeft" state="frozen"/>
      <selection pane="bottomLeft" activeCell="D2" sqref="D2"/>
    </sheetView>
  </sheetViews>
  <sheetFormatPr defaultColWidth="8.7109375" defaultRowHeight="14.45"/>
  <cols>
    <col min="1" max="1" width="7" customWidth="1"/>
    <col min="2" max="2" width="34" customWidth="1"/>
    <col min="3" max="4" width="16" customWidth="1"/>
    <col min="5" max="5" width="14" customWidth="1"/>
  </cols>
  <sheetData>
    <row r="1" spans="1:5" ht="26.45">
      <c r="A1" s="9" t="s">
        <v>177</v>
      </c>
      <c r="B1" s="9" t="s">
        <v>178</v>
      </c>
      <c r="C1" s="9" t="s">
        <v>1286</v>
      </c>
      <c r="D1" s="9" t="s">
        <v>1287</v>
      </c>
      <c r="E1" s="9" t="s">
        <v>1289</v>
      </c>
    </row>
    <row r="2" spans="1:5">
      <c r="A2" s="3" t="s">
        <v>187</v>
      </c>
      <c r="B2" s="3" t="s">
        <v>188</v>
      </c>
      <c r="C2" s="5">
        <f>SUMIFS('Avance por Principio'!$F$2:$F$16,'Avance por Principio'!$A$2:$A$16,$A2)</f>
        <v>4.5</v>
      </c>
      <c r="D2" s="5">
        <f>SUMIFS('Avance por Principio'!$G$2:$G$16,'Avance por Principio'!$A$2:$A$16,$A2)</f>
        <v>1.5</v>
      </c>
      <c r="E2" s="8">
        <f t="shared" ref="E2:E7" si="0">IFERROR(D2/C2,0)</f>
        <v>0.33333333333333331</v>
      </c>
    </row>
    <row r="3" spans="1:5">
      <c r="A3" s="3" t="s">
        <v>231</v>
      </c>
      <c r="B3" s="3" t="s">
        <v>232</v>
      </c>
      <c r="C3" s="5">
        <f>SUMIFS('Avance por Principio'!$F$2:$F$16,'Avance por Principio'!$A$2:$A$16,$A3)</f>
        <v>10.999999999999998</v>
      </c>
      <c r="D3" s="5">
        <f>SUMIFS('Avance por Principio'!$G$2:$G$16,'Avance por Principio'!$A$2:$A$16,$A3)</f>
        <v>5.6000000000000005</v>
      </c>
      <c r="E3" s="8">
        <f t="shared" si="0"/>
        <v>0.50909090909090926</v>
      </c>
    </row>
    <row r="4" spans="1:5">
      <c r="A4" s="3" t="s">
        <v>322</v>
      </c>
      <c r="B4" s="3" t="s">
        <v>323</v>
      </c>
      <c r="C4" s="5">
        <f>SUMIFS('Avance por Principio'!$F$2:$F$16,'Avance por Principio'!$A$2:$A$16,$A4)</f>
        <v>28.75</v>
      </c>
      <c r="D4" s="5">
        <f>SUMIFS('Avance por Principio'!$G$2:$G$16,'Avance por Principio'!$A$2:$A$16,$A4)</f>
        <v>9.8766666666666652</v>
      </c>
      <c r="E4" s="8">
        <f t="shared" si="0"/>
        <v>0.34353623188405791</v>
      </c>
    </row>
    <row r="5" spans="1:5">
      <c r="A5" s="3" t="s">
        <v>626</v>
      </c>
      <c r="B5" s="3" t="s">
        <v>627</v>
      </c>
      <c r="C5" s="5">
        <f>SUMIFS('Avance por Principio'!$F$2:$F$16,'Avance por Principio'!$A$2:$A$16,$A5)</f>
        <v>28.200000000000003</v>
      </c>
      <c r="D5" s="5">
        <f>SUMIFS('Avance por Principio'!$G$2:$G$16,'Avance por Principio'!$A$2:$A$16,$A5)</f>
        <v>18.213333333333335</v>
      </c>
      <c r="E5" s="8">
        <f t="shared" si="0"/>
        <v>0.64586288416075643</v>
      </c>
    </row>
    <row r="6" spans="1:5">
      <c r="A6" s="3" t="s">
        <v>913</v>
      </c>
      <c r="B6" s="3" t="s">
        <v>914</v>
      </c>
      <c r="C6" s="5">
        <f>SUMIFS('Avance por Principio'!$F$2:$F$16,'Avance por Principio'!$A$2:$A$16,$A6)</f>
        <v>8.9999999999999982</v>
      </c>
      <c r="D6" s="5">
        <f>SUMIFS('Avance por Principio'!$G$2:$G$16,'Avance por Principio'!$A$2:$A$16,$A6)</f>
        <v>5.0999999999999996</v>
      </c>
      <c r="E6" s="8">
        <f t="shared" si="0"/>
        <v>0.56666666666666676</v>
      </c>
    </row>
    <row r="7" spans="1:5">
      <c r="A7" s="3" t="s">
        <v>1021</v>
      </c>
      <c r="B7" s="3" t="s">
        <v>1022</v>
      </c>
      <c r="C7" s="5">
        <f>SUMIFS('Avance por Principio'!$F$2:$F$16,'Avance por Principio'!$A$2:$A$16,$A7)</f>
        <v>0.5</v>
      </c>
      <c r="D7" s="5">
        <f>SUMIFS('Avance por Principio'!$G$2:$G$16,'Avance por Principio'!$A$2:$A$16,$A7)</f>
        <v>0.5</v>
      </c>
      <c r="E7" s="8">
        <f t="shared" si="0"/>
        <v>1</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699CF-8E47-42A6-AECF-4BFFE4C9C53B}">
  <dimension ref="A1:D27"/>
  <sheetViews>
    <sheetView workbookViewId="0">
      <selection activeCell="F13" sqref="F13"/>
    </sheetView>
  </sheetViews>
  <sheetFormatPr defaultColWidth="11.42578125" defaultRowHeight="14.45"/>
  <sheetData>
    <row r="1" spans="1:4">
      <c r="A1" t="s">
        <v>1290</v>
      </c>
      <c r="B1" s="54" t="s">
        <v>1291</v>
      </c>
      <c r="C1" s="54" t="s">
        <v>1292</v>
      </c>
      <c r="D1" t="s">
        <v>1293</v>
      </c>
    </row>
    <row r="2" spans="1:4">
      <c r="A2" s="55">
        <v>45292</v>
      </c>
      <c r="B2" s="56">
        <v>0</v>
      </c>
      <c r="C2" s="57">
        <v>0</v>
      </c>
      <c r="D2" s="56"/>
    </row>
    <row r="3" spans="1:4">
      <c r="A3" s="55">
        <v>45323</v>
      </c>
      <c r="B3" s="56">
        <v>0</v>
      </c>
      <c r="C3" s="57">
        <v>0.22499999999999998</v>
      </c>
      <c r="D3" s="56"/>
    </row>
    <row r="4" spans="1:4">
      <c r="A4" s="55">
        <v>45352</v>
      </c>
      <c r="B4" s="56">
        <v>0.01</v>
      </c>
      <c r="C4" s="57">
        <v>0.24423076923076922</v>
      </c>
      <c r="D4" s="56"/>
    </row>
    <row r="5" spans="1:4">
      <c r="A5" s="55">
        <v>45383</v>
      </c>
      <c r="B5" s="56">
        <v>0.06</v>
      </c>
      <c r="C5" s="57">
        <v>0.24423076923076922</v>
      </c>
      <c r="D5" s="56"/>
    </row>
    <row r="6" spans="1:4">
      <c r="A6" s="55">
        <v>45413</v>
      </c>
      <c r="B6" s="56">
        <v>0.09</v>
      </c>
      <c r="C6" s="57">
        <v>0.24423076923076922</v>
      </c>
      <c r="D6" s="56"/>
    </row>
    <row r="7" spans="1:4">
      <c r="A7" s="55">
        <v>45444</v>
      </c>
      <c r="B7" s="56">
        <v>0.12</v>
      </c>
      <c r="C7" s="57">
        <v>0.24423076923076922</v>
      </c>
      <c r="D7" s="56"/>
    </row>
    <row r="8" spans="1:4">
      <c r="A8" s="55">
        <v>45474</v>
      </c>
      <c r="B8" s="56">
        <v>0.15</v>
      </c>
      <c r="C8" s="57">
        <v>0.24423076923076922</v>
      </c>
      <c r="D8" s="56"/>
    </row>
    <row r="9" spans="1:4">
      <c r="A9" s="55">
        <v>45505</v>
      </c>
      <c r="B9" s="56">
        <v>0.19</v>
      </c>
      <c r="C9" s="57">
        <v>0.26153846153846161</v>
      </c>
      <c r="D9" s="56"/>
    </row>
    <row r="10" spans="1:4">
      <c r="A10" s="55">
        <v>45536</v>
      </c>
      <c r="B10" s="56">
        <v>0.33</v>
      </c>
      <c r="C10" s="57">
        <v>0.26153846153846161</v>
      </c>
      <c r="D10" s="56"/>
    </row>
    <row r="11" spans="1:4">
      <c r="A11" s="55">
        <v>45566</v>
      </c>
      <c r="B11" s="56">
        <v>0.36</v>
      </c>
      <c r="C11" s="57">
        <v>0.27115384615384613</v>
      </c>
      <c r="D11" s="56"/>
    </row>
    <row r="12" spans="1:4">
      <c r="A12" s="55">
        <v>45597</v>
      </c>
      <c r="B12" s="56">
        <v>0.41</v>
      </c>
      <c r="C12" s="57">
        <v>0.28076923076923077</v>
      </c>
      <c r="D12" s="56"/>
    </row>
    <row r="13" spans="1:4">
      <c r="A13" s="55">
        <v>45627</v>
      </c>
      <c r="B13" s="56">
        <v>0.44</v>
      </c>
      <c r="C13" s="57">
        <v>0.2951923076923077</v>
      </c>
      <c r="D13" s="56"/>
    </row>
    <row r="14" spans="1:4">
      <c r="A14" s="55">
        <v>45658</v>
      </c>
      <c r="B14" s="56">
        <v>0.5</v>
      </c>
      <c r="C14" s="58">
        <v>0.4778846153846153</v>
      </c>
      <c r="D14" s="56"/>
    </row>
    <row r="15" spans="1:4">
      <c r="A15" s="55">
        <v>45689</v>
      </c>
      <c r="B15" s="56">
        <v>0.57999999999999996</v>
      </c>
      <c r="C15" s="59">
        <v>0.74230769230769234</v>
      </c>
      <c r="D15" s="56"/>
    </row>
    <row r="16" spans="1:4">
      <c r="A16" s="55">
        <v>45717</v>
      </c>
      <c r="B16" s="56">
        <v>0.68</v>
      </c>
      <c r="C16" s="57">
        <v>0.82788461538461544</v>
      </c>
      <c r="D16" s="56"/>
    </row>
    <row r="17" spans="1:4">
      <c r="A17" s="55">
        <v>45748</v>
      </c>
      <c r="B17" s="56">
        <v>0.73</v>
      </c>
      <c r="C17" s="57">
        <v>0.86634615384615399</v>
      </c>
      <c r="D17" s="56"/>
    </row>
    <row r="18" spans="1:4">
      <c r="A18" s="55">
        <v>45778</v>
      </c>
      <c r="B18" s="56">
        <v>0.77</v>
      </c>
      <c r="C18" s="57">
        <v>0.88557692307692326</v>
      </c>
      <c r="D18" s="56"/>
    </row>
    <row r="19" spans="1:4">
      <c r="A19" s="55">
        <v>45809</v>
      </c>
      <c r="B19" s="56">
        <v>0.83</v>
      </c>
      <c r="C19" s="57">
        <v>0.91442307692307712</v>
      </c>
      <c r="D19" s="56"/>
    </row>
    <row r="20" spans="1:4">
      <c r="A20" s="55">
        <v>45839</v>
      </c>
      <c r="B20" s="56">
        <v>0.85</v>
      </c>
      <c r="C20" s="57">
        <v>0.93365384615384639</v>
      </c>
      <c r="D20" s="56"/>
    </row>
    <row r="21" spans="1:4">
      <c r="A21" s="55">
        <v>45870</v>
      </c>
      <c r="B21" s="56">
        <v>0.87</v>
      </c>
      <c r="C21" s="57">
        <v>0.93365384615384639</v>
      </c>
      <c r="D21" s="56">
        <v>0.93</v>
      </c>
    </row>
    <row r="22" spans="1:4">
      <c r="A22" s="55">
        <v>45901</v>
      </c>
      <c r="B22" s="56">
        <v>0.87</v>
      </c>
      <c r="C22" s="57"/>
      <c r="D22" s="57">
        <v>0.93365384615384639</v>
      </c>
    </row>
    <row r="23" spans="1:4">
      <c r="A23" s="55">
        <v>45931</v>
      </c>
      <c r="B23" s="56">
        <v>0.88</v>
      </c>
      <c r="C23" s="57"/>
      <c r="D23" s="57">
        <v>0.95288461538461566</v>
      </c>
    </row>
    <row r="24" spans="1:4">
      <c r="A24" s="55">
        <v>45962</v>
      </c>
      <c r="B24" s="56">
        <v>0.93</v>
      </c>
      <c r="C24" s="57"/>
      <c r="D24" s="57">
        <v>0.95865384615384652</v>
      </c>
    </row>
    <row r="25" spans="1:4">
      <c r="A25" s="55">
        <v>45992</v>
      </c>
      <c r="B25" s="56">
        <v>0.95</v>
      </c>
      <c r="C25" s="57"/>
      <c r="D25" s="57">
        <v>0.9778846153846158</v>
      </c>
    </row>
    <row r="26" spans="1:4">
      <c r="A26" s="55">
        <v>46023</v>
      </c>
      <c r="B26" s="56">
        <v>0.98</v>
      </c>
      <c r="C26" s="57"/>
      <c r="D26" s="57">
        <v>1.0000000000000002</v>
      </c>
    </row>
    <row r="27" spans="1:4">
      <c r="A27" s="55">
        <v>46054</v>
      </c>
      <c r="B27" s="56">
        <v>1</v>
      </c>
      <c r="C27" s="57"/>
      <c r="D27" s="57">
        <v>1.0000000000000002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DB401-68E5-41E5-9BDB-518D15F941B5}">
  <dimension ref="A1:E232"/>
  <sheetViews>
    <sheetView tabSelected="1" workbookViewId="0">
      <selection activeCell="F6" sqref="F6"/>
    </sheetView>
  </sheetViews>
  <sheetFormatPr defaultColWidth="11.42578125" defaultRowHeight="14.45"/>
  <cols>
    <col min="1" max="1" width="16.7109375" style="20" customWidth="1"/>
    <col min="2" max="2" width="52.140625" style="23" customWidth="1"/>
    <col min="3" max="3" width="18.140625" style="17" customWidth="1"/>
    <col min="4" max="4" width="11" customWidth="1"/>
    <col min="5" max="5" width="10" customWidth="1"/>
  </cols>
  <sheetData>
    <row r="1" spans="1:5">
      <c r="A1" s="12" t="s">
        <v>18</v>
      </c>
      <c r="B1" s="21" t="s">
        <v>19</v>
      </c>
      <c r="C1" s="9" t="s">
        <v>176</v>
      </c>
      <c r="D1" s="9" t="s">
        <v>179</v>
      </c>
      <c r="E1" s="9" t="s">
        <v>183</v>
      </c>
    </row>
    <row r="2" spans="1:5">
      <c r="A2" s="60" t="s">
        <v>1294</v>
      </c>
      <c r="B2" s="22" t="s">
        <v>38</v>
      </c>
      <c r="C2" s="18" t="s">
        <v>186</v>
      </c>
      <c r="D2" s="4" t="str">
        <f>IFERROR(INDEX('Criterios GISTM'!$D$2:$D$222,MATCH($C2,'Criterios GISTM'!$A$2:$A$222,0)),"")</f>
        <v>Principio 01</v>
      </c>
      <c r="E2" s="4" t="str">
        <f>IFERROR(INDEX('Criterios GISTM'!$H$2:$H$222,MATCH($C2,'Criterios GISTM'!$A$2:$A$222,0)),"")</f>
        <v xml:space="preserve"> 1.1 - A</v>
      </c>
    </row>
    <row r="3" spans="1:5">
      <c r="A3" s="60" t="s">
        <v>1295</v>
      </c>
      <c r="B3" s="22" t="s">
        <v>49</v>
      </c>
      <c r="C3" s="18" t="s">
        <v>195</v>
      </c>
      <c r="D3" s="4" t="str">
        <f>IFERROR(INDEX('Criterios GISTM'!$D$2:$D$222,MATCH($C3,'Criterios GISTM'!$A$2:$A$222,0)),"")</f>
        <v>Principio 01</v>
      </c>
      <c r="E3" s="4" t="str">
        <f>IFERROR(INDEX('Criterios GISTM'!$H$2:$H$222,MATCH($C3,'Criterios GISTM'!$A$2:$A$222,0)),"")</f>
        <v xml:space="preserve"> 1.1 - B</v>
      </c>
    </row>
    <row r="4" spans="1:5">
      <c r="A4" s="60" t="s">
        <v>1296</v>
      </c>
      <c r="B4" s="22" t="s">
        <v>49</v>
      </c>
      <c r="C4" s="18" t="s">
        <v>198</v>
      </c>
      <c r="D4" s="4" t="str">
        <f>IFERROR(INDEX('Criterios GISTM'!$D$2:$D$222,MATCH($C4,'Criterios GISTM'!$A$2:$A$222,0)),"")</f>
        <v>Principio 01</v>
      </c>
      <c r="E4" s="4" t="str">
        <f>IFERROR(INDEX('Criterios GISTM'!$H$2:$H$222,MATCH($C4,'Criterios GISTM'!$A$2:$A$222,0)),"")</f>
        <v xml:space="preserve"> 1.1 - C</v>
      </c>
    </row>
    <row r="5" spans="1:5">
      <c r="A5" s="60" t="s">
        <v>1297</v>
      </c>
      <c r="B5" s="22" t="s">
        <v>53</v>
      </c>
      <c r="C5" s="18" t="s">
        <v>201</v>
      </c>
      <c r="D5" s="4" t="str">
        <f>IFERROR(INDEX('Criterios GISTM'!$D$2:$D$222,MATCH($C5,'Criterios GISTM'!$A$2:$A$222,0)),"")</f>
        <v>Principio 01</v>
      </c>
      <c r="E5" s="4" t="str">
        <f>IFERROR(INDEX('Criterios GISTM'!$H$2:$H$222,MATCH($C5,'Criterios GISTM'!$A$2:$A$222,0)),"")</f>
        <v xml:space="preserve"> 1.2 - A</v>
      </c>
    </row>
    <row r="6" spans="1:5">
      <c r="A6" s="60" t="s">
        <v>1298</v>
      </c>
      <c r="B6" s="22" t="s">
        <v>53</v>
      </c>
      <c r="C6" s="18" t="s">
        <v>206</v>
      </c>
      <c r="D6" s="4" t="str">
        <f>IFERROR(INDEX('Criterios GISTM'!$D$2:$D$222,MATCH($C6,'Criterios GISTM'!$A$2:$A$222,0)),"")</f>
        <v>Principio 01</v>
      </c>
      <c r="E6" s="4" t="str">
        <f>IFERROR(INDEX('Criterios GISTM'!$H$2:$H$222,MATCH($C6,'Criterios GISTM'!$A$2:$A$222,0)),"")</f>
        <v xml:space="preserve"> 1.2 - B</v>
      </c>
    </row>
    <row r="7" spans="1:5">
      <c r="A7" s="60" t="s">
        <v>1299</v>
      </c>
      <c r="B7" s="22" t="s">
        <v>56</v>
      </c>
      <c r="C7" s="18" t="s">
        <v>209</v>
      </c>
      <c r="D7" s="4" t="str">
        <f>IFERROR(INDEX('Criterios GISTM'!$D$2:$D$222,MATCH($C7,'Criterios GISTM'!$A$2:$A$222,0)),"")</f>
        <v>Principio 01</v>
      </c>
      <c r="E7" s="4" t="str">
        <f>IFERROR(INDEX('Criterios GISTM'!$H$2:$H$222,MATCH($C7,'Criterios GISTM'!$A$2:$A$222,0)),"")</f>
        <v xml:space="preserve"> 1.3 - A</v>
      </c>
    </row>
    <row r="8" spans="1:5">
      <c r="A8" s="60" t="s">
        <v>1300</v>
      </c>
      <c r="B8" s="22" t="s">
        <v>59</v>
      </c>
      <c r="C8" s="18" t="s">
        <v>214</v>
      </c>
      <c r="D8" s="4" t="str">
        <f>IFERROR(INDEX('Criterios GISTM'!$D$2:$D$222,MATCH($C8,'Criterios GISTM'!$A$2:$A$222,0)),"")</f>
        <v>Principio 01</v>
      </c>
      <c r="E8" s="4" t="str">
        <f>IFERROR(INDEX('Criterios GISTM'!$H$2:$H$222,MATCH($C8,'Criterios GISTM'!$A$2:$A$222,0)),"")</f>
        <v xml:space="preserve"> 1.3 - B</v>
      </c>
    </row>
    <row r="9" spans="1:5">
      <c r="A9" s="60" t="s">
        <v>1301</v>
      </c>
      <c r="B9" s="22" t="s">
        <v>59</v>
      </c>
      <c r="C9" s="18" t="s">
        <v>214</v>
      </c>
      <c r="D9" s="4" t="str">
        <f>IFERROR(INDEX('Criterios GISTM'!$D$2:$D$222,MATCH($C9,'Criterios GISTM'!$A$2:$A$222,0)),"")</f>
        <v>Principio 01</v>
      </c>
      <c r="E9" s="4" t="str">
        <f>IFERROR(INDEX('Criterios GISTM'!$H$2:$H$222,MATCH($C9,'Criterios GISTM'!$A$2:$A$222,0)),"")</f>
        <v xml:space="preserve"> 1.3 - B</v>
      </c>
    </row>
    <row r="10" spans="1:5">
      <c r="A10" s="60" t="s">
        <v>1302</v>
      </c>
      <c r="B10" s="22" t="s">
        <v>59</v>
      </c>
      <c r="C10" s="18" t="s">
        <v>217</v>
      </c>
      <c r="D10" s="4" t="str">
        <f>IFERROR(INDEX('Criterios GISTM'!$D$2:$D$222,MATCH($C10,'Criterios GISTM'!$A$2:$A$222,0)),"")</f>
        <v>Principio 01</v>
      </c>
      <c r="E10" s="4" t="str">
        <f>IFERROR(INDEX('Criterios GISTM'!$H$2:$H$222,MATCH($C10,'Criterios GISTM'!$A$2:$A$222,0)),"")</f>
        <v xml:space="preserve"> 1.4 - A</v>
      </c>
    </row>
    <row r="11" spans="1:5">
      <c r="A11" s="60" t="s">
        <v>1303</v>
      </c>
      <c r="B11" s="22" t="s">
        <v>59</v>
      </c>
      <c r="C11" s="18" t="s">
        <v>222</v>
      </c>
      <c r="D11" s="4" t="str">
        <f>IFERROR(INDEX('Criterios GISTM'!$D$2:$D$222,MATCH($C11,'Criterios GISTM'!$A$2:$A$222,0)),"")</f>
        <v>Principio 01</v>
      </c>
      <c r="E11" s="4" t="str">
        <f>IFERROR(INDEX('Criterios GISTM'!$H$2:$H$222,MATCH($C11,'Criterios GISTM'!$A$2:$A$222,0)),"")</f>
        <v xml:space="preserve"> 1.4 - B</v>
      </c>
    </row>
    <row r="12" spans="1:5">
      <c r="A12" s="60" t="s">
        <v>1304</v>
      </c>
      <c r="B12" s="22" t="s">
        <v>59</v>
      </c>
      <c r="C12" s="18" t="s">
        <v>227</v>
      </c>
      <c r="D12" s="4" t="str">
        <f>IFERROR(INDEX('Criterios GISTM'!$D$2:$D$222,MATCH($C12,'Criterios GISTM'!$A$2:$A$222,0)),"")</f>
        <v>Principio 01</v>
      </c>
      <c r="E12" s="4" t="str">
        <f>IFERROR(INDEX('Criterios GISTM'!$H$2:$H$222,MATCH($C12,'Criterios GISTM'!$A$2:$A$222,0)),"")</f>
        <v xml:space="preserve"> 1.4 - C</v>
      </c>
    </row>
    <row r="13" spans="1:5">
      <c r="A13" s="60" t="s">
        <v>1305</v>
      </c>
      <c r="B13" s="22" t="s">
        <v>62</v>
      </c>
      <c r="C13" s="18" t="s">
        <v>230</v>
      </c>
      <c r="D13" s="4" t="str">
        <f>IFERROR(INDEX('Criterios GISTM'!$D$2:$D$222,MATCH($C13,'Criterios GISTM'!$A$2:$A$222,0)),"")</f>
        <v>Principio 02</v>
      </c>
      <c r="E13" s="4" t="str">
        <f>IFERROR(INDEX('Criterios GISTM'!$H$2:$H$222,MATCH($C13,'Criterios GISTM'!$A$2:$A$222,0)),"")</f>
        <v xml:space="preserve"> 2.1 - A</v>
      </c>
    </row>
    <row r="14" spans="1:5">
      <c r="A14" s="60" t="s">
        <v>1306</v>
      </c>
      <c r="B14" s="22" t="s">
        <v>62</v>
      </c>
      <c r="C14" s="18" t="s">
        <v>230</v>
      </c>
      <c r="D14" s="4" t="str">
        <f>IFERROR(INDEX('Criterios GISTM'!$D$2:$D$222,MATCH($C14,'Criterios GISTM'!$A$2:$A$222,0)),"")</f>
        <v>Principio 02</v>
      </c>
      <c r="E14" s="4" t="str">
        <f>IFERROR(INDEX('Criterios GISTM'!$H$2:$H$222,MATCH($C14,'Criterios GISTM'!$A$2:$A$222,0)),"")</f>
        <v xml:space="preserve"> 2.1 - A</v>
      </c>
    </row>
    <row r="15" spans="1:5">
      <c r="A15" s="60" t="s">
        <v>1307</v>
      </c>
      <c r="B15" s="22" t="s">
        <v>62</v>
      </c>
      <c r="C15" s="18" t="s">
        <v>239</v>
      </c>
      <c r="D15" s="4" t="str">
        <f>IFERROR(INDEX('Criterios GISTM'!$D$2:$D$222,MATCH($C15,'Criterios GISTM'!$A$2:$A$222,0)),"")</f>
        <v>Principio 02</v>
      </c>
      <c r="E15" s="4" t="str">
        <f>IFERROR(INDEX('Criterios GISTM'!$H$2:$H$222,MATCH($C15,'Criterios GISTM'!$A$2:$A$222,0)),"")</f>
        <v xml:space="preserve"> 2.1 - B</v>
      </c>
    </row>
    <row r="16" spans="1:5">
      <c r="A16" s="60" t="s">
        <v>1308</v>
      </c>
      <c r="B16" s="22" t="s">
        <v>62</v>
      </c>
      <c r="C16" s="18" t="s">
        <v>239</v>
      </c>
      <c r="D16" s="4" t="str">
        <f>IFERROR(INDEX('Criterios GISTM'!$D$2:$D$222,MATCH($C16,'Criterios GISTM'!$A$2:$A$222,0)),"")</f>
        <v>Principio 02</v>
      </c>
      <c r="E16" s="4" t="str">
        <f>IFERROR(INDEX('Criterios GISTM'!$H$2:$H$222,MATCH($C16,'Criterios GISTM'!$A$2:$A$222,0)),"")</f>
        <v xml:space="preserve"> 2.1 - B</v>
      </c>
    </row>
    <row r="17" spans="1:5">
      <c r="A17" s="60" t="s">
        <v>1309</v>
      </c>
      <c r="B17" s="22" t="s">
        <v>62</v>
      </c>
      <c r="C17" s="18" t="s">
        <v>242</v>
      </c>
      <c r="D17" s="4" t="str">
        <f>IFERROR(INDEX('Criterios GISTM'!$D$2:$D$222,MATCH($C17,'Criterios GISTM'!$A$2:$A$222,0)),"")</f>
        <v>Principio 02</v>
      </c>
      <c r="E17" s="4" t="str">
        <f>IFERROR(INDEX('Criterios GISTM'!$H$2:$H$222,MATCH($C17,'Criterios GISTM'!$A$2:$A$222,0)),"")</f>
        <v xml:space="preserve"> 2.1 - C</v>
      </c>
    </row>
    <row r="18" spans="1:5">
      <c r="A18" s="60" t="s">
        <v>1310</v>
      </c>
      <c r="B18" s="22" t="s">
        <v>62</v>
      </c>
      <c r="C18" s="18" t="s">
        <v>242</v>
      </c>
      <c r="D18" s="4" t="str">
        <f>IFERROR(INDEX('Criterios GISTM'!$D$2:$D$222,MATCH($C18,'Criterios GISTM'!$A$2:$A$222,0)),"")</f>
        <v>Principio 02</v>
      </c>
      <c r="E18" s="4" t="str">
        <f>IFERROR(INDEX('Criterios GISTM'!$H$2:$H$222,MATCH($C18,'Criterios GISTM'!$A$2:$A$222,0)),"")</f>
        <v xml:space="preserve"> 2.1 - C</v>
      </c>
    </row>
    <row r="19" spans="1:5">
      <c r="A19" s="60" t="s">
        <v>1311</v>
      </c>
      <c r="B19" s="22" t="s">
        <v>65</v>
      </c>
      <c r="C19" s="18" t="s">
        <v>245</v>
      </c>
      <c r="D19" s="4" t="str">
        <f>IFERROR(INDEX('Criterios GISTM'!$D$2:$D$222,MATCH($C19,'Criterios GISTM'!$A$2:$A$222,0)),"")</f>
        <v>Principio 02</v>
      </c>
      <c r="E19" s="4" t="str">
        <f>IFERROR(INDEX('Criterios GISTM'!$H$2:$H$222,MATCH($C19,'Criterios GISTM'!$A$2:$A$222,0)),"")</f>
        <v xml:space="preserve"> 2.2 - A</v>
      </c>
    </row>
    <row r="20" spans="1:5">
      <c r="A20" s="60" t="s">
        <v>1312</v>
      </c>
      <c r="B20" s="22" t="s">
        <v>65</v>
      </c>
      <c r="C20" s="18" t="s">
        <v>250</v>
      </c>
      <c r="D20" s="4" t="str">
        <f>IFERROR(INDEX('Criterios GISTM'!$D$2:$D$222,MATCH($C20,'Criterios GISTM'!$A$2:$A$222,0)),"")</f>
        <v>Principio 02</v>
      </c>
      <c r="E20" s="4" t="str">
        <f>IFERROR(INDEX('Criterios GISTM'!$H$2:$H$222,MATCH($C20,'Criterios GISTM'!$A$2:$A$222,0)),"")</f>
        <v xml:space="preserve"> 2.2 - B</v>
      </c>
    </row>
    <row r="21" spans="1:5">
      <c r="A21" s="60" t="s">
        <v>1313</v>
      </c>
      <c r="B21" s="22" t="s">
        <v>65</v>
      </c>
      <c r="C21" s="18" t="s">
        <v>253</v>
      </c>
      <c r="D21" s="4" t="str">
        <f>IFERROR(INDEX('Criterios GISTM'!$D$2:$D$222,MATCH($C21,'Criterios GISTM'!$A$2:$A$222,0)),"")</f>
        <v>Principio 02</v>
      </c>
      <c r="E21" s="4" t="str">
        <f>IFERROR(INDEX('Criterios GISTM'!$H$2:$H$222,MATCH($C21,'Criterios GISTM'!$A$2:$A$222,0)),"")</f>
        <v xml:space="preserve"> 2.2 - C</v>
      </c>
    </row>
    <row r="22" spans="1:5">
      <c r="A22" s="60" t="s">
        <v>1314</v>
      </c>
      <c r="B22" s="22" t="s">
        <v>67</v>
      </c>
      <c r="C22" s="18" t="s">
        <v>256</v>
      </c>
      <c r="D22" s="4" t="str">
        <f>IFERROR(INDEX('Criterios GISTM'!$D$2:$D$222,MATCH($C22,'Criterios GISTM'!$A$2:$A$222,0)),"")</f>
        <v>Principio 02</v>
      </c>
      <c r="E22" s="4" t="str">
        <f>IFERROR(INDEX('Criterios GISTM'!$H$2:$H$222,MATCH($C22,'Criterios GISTM'!$A$2:$A$222,0)),"")</f>
        <v xml:space="preserve"> 2.3 - A</v>
      </c>
    </row>
    <row r="23" spans="1:5">
      <c r="A23" s="60" t="s">
        <v>1315</v>
      </c>
      <c r="B23" s="22" t="s">
        <v>67</v>
      </c>
      <c r="C23" s="18" t="s">
        <v>261</v>
      </c>
      <c r="D23" s="4" t="str">
        <f>IFERROR(INDEX('Criterios GISTM'!$D$2:$D$222,MATCH($C23,'Criterios GISTM'!$A$2:$A$222,0)),"")</f>
        <v>Principio 02</v>
      </c>
      <c r="E23" s="4" t="str">
        <f>IFERROR(INDEX('Criterios GISTM'!$H$2:$H$222,MATCH($C23,'Criterios GISTM'!$A$2:$A$222,0)),"")</f>
        <v xml:space="preserve"> 2.3 - B</v>
      </c>
    </row>
    <row r="24" spans="1:5">
      <c r="A24" s="60" t="s">
        <v>1316</v>
      </c>
      <c r="B24" s="22" t="s">
        <v>67</v>
      </c>
      <c r="C24" s="18" t="s">
        <v>264</v>
      </c>
      <c r="D24" s="4" t="str">
        <f>IFERROR(INDEX('Criterios GISTM'!$D$2:$D$222,MATCH($C24,'Criterios GISTM'!$A$2:$A$222,0)),"")</f>
        <v>Principio 02</v>
      </c>
      <c r="E24" s="4" t="str">
        <f>IFERROR(INDEX('Criterios GISTM'!$H$2:$H$222,MATCH($C24,'Criterios GISTM'!$A$2:$A$222,0)),"")</f>
        <v xml:space="preserve"> 2.3 - C</v>
      </c>
    </row>
    <row r="25" spans="1:5">
      <c r="A25" s="60" t="s">
        <v>1317</v>
      </c>
      <c r="B25" s="22" t="s">
        <v>67</v>
      </c>
      <c r="C25" s="18" t="s">
        <v>267</v>
      </c>
      <c r="D25" s="4" t="str">
        <f>IFERROR(INDEX('Criterios GISTM'!$D$2:$D$222,MATCH($C25,'Criterios GISTM'!$A$2:$A$222,0)),"")</f>
        <v>Principio 02</v>
      </c>
      <c r="E25" s="4" t="str">
        <f>IFERROR(INDEX('Criterios GISTM'!$H$2:$H$222,MATCH($C25,'Criterios GISTM'!$A$2:$A$222,0)),"")</f>
        <v xml:space="preserve"> 2.3 - D</v>
      </c>
    </row>
    <row r="26" spans="1:5">
      <c r="A26" s="60" t="s">
        <v>1318</v>
      </c>
      <c r="B26" s="22" t="s">
        <v>67</v>
      </c>
      <c r="C26" s="18" t="s">
        <v>270</v>
      </c>
      <c r="D26" s="4" t="str">
        <f>IFERROR(INDEX('Criterios GISTM'!$D$2:$D$222,MATCH($C26,'Criterios GISTM'!$A$2:$A$222,0)),"")</f>
        <v>Principio 02</v>
      </c>
      <c r="E26" s="4" t="str">
        <f>IFERROR(INDEX('Criterios GISTM'!$H$2:$H$222,MATCH($C26,'Criterios GISTM'!$A$2:$A$222,0)),"")</f>
        <v xml:space="preserve"> 2.4 - A</v>
      </c>
    </row>
    <row r="27" spans="1:5">
      <c r="A27" s="60" t="s">
        <v>1319</v>
      </c>
      <c r="B27" s="22" t="s">
        <v>69</v>
      </c>
      <c r="C27" s="18" t="s">
        <v>270</v>
      </c>
      <c r="D27" s="4" t="str">
        <f>IFERROR(INDEX('Criterios GISTM'!$D$2:$D$222,MATCH($C27,'Criterios GISTM'!$A$2:$A$222,0)),"")</f>
        <v>Principio 02</v>
      </c>
      <c r="E27" s="4" t="str">
        <f>IFERROR(INDEX('Criterios GISTM'!$H$2:$H$222,MATCH($C27,'Criterios GISTM'!$A$2:$A$222,0)),"")</f>
        <v xml:space="preserve"> 2.4 - A</v>
      </c>
    </row>
    <row r="28" spans="1:5">
      <c r="A28" s="60" t="s">
        <v>1320</v>
      </c>
      <c r="B28" s="22" t="s">
        <v>67</v>
      </c>
      <c r="C28" s="18" t="s">
        <v>275</v>
      </c>
      <c r="D28" s="4" t="str">
        <f>IFERROR(INDEX('Criterios GISTM'!$D$2:$D$222,MATCH($C28,'Criterios GISTM'!$A$2:$A$222,0)),"")</f>
        <v>Principio 02</v>
      </c>
      <c r="E28" s="4" t="str">
        <f>IFERROR(INDEX('Criterios GISTM'!$H$2:$H$222,MATCH($C28,'Criterios GISTM'!$A$2:$A$222,0)),"")</f>
        <v xml:space="preserve"> 2.4 - B</v>
      </c>
    </row>
    <row r="29" spans="1:5">
      <c r="A29" s="60" t="s">
        <v>1321</v>
      </c>
      <c r="B29" s="22" t="s">
        <v>69</v>
      </c>
      <c r="C29" s="18" t="s">
        <v>275</v>
      </c>
      <c r="D29" s="4" t="str">
        <f>IFERROR(INDEX('Criterios GISTM'!$D$2:$D$222,MATCH($C29,'Criterios GISTM'!$A$2:$A$222,0)),"")</f>
        <v>Principio 02</v>
      </c>
      <c r="E29" s="4" t="str">
        <f>IFERROR(INDEX('Criterios GISTM'!$H$2:$H$222,MATCH($C29,'Criterios GISTM'!$A$2:$A$222,0)),"")</f>
        <v xml:space="preserve"> 2.4 - B</v>
      </c>
    </row>
    <row r="30" spans="1:5">
      <c r="A30" s="60" t="s">
        <v>1322</v>
      </c>
      <c r="B30" s="22" t="s">
        <v>67</v>
      </c>
      <c r="C30" s="18" t="s">
        <v>278</v>
      </c>
      <c r="D30" s="4" t="str">
        <f>IFERROR(INDEX('Criterios GISTM'!$D$2:$D$222,MATCH($C30,'Criterios GISTM'!$A$2:$A$222,0)),"")</f>
        <v>Principio 02</v>
      </c>
      <c r="E30" s="4" t="str">
        <f>IFERROR(INDEX('Criterios GISTM'!$H$2:$H$222,MATCH($C30,'Criterios GISTM'!$A$2:$A$222,0)),"")</f>
        <v xml:space="preserve"> 2.4 - C</v>
      </c>
    </row>
    <row r="31" spans="1:5">
      <c r="A31" s="60" t="s">
        <v>1323</v>
      </c>
      <c r="B31" s="22" t="s">
        <v>69</v>
      </c>
      <c r="C31" s="18" t="s">
        <v>278</v>
      </c>
      <c r="D31" s="4" t="str">
        <f>IFERROR(INDEX('Criterios GISTM'!$D$2:$D$222,MATCH($C31,'Criterios GISTM'!$A$2:$A$222,0)),"")</f>
        <v>Principio 02</v>
      </c>
      <c r="E31" s="4" t="str">
        <f>IFERROR(INDEX('Criterios GISTM'!$H$2:$H$222,MATCH($C31,'Criterios GISTM'!$A$2:$A$222,0)),"")</f>
        <v xml:space="preserve"> 2.4 - C</v>
      </c>
    </row>
    <row r="32" spans="1:5">
      <c r="A32" s="60" t="s">
        <v>1324</v>
      </c>
      <c r="B32" s="22" t="s">
        <v>71</v>
      </c>
      <c r="C32" s="18" t="s">
        <v>281</v>
      </c>
      <c r="D32" s="4" t="str">
        <f>IFERROR(INDEX('Criterios GISTM'!$D$2:$D$222,MATCH($C32,'Criterios GISTM'!$A$2:$A$222,0)),"")</f>
        <v>Principio 03</v>
      </c>
      <c r="E32" s="4" t="str">
        <f>IFERROR(INDEX('Criterios GISTM'!$H$2:$H$222,MATCH($C32,'Criterios GISTM'!$A$2:$A$222,0)),"")</f>
        <v xml:space="preserve"> 3.1 - A</v>
      </c>
    </row>
    <row r="33" spans="1:5">
      <c r="A33" s="60" t="s">
        <v>1325</v>
      </c>
      <c r="B33" s="22" t="s">
        <v>73</v>
      </c>
      <c r="C33" s="18" t="s">
        <v>288</v>
      </c>
      <c r="D33" s="4" t="str">
        <f>IFERROR(INDEX('Criterios GISTM'!$D$2:$D$222,MATCH($C33,'Criterios GISTM'!$A$2:$A$222,0)),"")</f>
        <v>Principio 03</v>
      </c>
      <c r="E33" s="4" t="str">
        <f>IFERROR(INDEX('Criterios GISTM'!$H$2:$H$222,MATCH($C33,'Criterios GISTM'!$A$2:$A$222,0)),"")</f>
        <v xml:space="preserve"> 3.2 - A</v>
      </c>
    </row>
    <row r="34" spans="1:5">
      <c r="A34" s="60" t="s">
        <v>1326</v>
      </c>
      <c r="B34" s="22" t="s">
        <v>75</v>
      </c>
      <c r="C34" s="18" t="s">
        <v>293</v>
      </c>
      <c r="D34" s="4" t="str">
        <f>IFERROR(INDEX('Criterios GISTM'!$D$2:$D$222,MATCH($C34,'Criterios GISTM'!$A$2:$A$222,0)),"")</f>
        <v>Principio 03</v>
      </c>
      <c r="E34" s="4" t="str">
        <f>IFERROR(INDEX('Criterios GISTM'!$H$2:$H$222,MATCH($C34,'Criterios GISTM'!$A$2:$A$222,0)),"")</f>
        <v xml:space="preserve"> 3.2 - B</v>
      </c>
    </row>
    <row r="35" spans="1:5">
      <c r="A35" s="60" t="s">
        <v>1327</v>
      </c>
      <c r="B35" s="22" t="s">
        <v>75</v>
      </c>
      <c r="C35" s="18" t="s">
        <v>296</v>
      </c>
      <c r="D35" s="4" t="str">
        <f>IFERROR(INDEX('Criterios GISTM'!$D$2:$D$222,MATCH($C35,'Criterios GISTM'!$A$2:$A$222,0)),"")</f>
        <v>Principio 03</v>
      </c>
      <c r="E35" s="4" t="str">
        <f>IFERROR(INDEX('Criterios GISTM'!$H$2:$H$222,MATCH($C35,'Criterios GISTM'!$A$2:$A$222,0)),"")</f>
        <v xml:space="preserve"> 3.2 - C</v>
      </c>
    </row>
    <row r="36" spans="1:5">
      <c r="A36" s="60" t="s">
        <v>1328</v>
      </c>
      <c r="B36" s="22" t="s">
        <v>77</v>
      </c>
      <c r="C36" s="18" t="s">
        <v>299</v>
      </c>
      <c r="D36" s="4" t="str">
        <f>IFERROR(INDEX('Criterios GISTM'!$D$2:$D$222,MATCH($C36,'Criterios GISTM'!$A$2:$A$222,0)),"")</f>
        <v>Principio 03</v>
      </c>
      <c r="E36" s="4" t="str">
        <f>IFERROR(INDEX('Criterios GISTM'!$H$2:$H$222,MATCH($C36,'Criterios GISTM'!$A$2:$A$222,0)),"")</f>
        <v xml:space="preserve"> 3.3 - A</v>
      </c>
    </row>
    <row r="37" spans="1:5">
      <c r="A37" s="60" t="s">
        <v>1329</v>
      </c>
      <c r="B37" s="22" t="s">
        <v>77</v>
      </c>
      <c r="C37" s="18" t="s">
        <v>304</v>
      </c>
      <c r="D37" s="4" t="str">
        <f>IFERROR(INDEX('Criterios GISTM'!$D$2:$D$222,MATCH($C37,'Criterios GISTM'!$A$2:$A$222,0)),"")</f>
        <v>Principio 03</v>
      </c>
      <c r="E37" s="4" t="str">
        <f>IFERROR(INDEX('Criterios GISTM'!$H$2:$H$222,MATCH($C37,'Criterios GISTM'!$A$2:$A$222,0)),"")</f>
        <v xml:space="preserve"> 3.3 - B</v>
      </c>
    </row>
    <row r="38" spans="1:5">
      <c r="A38" s="60" t="s">
        <v>1330</v>
      </c>
      <c r="B38" s="22" t="s">
        <v>77</v>
      </c>
      <c r="C38" s="18" t="s">
        <v>307</v>
      </c>
      <c r="D38" s="4" t="str">
        <f>IFERROR(INDEX('Criterios GISTM'!$D$2:$D$222,MATCH($C38,'Criterios GISTM'!$A$2:$A$222,0)),"")</f>
        <v>Principio 03</v>
      </c>
      <c r="E38" s="4" t="str">
        <f>IFERROR(INDEX('Criterios GISTM'!$H$2:$H$222,MATCH($C38,'Criterios GISTM'!$A$2:$A$222,0)),"")</f>
        <v xml:space="preserve"> 3.3 - C</v>
      </c>
    </row>
    <row r="39" spans="1:5">
      <c r="A39" s="60" t="s">
        <v>1331</v>
      </c>
      <c r="B39" s="22" t="s">
        <v>77</v>
      </c>
      <c r="C39" s="18" t="s">
        <v>310</v>
      </c>
      <c r="D39" s="4" t="str">
        <f>IFERROR(INDEX('Criterios GISTM'!$D$2:$D$222,MATCH($C39,'Criterios GISTM'!$A$2:$A$222,0)),"")</f>
        <v>Principio 03</v>
      </c>
      <c r="E39" s="4" t="str">
        <f>IFERROR(INDEX('Criterios GISTM'!$H$2:$H$222,MATCH($C39,'Criterios GISTM'!$A$2:$A$222,0)),"")</f>
        <v xml:space="preserve"> 3.3 - D</v>
      </c>
    </row>
    <row r="40" spans="1:5">
      <c r="A40" s="60" t="s">
        <v>1332</v>
      </c>
      <c r="B40" s="22" t="s">
        <v>77</v>
      </c>
      <c r="C40" s="18" t="s">
        <v>313</v>
      </c>
      <c r="D40" s="4" t="str">
        <f>IFERROR(INDEX('Criterios GISTM'!$D$2:$D$222,MATCH($C40,'Criterios GISTM'!$A$2:$A$222,0)),"")</f>
        <v>Principio 03</v>
      </c>
      <c r="E40" s="4" t="str">
        <f>IFERROR(INDEX('Criterios GISTM'!$H$2:$H$222,MATCH($C40,'Criterios GISTM'!$A$2:$A$222,0)),"")</f>
        <v xml:space="preserve"> 3.4 - A</v>
      </c>
    </row>
    <row r="41" spans="1:5">
      <c r="A41" s="60" t="s">
        <v>1333</v>
      </c>
      <c r="B41" s="22" t="s">
        <v>79</v>
      </c>
      <c r="C41" s="18" t="s">
        <v>313</v>
      </c>
      <c r="D41" s="4" t="str">
        <f>IFERROR(INDEX('Criterios GISTM'!$D$2:$D$222,MATCH($C41,'Criterios GISTM'!$A$2:$A$222,0)),"")</f>
        <v>Principio 03</v>
      </c>
      <c r="E41" s="4" t="str">
        <f>IFERROR(INDEX('Criterios GISTM'!$H$2:$H$222,MATCH($C41,'Criterios GISTM'!$A$2:$A$222,0)),"")</f>
        <v xml:space="preserve"> 3.4 - A</v>
      </c>
    </row>
    <row r="42" spans="1:5">
      <c r="A42" s="60" t="s">
        <v>1334</v>
      </c>
      <c r="B42" s="22" t="s">
        <v>77</v>
      </c>
      <c r="C42" s="18" t="s">
        <v>318</v>
      </c>
      <c r="D42" s="4" t="str">
        <f>IFERROR(INDEX('Criterios GISTM'!$D$2:$D$222,MATCH($C42,'Criterios GISTM'!$A$2:$A$222,0)),"")</f>
        <v>Principio 03</v>
      </c>
      <c r="E42" s="4" t="str">
        <f>IFERROR(INDEX('Criterios GISTM'!$H$2:$H$222,MATCH($C42,'Criterios GISTM'!$A$2:$A$222,0)),"")</f>
        <v xml:space="preserve"> 3.4 - B</v>
      </c>
    </row>
    <row r="43" spans="1:5">
      <c r="A43" s="60" t="s">
        <v>1335</v>
      </c>
      <c r="B43" s="22" t="s">
        <v>79</v>
      </c>
      <c r="C43" s="18" t="s">
        <v>318</v>
      </c>
      <c r="D43" s="4" t="str">
        <f>IFERROR(INDEX('Criterios GISTM'!$D$2:$D$222,MATCH($C43,'Criterios GISTM'!$A$2:$A$222,0)),"")</f>
        <v>Principio 03</v>
      </c>
      <c r="E43" s="4" t="str">
        <f>IFERROR(INDEX('Criterios GISTM'!$H$2:$H$222,MATCH($C43,'Criterios GISTM'!$A$2:$A$222,0)),"")</f>
        <v xml:space="preserve"> 3.4 - B</v>
      </c>
    </row>
    <row r="44" spans="1:5">
      <c r="A44" s="60" t="s">
        <v>1336</v>
      </c>
      <c r="B44" s="22" t="s">
        <v>81</v>
      </c>
      <c r="C44" s="18" t="s">
        <v>321</v>
      </c>
      <c r="D44" s="4" t="str">
        <f>IFERROR(INDEX('Criterios GISTM'!$D$2:$D$222,MATCH($C44,'Criterios GISTM'!$A$2:$A$222,0)),"")</f>
        <v>Principio 04</v>
      </c>
      <c r="E44" s="4" t="str">
        <f>IFERROR(INDEX('Criterios GISTM'!$H$2:$H$222,MATCH($C44,'Criterios GISTM'!$A$2:$A$222,0)),"")</f>
        <v xml:space="preserve"> 4.1 - A</v>
      </c>
    </row>
    <row r="45" spans="1:5">
      <c r="A45" s="60" t="s">
        <v>1337</v>
      </c>
      <c r="B45" s="22" t="s">
        <v>81</v>
      </c>
      <c r="C45" s="18" t="s">
        <v>330</v>
      </c>
      <c r="D45" s="4" t="str">
        <f>IFERROR(INDEX('Criterios GISTM'!$D$2:$D$222,MATCH($C45,'Criterios GISTM'!$A$2:$A$222,0)),"")</f>
        <v>Principio 04</v>
      </c>
      <c r="E45" s="4" t="str">
        <f>IFERROR(INDEX('Criterios GISTM'!$H$2:$H$222,MATCH($C45,'Criterios GISTM'!$A$2:$A$222,0)),"")</f>
        <v xml:space="preserve"> 4.1 - B</v>
      </c>
    </row>
    <row r="46" spans="1:5">
      <c r="A46" s="60" t="s">
        <v>1338</v>
      </c>
      <c r="B46" s="22" t="s">
        <v>81</v>
      </c>
      <c r="C46" s="18" t="s">
        <v>333</v>
      </c>
      <c r="D46" s="4" t="str">
        <f>IFERROR(INDEX('Criterios GISTM'!$D$2:$D$222,MATCH($C46,'Criterios GISTM'!$A$2:$A$222,0)),"")</f>
        <v>Principio 04</v>
      </c>
      <c r="E46" s="4" t="str">
        <f>IFERROR(INDEX('Criterios GISTM'!$H$2:$H$222,MATCH($C46,'Criterios GISTM'!$A$2:$A$222,0)),"")</f>
        <v xml:space="preserve"> 4.1 - C</v>
      </c>
    </row>
    <row r="47" spans="1:5">
      <c r="A47" s="60" t="s">
        <v>1339</v>
      </c>
      <c r="B47" s="22" t="s">
        <v>85</v>
      </c>
      <c r="C47" s="18" t="s">
        <v>336</v>
      </c>
      <c r="D47" s="4" t="str">
        <f>IFERROR(INDEX('Criterios GISTM'!$D$2:$D$222,MATCH($C47,'Criterios GISTM'!$A$2:$A$222,0)),"")</f>
        <v>Principio 04</v>
      </c>
      <c r="E47" s="4" t="str">
        <f>IFERROR(INDEX('Criterios GISTM'!$H$2:$H$222,MATCH($C47,'Criterios GISTM'!$A$2:$A$222,0)),"")</f>
        <v xml:space="preserve"> 4.2 - A</v>
      </c>
    </row>
    <row r="48" spans="1:5">
      <c r="A48" s="60" t="s">
        <v>1340</v>
      </c>
      <c r="B48" s="22" t="s">
        <v>85</v>
      </c>
      <c r="C48" s="18" t="s">
        <v>341</v>
      </c>
      <c r="D48" s="4" t="str">
        <f>IFERROR(INDEX('Criterios GISTM'!$D$2:$D$222,MATCH($C48,'Criterios GISTM'!$A$2:$A$222,0)),"")</f>
        <v>Principio 04</v>
      </c>
      <c r="E48" s="4" t="str">
        <f>IFERROR(INDEX('Criterios GISTM'!$H$2:$H$222,MATCH($C48,'Criterios GISTM'!$A$2:$A$222,0)),"")</f>
        <v xml:space="preserve"> 4.2 - B</v>
      </c>
    </row>
    <row r="49" spans="1:5">
      <c r="A49" s="60" t="s">
        <v>1341</v>
      </c>
      <c r="B49" s="22" t="s">
        <v>85</v>
      </c>
      <c r="C49" s="18" t="s">
        <v>344</v>
      </c>
      <c r="D49" s="4" t="str">
        <f>IFERROR(INDEX('Criterios GISTM'!$D$2:$D$222,MATCH($C49,'Criterios GISTM'!$A$2:$A$222,0)),"")</f>
        <v>Principio 04</v>
      </c>
      <c r="E49" s="4" t="str">
        <f>IFERROR(INDEX('Criterios GISTM'!$H$2:$H$222,MATCH($C49,'Criterios GISTM'!$A$2:$A$222,0)),"")</f>
        <v xml:space="preserve"> 4.2 - C</v>
      </c>
    </row>
    <row r="50" spans="1:5">
      <c r="A50" s="60" t="s">
        <v>1342</v>
      </c>
      <c r="B50" s="22" t="s">
        <v>85</v>
      </c>
      <c r="C50" s="18" t="s">
        <v>347</v>
      </c>
      <c r="D50" s="4" t="str">
        <f>IFERROR(INDEX('Criterios GISTM'!$D$2:$D$222,MATCH($C50,'Criterios GISTM'!$A$2:$A$222,0)),"")</f>
        <v>Principio 04</v>
      </c>
      <c r="E50" s="4" t="str">
        <f>IFERROR(INDEX('Criterios GISTM'!$H$2:$H$222,MATCH($C50,'Criterios GISTM'!$A$2:$A$222,0)),"")</f>
        <v xml:space="preserve"> 4.2 - D</v>
      </c>
    </row>
    <row r="51" spans="1:5">
      <c r="A51" s="60" t="s">
        <v>1343</v>
      </c>
      <c r="B51" s="22" t="s">
        <v>85</v>
      </c>
      <c r="C51" s="18" t="s">
        <v>350</v>
      </c>
      <c r="D51" s="4" t="str">
        <f>IFERROR(INDEX('Criterios GISTM'!$D$2:$D$222,MATCH($C51,'Criterios GISTM'!$A$2:$A$222,0)),"")</f>
        <v>Principio 04</v>
      </c>
      <c r="E51" s="4" t="str">
        <f>IFERROR(INDEX('Criterios GISTM'!$H$2:$H$222,MATCH($C51,'Criterios GISTM'!$A$2:$A$222,0)),"")</f>
        <v xml:space="preserve"> 4.2 - E</v>
      </c>
    </row>
    <row r="52" spans="1:5">
      <c r="A52" s="60" t="s">
        <v>1344</v>
      </c>
      <c r="B52" s="22" t="s">
        <v>87</v>
      </c>
      <c r="C52" s="18" t="s">
        <v>353</v>
      </c>
      <c r="D52" s="4" t="str">
        <f>IFERROR(INDEX('Criterios GISTM'!$D$2:$D$222,MATCH($C52,'Criterios GISTM'!$A$2:$A$222,0)),"")</f>
        <v>Principio 04</v>
      </c>
      <c r="E52" s="4" t="str">
        <f>IFERROR(INDEX('Criterios GISTM'!$H$2:$H$222,MATCH($C52,'Criterios GISTM'!$A$2:$A$222,0)),"")</f>
        <v xml:space="preserve"> 4.3 - A</v>
      </c>
    </row>
    <row r="53" spans="1:5">
      <c r="A53" s="60" t="s">
        <v>1345</v>
      </c>
      <c r="B53" s="22" t="s">
        <v>87</v>
      </c>
      <c r="C53" s="18" t="s">
        <v>358</v>
      </c>
      <c r="D53" s="4" t="str">
        <f>IFERROR(INDEX('Criterios GISTM'!$D$2:$D$222,MATCH($C53,'Criterios GISTM'!$A$2:$A$222,0)),"")</f>
        <v>Principio 04</v>
      </c>
      <c r="E53" s="4" t="str">
        <f>IFERROR(INDEX('Criterios GISTM'!$H$2:$H$222,MATCH($C53,'Criterios GISTM'!$A$2:$A$222,0)),"")</f>
        <v xml:space="preserve"> 4.3 - B</v>
      </c>
    </row>
    <row r="54" spans="1:5">
      <c r="A54" s="60" t="s">
        <v>1346</v>
      </c>
      <c r="B54" s="22" t="s">
        <v>85</v>
      </c>
      <c r="C54" s="18" t="s">
        <v>361</v>
      </c>
      <c r="D54" s="4" t="str">
        <f>IFERROR(INDEX('Criterios GISTM'!$D$2:$D$222,MATCH($C54,'Criterios GISTM'!$A$2:$A$222,0)),"")</f>
        <v>Principio 04</v>
      </c>
      <c r="E54" s="4" t="str">
        <f>IFERROR(INDEX('Criterios GISTM'!$H$2:$H$222,MATCH($C54,'Criterios GISTM'!$A$2:$A$222,0)),"")</f>
        <v xml:space="preserve"> 4.4 - A</v>
      </c>
    </row>
    <row r="55" spans="1:5">
      <c r="A55" s="60" t="s">
        <v>1347</v>
      </c>
      <c r="B55" s="22" t="s">
        <v>85</v>
      </c>
      <c r="C55" s="18" t="s">
        <v>366</v>
      </c>
      <c r="D55" s="4" t="str">
        <f>IFERROR(INDEX('Criterios GISTM'!$D$2:$D$222,MATCH($C55,'Criterios GISTM'!$A$2:$A$222,0)),"")</f>
        <v>Principio 04</v>
      </c>
      <c r="E55" s="4" t="str">
        <f>IFERROR(INDEX('Criterios GISTM'!$H$2:$H$222,MATCH($C55,'Criterios GISTM'!$A$2:$A$222,0)),"")</f>
        <v xml:space="preserve"> 4.4 - B</v>
      </c>
    </row>
    <row r="56" spans="1:5">
      <c r="A56" s="60" t="s">
        <v>1348</v>
      </c>
      <c r="B56" s="22" t="s">
        <v>85</v>
      </c>
      <c r="C56" s="18" t="s">
        <v>369</v>
      </c>
      <c r="D56" s="4" t="str">
        <f>IFERROR(INDEX('Criterios GISTM'!$D$2:$D$222,MATCH($C56,'Criterios GISTM'!$A$2:$A$222,0)),"")</f>
        <v>Principio 04</v>
      </c>
      <c r="E56" s="4" t="str">
        <f>IFERROR(INDEX('Criterios GISTM'!$H$2:$H$222,MATCH($C56,'Criterios GISTM'!$A$2:$A$222,0)),"")</f>
        <v xml:space="preserve"> 4.5 - A</v>
      </c>
    </row>
    <row r="57" spans="1:5">
      <c r="A57" s="60" t="s">
        <v>1349</v>
      </c>
      <c r="B57" s="22" t="s">
        <v>85</v>
      </c>
      <c r="C57" s="18" t="s">
        <v>374</v>
      </c>
      <c r="D57" s="4" t="str">
        <f>IFERROR(INDEX('Criterios GISTM'!$D$2:$D$222,MATCH($C57,'Criterios GISTM'!$A$2:$A$222,0)),"")</f>
        <v>Principio 04</v>
      </c>
      <c r="E57" s="4" t="str">
        <f>IFERROR(INDEX('Criterios GISTM'!$H$2:$H$222,MATCH($C57,'Criterios GISTM'!$A$2:$A$222,0)),"")</f>
        <v xml:space="preserve"> 4.5 - B</v>
      </c>
    </row>
    <row r="58" spans="1:5">
      <c r="A58" s="60" t="s">
        <v>1350</v>
      </c>
      <c r="B58" s="22" t="s">
        <v>85</v>
      </c>
      <c r="C58" s="18" t="s">
        <v>377</v>
      </c>
      <c r="D58" s="4" t="str">
        <f>IFERROR(INDEX('Criterios GISTM'!$D$2:$D$222,MATCH($C58,'Criterios GISTM'!$A$2:$A$222,0)),"")</f>
        <v>Principio 04</v>
      </c>
      <c r="E58" s="4" t="str">
        <f>IFERROR(INDEX('Criterios GISTM'!$H$2:$H$222,MATCH($C58,'Criterios GISTM'!$A$2:$A$222,0)),"")</f>
        <v xml:space="preserve"> 4.6 - A</v>
      </c>
    </row>
    <row r="59" spans="1:5">
      <c r="A59" s="60" t="s">
        <v>1351</v>
      </c>
      <c r="B59" s="22" t="s">
        <v>85</v>
      </c>
      <c r="C59" s="18" t="s">
        <v>382</v>
      </c>
      <c r="D59" s="4" t="str">
        <f>IFERROR(INDEX('Criterios GISTM'!$D$2:$D$222,MATCH($C59,'Criterios GISTM'!$A$2:$A$222,0)),"")</f>
        <v>Principio 04</v>
      </c>
      <c r="E59" s="4" t="str">
        <f>IFERROR(INDEX('Criterios GISTM'!$H$2:$H$222,MATCH($C59,'Criterios GISTM'!$A$2:$A$222,0)),"")</f>
        <v xml:space="preserve"> 4.7 - A</v>
      </c>
    </row>
    <row r="60" spans="1:5">
      <c r="A60" s="60" t="s">
        <v>1352</v>
      </c>
      <c r="B60" s="22" t="s">
        <v>85</v>
      </c>
      <c r="C60" s="18" t="s">
        <v>387</v>
      </c>
      <c r="D60" s="4" t="str">
        <f>IFERROR(INDEX('Criterios GISTM'!$D$2:$D$222,MATCH($C60,'Criterios GISTM'!$A$2:$A$222,0)),"")</f>
        <v>Principio 04</v>
      </c>
      <c r="E60" s="4" t="str">
        <f>IFERROR(INDEX('Criterios GISTM'!$H$2:$H$222,MATCH($C60,'Criterios GISTM'!$A$2:$A$222,0)),"")</f>
        <v xml:space="preserve"> 4.7 - B</v>
      </c>
    </row>
    <row r="61" spans="1:5">
      <c r="A61" s="60" t="s">
        <v>1353</v>
      </c>
      <c r="B61" s="22" t="s">
        <v>85</v>
      </c>
      <c r="C61" s="18" t="s">
        <v>390</v>
      </c>
      <c r="D61" s="4" t="str">
        <f>IFERROR(INDEX('Criterios GISTM'!$D$2:$D$222,MATCH($C61,'Criterios GISTM'!$A$2:$A$222,0)),"")</f>
        <v>Principio 04</v>
      </c>
      <c r="E61" s="4" t="str">
        <f>IFERROR(INDEX('Criterios GISTM'!$H$2:$H$222,MATCH($C61,'Criterios GISTM'!$A$2:$A$222,0)),"")</f>
        <v xml:space="preserve"> 4.7 - C</v>
      </c>
    </row>
    <row r="62" spans="1:5">
      <c r="A62" s="60" t="s">
        <v>1354</v>
      </c>
      <c r="B62" s="22" t="s">
        <v>85</v>
      </c>
      <c r="C62" s="18" t="s">
        <v>393</v>
      </c>
      <c r="D62" s="4" t="str">
        <f>IFERROR(INDEX('Criterios GISTM'!$D$2:$D$222,MATCH($C62,'Criterios GISTM'!$A$2:$A$222,0)),"")</f>
        <v>Principio 04</v>
      </c>
      <c r="E62" s="4" t="str">
        <f>IFERROR(INDEX('Criterios GISTM'!$H$2:$H$222,MATCH($C62,'Criterios GISTM'!$A$2:$A$222,0)),"")</f>
        <v xml:space="preserve"> 4.8 - A</v>
      </c>
    </row>
    <row r="63" spans="1:5">
      <c r="A63" s="60" t="s">
        <v>1355</v>
      </c>
      <c r="B63" s="22" t="s">
        <v>85</v>
      </c>
      <c r="C63" s="18" t="s">
        <v>398</v>
      </c>
      <c r="D63" s="4" t="str">
        <f>IFERROR(INDEX('Criterios GISTM'!$D$2:$D$222,MATCH($C63,'Criterios GISTM'!$A$2:$A$222,0)),"")</f>
        <v>Principio 04</v>
      </c>
      <c r="E63" s="4" t="str">
        <f>IFERROR(INDEX('Criterios GISTM'!$H$2:$H$222,MATCH($C63,'Criterios GISTM'!$A$2:$A$222,0)),"")</f>
        <v xml:space="preserve"> 4.8 - B</v>
      </c>
    </row>
    <row r="64" spans="1:5">
      <c r="A64" s="60" t="s">
        <v>1356</v>
      </c>
      <c r="B64" s="22" t="s">
        <v>85</v>
      </c>
      <c r="C64" s="18" t="s">
        <v>401</v>
      </c>
      <c r="D64" s="4" t="str">
        <f>IFERROR(INDEX('Criterios GISTM'!$D$2:$D$222,MATCH($C64,'Criterios GISTM'!$A$2:$A$222,0)),"")</f>
        <v>Principio 04</v>
      </c>
      <c r="E64" s="4" t="str">
        <f>IFERROR(INDEX('Criterios GISTM'!$H$2:$H$222,MATCH($C64,'Criterios GISTM'!$A$2:$A$222,0)),"")</f>
        <v xml:space="preserve"> 4.8 - C</v>
      </c>
    </row>
    <row r="65" spans="1:5">
      <c r="A65" s="60" t="s">
        <v>1357</v>
      </c>
      <c r="B65" s="22" t="s">
        <v>73</v>
      </c>
      <c r="C65" s="18" t="s">
        <v>404</v>
      </c>
      <c r="D65" s="4" t="str">
        <f>IFERROR(INDEX('Criterios GISTM'!$D$2:$D$222,MATCH($C65,'Criterios GISTM'!$A$2:$A$222,0)),"")</f>
        <v>Principio 05</v>
      </c>
      <c r="E65" s="4" t="str">
        <f>IFERROR(INDEX('Criterios GISTM'!$H$2:$H$222,MATCH($C65,'Criterios GISTM'!$A$2:$A$222,0)),"")</f>
        <v xml:space="preserve"> 5.1 - A</v>
      </c>
    </row>
    <row r="66" spans="1:5">
      <c r="A66" s="60" t="s">
        <v>1358</v>
      </c>
      <c r="B66" s="22" t="s">
        <v>89</v>
      </c>
      <c r="C66" s="18" t="s">
        <v>411</v>
      </c>
      <c r="D66" s="4" t="str">
        <f>IFERROR(INDEX('Criterios GISTM'!$D$2:$D$222,MATCH($C66,'Criterios GISTM'!$A$2:$A$222,0)),"")</f>
        <v>Principio 05</v>
      </c>
      <c r="E66" s="4" t="str">
        <f>IFERROR(INDEX('Criterios GISTM'!$H$2:$H$222,MATCH($C66,'Criterios GISTM'!$A$2:$A$222,0)),"")</f>
        <v xml:space="preserve"> 5.1 - B</v>
      </c>
    </row>
    <row r="67" spans="1:5">
      <c r="A67" s="60" t="s">
        <v>1359</v>
      </c>
      <c r="B67" s="22" t="s">
        <v>89</v>
      </c>
      <c r="C67" s="18" t="s">
        <v>414</v>
      </c>
      <c r="D67" s="4" t="str">
        <f>IFERROR(INDEX('Criterios GISTM'!$D$2:$D$222,MATCH($C67,'Criterios GISTM'!$A$2:$A$222,0)),"")</f>
        <v>Principio 05</v>
      </c>
      <c r="E67" s="4" t="str">
        <f>IFERROR(INDEX('Criterios GISTM'!$H$2:$H$222,MATCH($C67,'Criterios GISTM'!$A$2:$A$222,0)),"")</f>
        <v xml:space="preserve"> 5.1 - C</v>
      </c>
    </row>
    <row r="68" spans="1:5">
      <c r="A68" s="60" t="s">
        <v>1360</v>
      </c>
      <c r="B68" s="22" t="s">
        <v>91</v>
      </c>
      <c r="C68" s="18" t="s">
        <v>417</v>
      </c>
      <c r="D68" s="4" t="str">
        <f>IFERROR(INDEX('Criterios GISTM'!$D$2:$D$222,MATCH($C68,'Criterios GISTM'!$A$2:$A$222,0)),"")</f>
        <v>Principio 05</v>
      </c>
      <c r="E68" s="4" t="str">
        <f>IFERROR(INDEX('Criterios GISTM'!$H$2:$H$222,MATCH($C68,'Criterios GISTM'!$A$2:$A$222,0)),"")</f>
        <v xml:space="preserve"> 5.2 - A</v>
      </c>
    </row>
    <row r="69" spans="1:5">
      <c r="A69" s="60" t="s">
        <v>1361</v>
      </c>
      <c r="B69" s="22" t="s">
        <v>79</v>
      </c>
      <c r="C69" s="18" t="s">
        <v>422</v>
      </c>
      <c r="D69" s="4" t="str">
        <f>IFERROR(INDEX('Criterios GISTM'!$D$2:$D$222,MATCH($C69,'Criterios GISTM'!$A$2:$A$222,0)),"")</f>
        <v>Principio 05</v>
      </c>
      <c r="E69" s="4" t="str">
        <f>IFERROR(INDEX('Criterios GISTM'!$H$2:$H$222,MATCH($C69,'Criterios GISTM'!$A$2:$A$222,0)),"")</f>
        <v xml:space="preserve"> 5.2 - B</v>
      </c>
    </row>
    <row r="70" spans="1:5">
      <c r="A70" s="60" t="s">
        <v>1362</v>
      </c>
      <c r="B70" s="22" t="s">
        <v>93</v>
      </c>
      <c r="C70" s="18" t="s">
        <v>425</v>
      </c>
      <c r="D70" s="4" t="str">
        <f>IFERROR(INDEX('Criterios GISTM'!$D$2:$D$222,MATCH($C70,'Criterios GISTM'!$A$2:$A$222,0)),"")</f>
        <v>Principio 05</v>
      </c>
      <c r="E70" s="4" t="str">
        <f>IFERROR(INDEX('Criterios GISTM'!$H$2:$H$222,MATCH($C70,'Criterios GISTM'!$A$2:$A$222,0)),"")</f>
        <v xml:space="preserve"> 5.3 - A</v>
      </c>
    </row>
    <row r="71" spans="1:5">
      <c r="A71" s="60" t="s">
        <v>1363</v>
      </c>
      <c r="B71" s="22" t="s">
        <v>93</v>
      </c>
      <c r="C71" s="18" t="s">
        <v>430</v>
      </c>
      <c r="D71" s="4" t="str">
        <f>IFERROR(INDEX('Criterios GISTM'!$D$2:$D$222,MATCH($C71,'Criterios GISTM'!$A$2:$A$222,0)),"")</f>
        <v>Principio 05</v>
      </c>
      <c r="E71" s="4" t="str">
        <f>IFERROR(INDEX('Criterios GISTM'!$H$2:$H$222,MATCH($C71,'Criterios GISTM'!$A$2:$A$222,0)),"")</f>
        <v xml:space="preserve"> 5.3 - B</v>
      </c>
    </row>
    <row r="72" spans="1:5">
      <c r="A72" s="60" t="s">
        <v>1364</v>
      </c>
      <c r="B72" s="22" t="s">
        <v>93</v>
      </c>
      <c r="C72" s="18" t="s">
        <v>433</v>
      </c>
      <c r="D72" s="4" t="str">
        <f>IFERROR(INDEX('Criterios GISTM'!$D$2:$D$222,MATCH($C72,'Criterios GISTM'!$A$2:$A$222,0)),"")</f>
        <v>Principio 05</v>
      </c>
      <c r="E72" s="4" t="str">
        <f>IFERROR(INDEX('Criterios GISTM'!$H$2:$H$222,MATCH($C72,'Criterios GISTM'!$A$2:$A$222,0)),"")</f>
        <v xml:space="preserve"> 5.3 - C</v>
      </c>
    </row>
    <row r="73" spans="1:5">
      <c r="A73" s="60" t="s">
        <v>1365</v>
      </c>
      <c r="B73" s="22" t="s">
        <v>95</v>
      </c>
      <c r="C73" s="18" t="s">
        <v>436</v>
      </c>
      <c r="D73" s="4" t="str">
        <f>IFERROR(INDEX('Criterios GISTM'!$D$2:$D$222,MATCH($C73,'Criterios GISTM'!$A$2:$A$222,0)),"")</f>
        <v>Principio 05</v>
      </c>
      <c r="E73" s="4" t="str">
        <f>IFERROR(INDEX('Criterios GISTM'!$H$2:$H$222,MATCH($C73,'Criterios GISTM'!$A$2:$A$222,0)),"")</f>
        <v xml:space="preserve"> 5.4 - A</v>
      </c>
    </row>
    <row r="74" spans="1:5">
      <c r="A74" s="60" t="s">
        <v>1366</v>
      </c>
      <c r="B74" s="22" t="s">
        <v>95</v>
      </c>
      <c r="C74" s="18" t="s">
        <v>441</v>
      </c>
      <c r="D74" s="4" t="str">
        <f>IFERROR(INDEX('Criterios GISTM'!$D$2:$D$222,MATCH($C74,'Criterios GISTM'!$A$2:$A$222,0)),"")</f>
        <v>Principio 05</v>
      </c>
      <c r="E74" s="4" t="str">
        <f>IFERROR(INDEX('Criterios GISTM'!$H$2:$H$222,MATCH($C74,'Criterios GISTM'!$A$2:$A$222,0)),"")</f>
        <v xml:space="preserve"> 5.4 - B</v>
      </c>
    </row>
    <row r="75" spans="1:5">
      <c r="A75" s="60" t="s">
        <v>1367</v>
      </c>
      <c r="B75" s="22" t="s">
        <v>85</v>
      </c>
      <c r="C75" s="18" t="s">
        <v>444</v>
      </c>
      <c r="D75" s="4" t="str">
        <f>IFERROR(INDEX('Criterios GISTM'!$D$2:$D$222,MATCH($C75,'Criterios GISTM'!$A$2:$A$222,0)),"")</f>
        <v>Principio 05</v>
      </c>
      <c r="E75" s="4" t="str">
        <f>IFERROR(INDEX('Criterios GISTM'!$H$2:$H$222,MATCH($C75,'Criterios GISTM'!$A$2:$A$222,0)),"")</f>
        <v xml:space="preserve"> 5.5 - A</v>
      </c>
    </row>
    <row r="76" spans="1:5">
      <c r="A76" s="60" t="s">
        <v>1368</v>
      </c>
      <c r="B76" s="22" t="s">
        <v>97</v>
      </c>
      <c r="C76" s="18" t="s">
        <v>449</v>
      </c>
      <c r="D76" s="4" t="str">
        <f>IFERROR(INDEX('Criterios GISTM'!$D$2:$D$222,MATCH($C76,'Criterios GISTM'!$A$2:$A$222,0)),"")</f>
        <v>Principio 05</v>
      </c>
      <c r="E76" s="4" t="str">
        <f>IFERROR(INDEX('Criterios GISTM'!$H$2:$H$222,MATCH($C76,'Criterios GISTM'!$A$2:$A$222,0)),"")</f>
        <v xml:space="preserve"> 5.6 - A</v>
      </c>
    </row>
    <row r="77" spans="1:5">
      <c r="A77" s="60" t="s">
        <v>1369</v>
      </c>
      <c r="B77" s="22" t="s">
        <v>97</v>
      </c>
      <c r="C77" s="18" t="s">
        <v>454</v>
      </c>
      <c r="D77" s="4" t="str">
        <f>IFERROR(INDEX('Criterios GISTM'!$D$2:$D$222,MATCH($C77,'Criterios GISTM'!$A$2:$A$222,0)),"")</f>
        <v>Principio 05</v>
      </c>
      <c r="E77" s="4" t="str">
        <f>IFERROR(INDEX('Criterios GISTM'!$H$2:$H$222,MATCH($C77,'Criterios GISTM'!$A$2:$A$222,0)),"")</f>
        <v xml:space="preserve"> 5.6 - B</v>
      </c>
    </row>
    <row r="78" spans="1:5">
      <c r="A78" s="60" t="s">
        <v>1370</v>
      </c>
      <c r="B78" s="22" t="s">
        <v>97</v>
      </c>
      <c r="C78" s="18" t="s">
        <v>457</v>
      </c>
      <c r="D78" s="4" t="str">
        <f>IFERROR(INDEX('Criterios GISTM'!$D$2:$D$222,MATCH($C78,'Criterios GISTM'!$A$2:$A$222,0)),"")</f>
        <v>Principio 05</v>
      </c>
      <c r="E78" s="4" t="str">
        <f>IFERROR(INDEX('Criterios GISTM'!$H$2:$H$222,MATCH($C78,'Criterios GISTM'!$A$2:$A$222,0)),"")</f>
        <v xml:space="preserve"> 5.6 - C</v>
      </c>
    </row>
    <row r="79" spans="1:5">
      <c r="A79" s="60" t="s">
        <v>1371</v>
      </c>
      <c r="B79" s="22" t="s">
        <v>99</v>
      </c>
      <c r="C79" s="18" t="s">
        <v>460</v>
      </c>
      <c r="D79" s="4" t="str">
        <f>IFERROR(INDEX('Criterios GISTM'!$D$2:$D$222,MATCH($C79,'Criterios GISTM'!$A$2:$A$222,0)),"")</f>
        <v>Principio 05</v>
      </c>
      <c r="E79" s="4" t="str">
        <f>IFERROR(INDEX('Criterios GISTM'!$H$2:$H$222,MATCH($C79,'Criterios GISTM'!$A$2:$A$222,0)),"")</f>
        <v xml:space="preserve"> 5.7 - A</v>
      </c>
    </row>
    <row r="80" spans="1:5">
      <c r="A80" s="60" t="s">
        <v>1372</v>
      </c>
      <c r="B80" s="22" t="s">
        <v>99</v>
      </c>
      <c r="C80" s="18" t="s">
        <v>465</v>
      </c>
      <c r="D80" s="4" t="str">
        <f>IFERROR(INDEX('Criterios GISTM'!$D$2:$D$222,MATCH($C80,'Criterios GISTM'!$A$2:$A$222,0)),"")</f>
        <v>Principio 05</v>
      </c>
      <c r="E80" s="4" t="str">
        <f>IFERROR(INDEX('Criterios GISTM'!$H$2:$H$222,MATCH($C80,'Criterios GISTM'!$A$2:$A$222,0)),"")</f>
        <v xml:space="preserve"> 5.7 - B</v>
      </c>
    </row>
    <row r="81" spans="1:5">
      <c r="A81" s="60" t="s">
        <v>1373</v>
      </c>
      <c r="B81" s="22" t="s">
        <v>99</v>
      </c>
      <c r="C81" s="18" t="s">
        <v>468</v>
      </c>
      <c r="D81" s="4" t="str">
        <f>IFERROR(INDEX('Criterios GISTM'!$D$2:$D$222,MATCH($C81,'Criterios GISTM'!$A$2:$A$222,0)),"")</f>
        <v>Principio 05</v>
      </c>
      <c r="E81" s="4" t="str">
        <f>IFERROR(INDEX('Criterios GISTM'!$H$2:$H$222,MATCH($C81,'Criterios GISTM'!$A$2:$A$222,0)),"")</f>
        <v xml:space="preserve"> 5.7 - C</v>
      </c>
    </row>
    <row r="82" spans="1:5">
      <c r="A82" s="60" t="s">
        <v>1374</v>
      </c>
      <c r="B82" s="22" t="s">
        <v>99</v>
      </c>
      <c r="C82" s="18" t="s">
        <v>471</v>
      </c>
      <c r="D82" s="4" t="str">
        <f>IFERROR(INDEX('Criterios GISTM'!$D$2:$D$222,MATCH($C82,'Criterios GISTM'!$A$2:$A$222,0)),"")</f>
        <v>Principio 05</v>
      </c>
      <c r="E82" s="4" t="str">
        <f>IFERROR(INDEX('Criterios GISTM'!$H$2:$H$222,MATCH($C82,'Criterios GISTM'!$A$2:$A$222,0)),"")</f>
        <v xml:space="preserve"> 5.7 - D</v>
      </c>
    </row>
    <row r="83" spans="1:5">
      <c r="A83" s="60" t="s">
        <v>1375</v>
      </c>
      <c r="B83" s="22" t="s">
        <v>99</v>
      </c>
      <c r="C83" s="18" t="s">
        <v>474</v>
      </c>
      <c r="D83" s="4" t="str">
        <f>IFERROR(INDEX('Criterios GISTM'!$D$2:$D$222,MATCH($C83,'Criterios GISTM'!$A$2:$A$222,0)),"")</f>
        <v>Principio 05</v>
      </c>
      <c r="E83" s="4" t="str">
        <f>IFERROR(INDEX('Criterios GISTM'!$H$2:$H$222,MATCH($C83,'Criterios GISTM'!$A$2:$A$222,0)),"")</f>
        <v xml:space="preserve"> 5.7 - E</v>
      </c>
    </row>
    <row r="84" spans="1:5">
      <c r="A84" s="60" t="s">
        <v>1376</v>
      </c>
      <c r="B84" s="22" t="s">
        <v>99</v>
      </c>
      <c r="C84" s="18" t="s">
        <v>477</v>
      </c>
      <c r="D84" s="4" t="str">
        <f>IFERROR(INDEX('Criterios GISTM'!$D$2:$D$222,MATCH($C84,'Criterios GISTM'!$A$2:$A$222,0)),"")</f>
        <v>Principio 05</v>
      </c>
      <c r="E84" s="4" t="str">
        <f>IFERROR(INDEX('Criterios GISTM'!$H$2:$H$222,MATCH($C84,'Criterios GISTM'!$A$2:$A$222,0)),"")</f>
        <v xml:space="preserve"> 5.7 - F</v>
      </c>
    </row>
    <row r="85" spans="1:5">
      <c r="A85" s="60" t="s">
        <v>1377</v>
      </c>
      <c r="B85" s="22" t="s">
        <v>101</v>
      </c>
      <c r="C85" s="18" t="s">
        <v>480</v>
      </c>
      <c r="D85" s="4" t="str">
        <f>IFERROR(INDEX('Criterios GISTM'!$D$2:$D$222,MATCH($C85,'Criterios GISTM'!$A$2:$A$222,0)),"")</f>
        <v>Principio 05</v>
      </c>
      <c r="E85" s="4" t="str">
        <f>IFERROR(INDEX('Criterios GISTM'!$H$2:$H$222,MATCH($C85,'Criterios GISTM'!$A$2:$A$222,0)),"")</f>
        <v xml:space="preserve"> 5.8 - A</v>
      </c>
    </row>
    <row r="86" spans="1:5">
      <c r="A86" s="60" t="s">
        <v>1378</v>
      </c>
      <c r="B86" s="22" t="s">
        <v>101</v>
      </c>
      <c r="C86" s="18" t="s">
        <v>485</v>
      </c>
      <c r="D86" s="4" t="str">
        <f>IFERROR(INDEX('Criterios GISTM'!$D$2:$D$222,MATCH($C86,'Criterios GISTM'!$A$2:$A$222,0)),"")</f>
        <v>Principio 05</v>
      </c>
      <c r="E86" s="4" t="str">
        <f>IFERROR(INDEX('Criterios GISTM'!$H$2:$H$222,MATCH($C86,'Criterios GISTM'!$A$2:$A$222,0)),"")</f>
        <v xml:space="preserve"> 5.8 - B</v>
      </c>
    </row>
    <row r="87" spans="1:5">
      <c r="A87" s="60" t="s">
        <v>1379</v>
      </c>
      <c r="B87" s="22" t="s">
        <v>85</v>
      </c>
      <c r="C87" s="18" t="s">
        <v>488</v>
      </c>
      <c r="D87" s="4" t="str">
        <f>IFERROR(INDEX('Criterios GISTM'!$D$2:$D$222,MATCH($C87,'Criterios GISTM'!$A$2:$A$222,0)),"")</f>
        <v>Principio 06</v>
      </c>
      <c r="E87" s="4" t="str">
        <f>IFERROR(INDEX('Criterios GISTM'!$H$2:$H$222,MATCH($C87,'Criterios GISTM'!$A$2:$A$222,0)),"")</f>
        <v xml:space="preserve"> 6.1 - A</v>
      </c>
    </row>
    <row r="88" spans="1:5">
      <c r="A88" s="60" t="s">
        <v>1380</v>
      </c>
      <c r="B88" s="22" t="s">
        <v>103</v>
      </c>
      <c r="C88" s="18" t="s">
        <v>488</v>
      </c>
      <c r="D88" s="4" t="str">
        <f>IFERROR(INDEX('Criterios GISTM'!$D$2:$D$222,MATCH($C88,'Criterios GISTM'!$A$2:$A$222,0)),"")</f>
        <v>Principio 06</v>
      </c>
      <c r="E88" s="4" t="str">
        <f>IFERROR(INDEX('Criterios GISTM'!$H$2:$H$222,MATCH($C88,'Criterios GISTM'!$A$2:$A$222,0)),"")</f>
        <v xml:space="preserve"> 6.1 - A</v>
      </c>
    </row>
    <row r="89" spans="1:5">
      <c r="A89" s="60" t="s">
        <v>1381</v>
      </c>
      <c r="B89" s="22" t="s">
        <v>105</v>
      </c>
      <c r="C89" s="18" t="s">
        <v>488</v>
      </c>
      <c r="D89" s="4" t="str">
        <f>IFERROR(INDEX('Criterios GISTM'!$D$2:$D$222,MATCH($C89,'Criterios GISTM'!$A$2:$A$222,0)),"")</f>
        <v>Principio 06</v>
      </c>
      <c r="E89" s="4" t="str">
        <f>IFERROR(INDEX('Criterios GISTM'!$H$2:$H$222,MATCH($C89,'Criterios GISTM'!$A$2:$A$222,0)),"")</f>
        <v xml:space="preserve"> 6.1 - A</v>
      </c>
    </row>
    <row r="90" spans="1:5">
      <c r="A90" s="60" t="s">
        <v>1382</v>
      </c>
      <c r="B90" s="22" t="s">
        <v>107</v>
      </c>
      <c r="C90" s="18" t="s">
        <v>495</v>
      </c>
      <c r="D90" s="4" t="str">
        <f>IFERROR(INDEX('Criterios GISTM'!$D$2:$D$222,MATCH($C90,'Criterios GISTM'!$A$2:$A$222,0)),"")</f>
        <v>Principio 06</v>
      </c>
      <c r="E90" s="4" t="str">
        <f>IFERROR(INDEX('Criterios GISTM'!$H$2:$H$222,MATCH($C90,'Criterios GISTM'!$A$2:$A$222,0)),"")</f>
        <v xml:space="preserve"> 6.1 - B</v>
      </c>
    </row>
    <row r="91" spans="1:5">
      <c r="A91" s="60" t="s">
        <v>1383</v>
      </c>
      <c r="B91" s="22" t="s">
        <v>110</v>
      </c>
      <c r="C91" s="18" t="s">
        <v>498</v>
      </c>
      <c r="D91" s="4" t="str">
        <f>IFERROR(INDEX('Criterios GISTM'!$D$2:$D$222,MATCH($C91,'Criterios GISTM'!$A$2:$A$222,0)),"")</f>
        <v>Principio 06</v>
      </c>
      <c r="E91" s="4" t="str">
        <f>IFERROR(INDEX('Criterios GISTM'!$H$2:$H$222,MATCH($C91,'Criterios GISTM'!$A$2:$A$222,0)),"")</f>
        <v xml:space="preserve"> 6.1 - C</v>
      </c>
    </row>
    <row r="92" spans="1:5">
      <c r="A92" s="60" t="s">
        <v>1384</v>
      </c>
      <c r="B92" s="22" t="s">
        <v>112</v>
      </c>
      <c r="C92" s="18" t="s">
        <v>501</v>
      </c>
      <c r="D92" s="4" t="str">
        <f>IFERROR(INDEX('Criterios GISTM'!$D$2:$D$222,MATCH($C92,'Criterios GISTM'!$A$2:$A$222,0)),"")</f>
        <v>Principio 06</v>
      </c>
      <c r="E92" s="4" t="str">
        <f>IFERROR(INDEX('Criterios GISTM'!$H$2:$H$222,MATCH($C92,'Criterios GISTM'!$A$2:$A$222,0)),"")</f>
        <v xml:space="preserve"> 6.1 - D</v>
      </c>
    </row>
    <row r="93" spans="1:5">
      <c r="A93" s="60" t="s">
        <v>1385</v>
      </c>
      <c r="B93" s="22" t="s">
        <v>107</v>
      </c>
      <c r="C93" s="18" t="s">
        <v>501</v>
      </c>
      <c r="D93" s="4" t="str">
        <f>IFERROR(INDEX('Criterios GISTM'!$D$2:$D$222,MATCH($C93,'Criterios GISTM'!$A$2:$A$222,0)),"")</f>
        <v>Principio 06</v>
      </c>
      <c r="E93" s="4" t="str">
        <f>IFERROR(INDEX('Criterios GISTM'!$H$2:$H$222,MATCH($C93,'Criterios GISTM'!$A$2:$A$222,0)),"")</f>
        <v xml:space="preserve"> 6.1 - D</v>
      </c>
    </row>
    <row r="94" spans="1:5">
      <c r="A94" s="60" t="s">
        <v>1386</v>
      </c>
      <c r="B94" s="22" t="s">
        <v>114</v>
      </c>
      <c r="C94" s="18" t="s">
        <v>504</v>
      </c>
      <c r="D94" s="4" t="str">
        <f>IFERROR(INDEX('Criterios GISTM'!$D$2:$D$222,MATCH($C94,'Criterios GISTM'!$A$2:$A$222,0)),"")</f>
        <v>Principio 06</v>
      </c>
      <c r="E94" s="4" t="str">
        <f>IFERROR(INDEX('Criterios GISTM'!$H$2:$H$222,MATCH($C94,'Criterios GISTM'!$A$2:$A$222,0)),"")</f>
        <v xml:space="preserve"> 6.2 - A</v>
      </c>
    </row>
    <row r="95" spans="1:5">
      <c r="A95" s="60" t="s">
        <v>1387</v>
      </c>
      <c r="B95" s="22" t="s">
        <v>105</v>
      </c>
      <c r="C95" s="18" t="s">
        <v>509</v>
      </c>
      <c r="D95" s="4" t="str">
        <f>IFERROR(INDEX('Criterios GISTM'!$D$2:$D$222,MATCH($C95,'Criterios GISTM'!$A$2:$A$222,0)),"")</f>
        <v>Principio 06</v>
      </c>
      <c r="E95" s="4" t="str">
        <f>IFERROR(INDEX('Criterios GISTM'!$H$2:$H$222,MATCH($C95,'Criterios GISTM'!$A$2:$A$222,0)),"")</f>
        <v xml:space="preserve"> 6.2 - B</v>
      </c>
    </row>
    <row r="96" spans="1:5">
      <c r="A96" s="60" t="s">
        <v>1388</v>
      </c>
      <c r="B96" s="22" t="s">
        <v>103</v>
      </c>
      <c r="C96" s="18" t="s">
        <v>512</v>
      </c>
      <c r="D96" s="4" t="str">
        <f>IFERROR(INDEX('Criterios GISTM'!$D$2:$D$222,MATCH($C96,'Criterios GISTM'!$A$2:$A$222,0)),"")</f>
        <v>Principio 06</v>
      </c>
      <c r="E96" s="4" t="str">
        <f>IFERROR(INDEX('Criterios GISTM'!$H$2:$H$222,MATCH($C96,'Criterios GISTM'!$A$2:$A$222,0)),"")</f>
        <v xml:space="preserve"> 6.3 - A</v>
      </c>
    </row>
    <row r="97" spans="1:5">
      <c r="A97" s="60" t="s">
        <v>1389</v>
      </c>
      <c r="B97" s="22" t="s">
        <v>107</v>
      </c>
      <c r="C97" s="18" t="s">
        <v>517</v>
      </c>
      <c r="D97" s="4" t="str">
        <f>IFERROR(INDEX('Criterios GISTM'!$D$2:$D$222,MATCH($C97,'Criterios GISTM'!$A$2:$A$222,0)),"")</f>
        <v>Principio 06</v>
      </c>
      <c r="E97" s="4" t="str">
        <f>IFERROR(INDEX('Criterios GISTM'!$H$2:$H$222,MATCH($C97,'Criterios GISTM'!$A$2:$A$222,0)),"")</f>
        <v xml:space="preserve"> 6.3 - B</v>
      </c>
    </row>
    <row r="98" spans="1:5">
      <c r="A98" s="60" t="s">
        <v>1390</v>
      </c>
      <c r="B98" s="22" t="s">
        <v>110</v>
      </c>
      <c r="C98" s="18" t="s">
        <v>520</v>
      </c>
      <c r="D98" s="4" t="str">
        <f>IFERROR(INDEX('Criterios GISTM'!$D$2:$D$222,MATCH($C98,'Criterios GISTM'!$A$2:$A$222,0)),"")</f>
        <v>Principio 06</v>
      </c>
      <c r="E98" s="4" t="str">
        <f>IFERROR(INDEX('Criterios GISTM'!$H$2:$H$222,MATCH($C98,'Criterios GISTM'!$A$2:$A$222,0)),"")</f>
        <v xml:space="preserve"> 6.4 - A</v>
      </c>
    </row>
    <row r="99" spans="1:5">
      <c r="A99" s="60" t="s">
        <v>1391</v>
      </c>
      <c r="B99" s="22" t="s">
        <v>110</v>
      </c>
      <c r="C99" s="18" t="s">
        <v>525</v>
      </c>
      <c r="D99" s="4" t="str">
        <f>IFERROR(INDEX('Criterios GISTM'!$D$2:$D$222,MATCH($C99,'Criterios GISTM'!$A$2:$A$222,0)),"")</f>
        <v>Principio 06</v>
      </c>
      <c r="E99" s="4" t="str">
        <f>IFERROR(INDEX('Criterios GISTM'!$H$2:$H$222,MATCH($C99,'Criterios GISTM'!$A$2:$A$222,0)),"")</f>
        <v xml:space="preserve"> 6.4 - B</v>
      </c>
    </row>
    <row r="100" spans="1:5">
      <c r="A100" s="60" t="s">
        <v>1392</v>
      </c>
      <c r="B100" s="22" t="s">
        <v>110</v>
      </c>
      <c r="C100" s="18" t="s">
        <v>528</v>
      </c>
      <c r="D100" s="4" t="str">
        <f>IFERROR(INDEX('Criterios GISTM'!$D$2:$D$222,MATCH($C100,'Criterios GISTM'!$A$2:$A$222,0)),"")</f>
        <v>Principio 06</v>
      </c>
      <c r="E100" s="4" t="str">
        <f>IFERROR(INDEX('Criterios GISTM'!$H$2:$H$222,MATCH($C100,'Criterios GISTM'!$A$2:$A$222,0)),"")</f>
        <v xml:space="preserve"> 6.4 - C</v>
      </c>
    </row>
    <row r="101" spans="1:5">
      <c r="A101" s="60" t="s">
        <v>1393</v>
      </c>
      <c r="B101" s="22" t="s">
        <v>110</v>
      </c>
      <c r="C101" s="18" t="s">
        <v>531</v>
      </c>
      <c r="D101" s="4" t="str">
        <f>IFERROR(INDEX('Criterios GISTM'!$D$2:$D$222,MATCH($C101,'Criterios GISTM'!$A$2:$A$222,0)),"")</f>
        <v>Principio 06</v>
      </c>
      <c r="E101" s="4" t="str">
        <f>IFERROR(INDEX('Criterios GISTM'!$H$2:$H$222,MATCH($C101,'Criterios GISTM'!$A$2:$A$222,0)),"")</f>
        <v xml:space="preserve"> 6.4 - D</v>
      </c>
    </row>
    <row r="102" spans="1:5">
      <c r="A102" s="60" t="s">
        <v>1394</v>
      </c>
      <c r="B102" s="22" t="s">
        <v>116</v>
      </c>
      <c r="C102" s="18" t="s">
        <v>534</v>
      </c>
      <c r="D102" s="4" t="str">
        <f>IFERROR(INDEX('Criterios GISTM'!$D$2:$D$222,MATCH($C102,'Criterios GISTM'!$A$2:$A$222,0)),"")</f>
        <v>Principio 06</v>
      </c>
      <c r="E102" s="4" t="str">
        <f>IFERROR(INDEX('Criterios GISTM'!$H$2:$H$222,MATCH($C102,'Criterios GISTM'!$A$2:$A$222,0)),"")</f>
        <v xml:space="preserve"> 6.4 - E</v>
      </c>
    </row>
    <row r="103" spans="1:5">
      <c r="A103" s="60" t="s">
        <v>1395</v>
      </c>
      <c r="B103" s="22" t="s">
        <v>79</v>
      </c>
      <c r="C103" s="18" t="s">
        <v>537</v>
      </c>
      <c r="D103" s="4" t="str">
        <f>IFERROR(INDEX('Criterios GISTM'!$D$2:$D$222,MATCH($C103,'Criterios GISTM'!$A$2:$A$222,0)),"")</f>
        <v>Principio 06</v>
      </c>
      <c r="E103" s="4" t="str">
        <f>IFERROR(INDEX('Criterios GISTM'!$H$2:$H$222,MATCH($C103,'Criterios GISTM'!$A$2:$A$222,0)),"")</f>
        <v xml:space="preserve"> 6.5 - A</v>
      </c>
    </row>
    <row r="104" spans="1:5">
      <c r="A104" s="60" t="s">
        <v>1396</v>
      </c>
      <c r="B104" s="22" t="s">
        <v>79</v>
      </c>
      <c r="C104" s="18" t="s">
        <v>542</v>
      </c>
      <c r="D104" s="4" t="str">
        <f>IFERROR(INDEX('Criterios GISTM'!$D$2:$D$222,MATCH($C104,'Criterios GISTM'!$A$2:$A$222,0)),"")</f>
        <v>Principio 06</v>
      </c>
      <c r="E104" s="4" t="str">
        <f>IFERROR(INDEX('Criterios GISTM'!$H$2:$H$222,MATCH($C104,'Criterios GISTM'!$A$2:$A$222,0)),"")</f>
        <v xml:space="preserve"> 6.5 - B</v>
      </c>
    </row>
    <row r="105" spans="1:5">
      <c r="A105" s="60" t="s">
        <v>1397</v>
      </c>
      <c r="B105" s="22" t="s">
        <v>79</v>
      </c>
      <c r="C105" s="18" t="s">
        <v>545</v>
      </c>
      <c r="D105" s="4" t="str">
        <f>IFERROR(INDEX('Criterios GISTM'!$D$2:$D$222,MATCH($C105,'Criterios GISTM'!$A$2:$A$222,0)),"")</f>
        <v>Principio 06</v>
      </c>
      <c r="E105" s="4" t="str">
        <f>IFERROR(INDEX('Criterios GISTM'!$H$2:$H$222,MATCH($C105,'Criterios GISTM'!$A$2:$A$222,0)),"")</f>
        <v xml:space="preserve"> 6.5 - C</v>
      </c>
    </row>
    <row r="106" spans="1:5">
      <c r="A106" s="60" t="s">
        <v>1398</v>
      </c>
      <c r="B106" s="22" t="s">
        <v>118</v>
      </c>
      <c r="C106" s="18" t="s">
        <v>548</v>
      </c>
      <c r="D106" s="4" t="str">
        <f>IFERROR(INDEX('Criterios GISTM'!$D$2:$D$222,MATCH($C106,'Criterios GISTM'!$A$2:$A$222,0)),"")</f>
        <v>Principio 06</v>
      </c>
      <c r="E106" s="4" t="str">
        <f>IFERROR(INDEX('Criterios GISTM'!$H$2:$H$222,MATCH($C106,'Criterios GISTM'!$A$2:$A$222,0)),"")</f>
        <v xml:space="preserve"> 6.5 - D</v>
      </c>
    </row>
    <row r="107" spans="1:5">
      <c r="A107" s="60" t="s">
        <v>1399</v>
      </c>
      <c r="B107" s="22" t="s">
        <v>118</v>
      </c>
      <c r="C107" s="18" t="s">
        <v>551</v>
      </c>
      <c r="D107" s="4" t="str">
        <f>IFERROR(INDEX('Criterios GISTM'!$D$2:$D$222,MATCH($C107,'Criterios GISTM'!$A$2:$A$222,0)),"")</f>
        <v>Principio 06</v>
      </c>
      <c r="E107" s="4" t="str">
        <f>IFERROR(INDEX('Criterios GISTM'!$H$2:$H$222,MATCH($C107,'Criterios GISTM'!$A$2:$A$222,0)),"")</f>
        <v xml:space="preserve"> 6.5 - E</v>
      </c>
    </row>
    <row r="108" spans="1:5">
      <c r="A108" s="60" t="s">
        <v>1400</v>
      </c>
      <c r="B108" s="22" t="s">
        <v>118</v>
      </c>
      <c r="C108" s="18" t="s">
        <v>554</v>
      </c>
      <c r="D108" s="4" t="str">
        <f>IFERROR(INDEX('Criterios GISTM'!$D$2:$D$222,MATCH($C108,'Criterios GISTM'!$A$2:$A$222,0)),"")</f>
        <v>Principio 06</v>
      </c>
      <c r="E108" s="4" t="str">
        <f>IFERROR(INDEX('Criterios GISTM'!$H$2:$H$222,MATCH($C108,'Criterios GISTM'!$A$2:$A$222,0)),"")</f>
        <v xml:space="preserve"> 6.5 - F</v>
      </c>
    </row>
    <row r="109" spans="1:5">
      <c r="A109" s="60" t="s">
        <v>1401</v>
      </c>
      <c r="B109" s="22" t="s">
        <v>120</v>
      </c>
      <c r="C109" s="18" t="s">
        <v>557</v>
      </c>
      <c r="D109" s="4" t="str">
        <f>IFERROR(INDEX('Criterios GISTM'!$D$2:$D$222,MATCH($C109,'Criterios GISTM'!$A$2:$A$222,0)),"")</f>
        <v>Principio 06</v>
      </c>
      <c r="E109" s="4" t="str">
        <f>IFERROR(INDEX('Criterios GISTM'!$H$2:$H$222,MATCH($C109,'Criterios GISTM'!$A$2:$A$222,0)),"")</f>
        <v xml:space="preserve"> 6.6 - A</v>
      </c>
    </row>
    <row r="110" spans="1:5">
      <c r="A110" s="60" t="s">
        <v>1402</v>
      </c>
      <c r="B110" s="22" t="s">
        <v>79</v>
      </c>
      <c r="C110" s="18" t="s">
        <v>562</v>
      </c>
      <c r="D110" s="4" t="str">
        <f>IFERROR(INDEX('Criterios GISTM'!$D$2:$D$222,MATCH($C110,'Criterios GISTM'!$A$2:$A$222,0)),"")</f>
        <v>Principio 06</v>
      </c>
      <c r="E110" s="4" t="str">
        <f>IFERROR(INDEX('Criterios GISTM'!$H$2:$H$222,MATCH($C110,'Criterios GISTM'!$A$2:$A$222,0)),"")</f>
        <v xml:space="preserve"> 6.6 - B</v>
      </c>
    </row>
    <row r="111" spans="1:5">
      <c r="A111" s="60" t="s">
        <v>1403</v>
      </c>
      <c r="B111" s="22" t="s">
        <v>122</v>
      </c>
      <c r="C111" s="18" t="s">
        <v>565</v>
      </c>
      <c r="D111" s="4" t="str">
        <f>IFERROR(INDEX('Criterios GISTM'!$D$2:$D$222,MATCH($C111,'Criterios GISTM'!$A$2:$A$222,0)),"")</f>
        <v>Principio 07</v>
      </c>
      <c r="E111" s="4" t="str">
        <f>IFERROR(INDEX('Criterios GISTM'!$H$2:$H$222,MATCH($C111,'Criterios GISTM'!$A$2:$A$222,0)),"")</f>
        <v xml:space="preserve"> 7.1 - A</v>
      </c>
    </row>
    <row r="112" spans="1:5">
      <c r="A112" s="60" t="s">
        <v>1404</v>
      </c>
      <c r="B112" s="22" t="s">
        <v>122</v>
      </c>
      <c r="C112" s="18" t="s">
        <v>572</v>
      </c>
      <c r="D112" s="4" t="str">
        <f>IFERROR(INDEX('Criterios GISTM'!$D$2:$D$222,MATCH($C112,'Criterios GISTM'!$A$2:$A$222,0)),"")</f>
        <v>Principio 07</v>
      </c>
      <c r="E112" s="4" t="str">
        <f>IFERROR(INDEX('Criterios GISTM'!$H$2:$H$222,MATCH($C112,'Criterios GISTM'!$A$2:$A$222,0)),"")</f>
        <v xml:space="preserve"> 7.1 - B</v>
      </c>
    </row>
    <row r="113" spans="1:5">
      <c r="A113" s="60" t="s">
        <v>1405</v>
      </c>
      <c r="B113" s="22" t="s">
        <v>122</v>
      </c>
      <c r="C113" s="18" t="s">
        <v>575</v>
      </c>
      <c r="D113" s="4" t="str">
        <f>IFERROR(INDEX('Criterios GISTM'!$D$2:$D$222,MATCH($C113,'Criterios GISTM'!$A$2:$A$222,0)),"")</f>
        <v>Principio 07</v>
      </c>
      <c r="E113" s="4" t="str">
        <f>IFERROR(INDEX('Criterios GISTM'!$H$2:$H$222,MATCH($C113,'Criterios GISTM'!$A$2:$A$222,0)),"")</f>
        <v xml:space="preserve"> 7.1 - C</v>
      </c>
    </row>
    <row r="114" spans="1:5">
      <c r="A114" s="60" t="s">
        <v>1406</v>
      </c>
      <c r="B114" s="22" t="s">
        <v>122</v>
      </c>
      <c r="C114" s="18" t="s">
        <v>578</v>
      </c>
      <c r="D114" s="4" t="str">
        <f>IFERROR(INDEX('Criterios GISTM'!$D$2:$D$222,MATCH($C114,'Criterios GISTM'!$A$2:$A$222,0)),"")</f>
        <v>Principio 07</v>
      </c>
      <c r="E114" s="4" t="str">
        <f>IFERROR(INDEX('Criterios GISTM'!$H$2:$H$222,MATCH($C114,'Criterios GISTM'!$A$2:$A$222,0)),"")</f>
        <v xml:space="preserve"> 7.2 - A</v>
      </c>
    </row>
    <row r="115" spans="1:5">
      <c r="A115" s="60" t="s">
        <v>1407</v>
      </c>
      <c r="B115" s="22" t="s">
        <v>122</v>
      </c>
      <c r="C115" s="18" t="s">
        <v>583</v>
      </c>
      <c r="D115" s="4" t="str">
        <f>IFERROR(INDEX('Criterios GISTM'!$D$2:$D$222,MATCH($C115,'Criterios GISTM'!$A$2:$A$222,0)),"")</f>
        <v>Principio 07</v>
      </c>
      <c r="E115" s="4" t="str">
        <f>IFERROR(INDEX('Criterios GISTM'!$H$2:$H$222,MATCH($C115,'Criterios GISTM'!$A$2:$A$222,0)),"")</f>
        <v xml:space="preserve"> 7.2 - B</v>
      </c>
    </row>
    <row r="116" spans="1:5">
      <c r="A116" s="60" t="s">
        <v>1408</v>
      </c>
      <c r="B116" s="22" t="s">
        <v>85</v>
      </c>
      <c r="C116" s="18" t="s">
        <v>586</v>
      </c>
      <c r="D116" s="4" t="str">
        <f>IFERROR(INDEX('Criterios GISTM'!$D$2:$D$222,MATCH($C116,'Criterios GISTM'!$A$2:$A$222,0)),"")</f>
        <v>Principio 07</v>
      </c>
      <c r="E116" s="4" t="str">
        <f>IFERROR(INDEX('Criterios GISTM'!$H$2:$H$222,MATCH($C116,'Criterios GISTM'!$A$2:$A$222,0)),"")</f>
        <v xml:space="preserve"> 7.2 - C</v>
      </c>
    </row>
    <row r="117" spans="1:5">
      <c r="A117" s="60" t="s">
        <v>1409</v>
      </c>
      <c r="B117" s="22" t="s">
        <v>122</v>
      </c>
      <c r="C117" s="18" t="s">
        <v>589</v>
      </c>
      <c r="D117" s="4" t="str">
        <f>IFERROR(INDEX('Criterios GISTM'!$D$2:$D$222,MATCH($C117,'Criterios GISTM'!$A$2:$A$222,0)),"")</f>
        <v>Principio 07</v>
      </c>
      <c r="E117" s="4" t="str">
        <f>IFERROR(INDEX('Criterios GISTM'!$H$2:$H$222,MATCH($C117,'Criterios GISTM'!$A$2:$A$222,0)),"")</f>
        <v xml:space="preserve"> 7.3 - A</v>
      </c>
    </row>
    <row r="118" spans="1:5">
      <c r="A118" s="60" t="s">
        <v>1410</v>
      </c>
      <c r="B118" s="22" t="s">
        <v>122</v>
      </c>
      <c r="C118" s="18" t="s">
        <v>594</v>
      </c>
      <c r="D118" s="4" t="str">
        <f>IFERROR(INDEX('Criterios GISTM'!$D$2:$D$222,MATCH($C118,'Criterios GISTM'!$A$2:$A$222,0)),"")</f>
        <v>Principio 07</v>
      </c>
      <c r="E118" s="4" t="str">
        <f>IFERROR(INDEX('Criterios GISTM'!$H$2:$H$222,MATCH($C118,'Criterios GISTM'!$A$2:$A$222,0)),"")</f>
        <v xml:space="preserve"> 7.3 - B</v>
      </c>
    </row>
    <row r="119" spans="1:5">
      <c r="A119" s="60" t="s">
        <v>1411</v>
      </c>
      <c r="B119" s="22" t="s">
        <v>122</v>
      </c>
      <c r="C119" s="18" t="s">
        <v>597</v>
      </c>
      <c r="D119" s="4" t="str">
        <f>IFERROR(INDEX('Criterios GISTM'!$D$2:$D$222,MATCH($C119,'Criterios GISTM'!$A$2:$A$222,0)),"")</f>
        <v>Principio 07</v>
      </c>
      <c r="E119" s="4" t="str">
        <f>IFERROR(INDEX('Criterios GISTM'!$H$2:$H$222,MATCH($C119,'Criterios GISTM'!$A$2:$A$222,0)),"")</f>
        <v xml:space="preserve"> 7.3 - C</v>
      </c>
    </row>
    <row r="120" spans="1:5">
      <c r="A120" s="60" t="s">
        <v>1412</v>
      </c>
      <c r="B120" s="22" t="s">
        <v>124</v>
      </c>
      <c r="C120" s="18" t="s">
        <v>600</v>
      </c>
      <c r="D120" s="4" t="str">
        <f>IFERROR(INDEX('Criterios GISTM'!$D$2:$D$222,MATCH($C120,'Criterios GISTM'!$A$2:$A$222,0)),"")</f>
        <v>Principio 07</v>
      </c>
      <c r="E120" s="4" t="str">
        <f>IFERROR(INDEX('Criterios GISTM'!$H$2:$H$222,MATCH($C120,'Criterios GISTM'!$A$2:$A$222,0)),"")</f>
        <v xml:space="preserve"> 7.4 - A</v>
      </c>
    </row>
    <row r="121" spans="1:5">
      <c r="A121" s="60" t="s">
        <v>1413</v>
      </c>
      <c r="B121" s="22" t="s">
        <v>124</v>
      </c>
      <c r="C121" s="18" t="s">
        <v>605</v>
      </c>
      <c r="D121" s="4" t="str">
        <f>IFERROR(INDEX('Criterios GISTM'!$D$2:$D$222,MATCH($C121,'Criterios GISTM'!$A$2:$A$222,0)),"")</f>
        <v>Principio 07</v>
      </c>
      <c r="E121" s="4" t="str">
        <f>IFERROR(INDEX('Criterios GISTM'!$H$2:$H$222,MATCH($C121,'Criterios GISTM'!$A$2:$A$222,0)),"")</f>
        <v xml:space="preserve"> 7.4 - B</v>
      </c>
    </row>
    <row r="122" spans="1:5">
      <c r="A122" s="60" t="s">
        <v>1414</v>
      </c>
      <c r="B122" s="22" t="s">
        <v>124</v>
      </c>
      <c r="C122" s="18" t="s">
        <v>608</v>
      </c>
      <c r="D122" s="4" t="str">
        <f>IFERROR(INDEX('Criterios GISTM'!$D$2:$D$222,MATCH($C122,'Criterios GISTM'!$A$2:$A$222,0)),"")</f>
        <v>Principio 07</v>
      </c>
      <c r="E122" s="4" t="str">
        <f>IFERROR(INDEX('Criterios GISTM'!$H$2:$H$222,MATCH($C122,'Criterios GISTM'!$A$2:$A$222,0)),"")</f>
        <v xml:space="preserve"> 7.4 - C</v>
      </c>
    </row>
    <row r="123" spans="1:5">
      <c r="A123" s="60" t="s">
        <v>1415</v>
      </c>
      <c r="B123" s="22" t="s">
        <v>124</v>
      </c>
      <c r="C123" s="18" t="s">
        <v>611</v>
      </c>
      <c r="D123" s="4" t="str">
        <f>IFERROR(INDEX('Criterios GISTM'!$D$2:$D$222,MATCH($C123,'Criterios GISTM'!$A$2:$A$222,0)),"")</f>
        <v>Principio 07</v>
      </c>
      <c r="E123" s="4" t="str">
        <f>IFERROR(INDEX('Criterios GISTM'!$H$2:$H$222,MATCH($C123,'Criterios GISTM'!$A$2:$A$222,0)),"")</f>
        <v xml:space="preserve"> 7.4 - D</v>
      </c>
    </row>
    <row r="124" spans="1:5">
      <c r="A124" s="60" t="s">
        <v>1416</v>
      </c>
      <c r="B124" s="22" t="s">
        <v>126</v>
      </c>
      <c r="C124" s="18" t="s">
        <v>614</v>
      </c>
      <c r="D124" s="4" t="str">
        <f>IFERROR(INDEX('Criterios GISTM'!$D$2:$D$222,MATCH($C124,'Criterios GISTM'!$A$2:$A$222,0)),"")</f>
        <v>Principio 07</v>
      </c>
      <c r="E124" s="4" t="str">
        <f>IFERROR(INDEX('Criterios GISTM'!$H$2:$H$222,MATCH($C124,'Criterios GISTM'!$A$2:$A$222,0)),"")</f>
        <v xml:space="preserve"> 7.4 - E</v>
      </c>
    </row>
    <row r="125" spans="1:5">
      <c r="A125" s="60" t="s">
        <v>1417</v>
      </c>
      <c r="B125" s="22" t="s">
        <v>130</v>
      </c>
      <c r="C125" s="18" t="s">
        <v>617</v>
      </c>
      <c r="D125" s="4" t="str">
        <f>IFERROR(INDEX('Criterios GISTM'!$D$2:$D$222,MATCH($C125,'Criterios GISTM'!$A$2:$A$222,0)),"")</f>
        <v>Principio 07</v>
      </c>
      <c r="E125" s="4" t="str">
        <f>IFERROR(INDEX('Criterios GISTM'!$H$2:$H$222,MATCH($C125,'Criterios GISTM'!$A$2:$A$222,0)),"")</f>
        <v xml:space="preserve"> 7.5 - A</v>
      </c>
    </row>
    <row r="126" spans="1:5">
      <c r="A126" s="60" t="s">
        <v>1418</v>
      </c>
      <c r="B126" s="22" t="s">
        <v>130</v>
      </c>
      <c r="C126" s="18" t="s">
        <v>622</v>
      </c>
      <c r="D126" s="4" t="str">
        <f>IFERROR(INDEX('Criterios GISTM'!$D$2:$D$222,MATCH($C126,'Criterios GISTM'!$A$2:$A$222,0)),"")</f>
        <v>Principio 07</v>
      </c>
      <c r="E126" s="4" t="str">
        <f>IFERROR(INDEX('Criterios GISTM'!$H$2:$H$222,MATCH($C126,'Criterios GISTM'!$A$2:$A$222,0)),"")</f>
        <v xml:space="preserve"> 7.5 - B</v>
      </c>
    </row>
    <row r="127" spans="1:5">
      <c r="A127" s="60" t="s">
        <v>1419</v>
      </c>
      <c r="B127" s="22" t="s">
        <v>132</v>
      </c>
      <c r="C127" s="18" t="s">
        <v>625</v>
      </c>
      <c r="D127" s="4" t="str">
        <f>IFERROR(INDEX('Criterios GISTM'!$D$2:$D$222,MATCH($C127,'Criterios GISTM'!$A$2:$A$222,0)),"")</f>
        <v>Principio 08</v>
      </c>
      <c r="E127" s="4" t="str">
        <f>IFERROR(INDEX('Criterios GISTM'!$H$2:$H$222,MATCH($C127,'Criterios GISTM'!$A$2:$A$222,0)),"")</f>
        <v xml:space="preserve"> 8.1 - A</v>
      </c>
    </row>
    <row r="128" spans="1:5">
      <c r="A128" s="60" t="s">
        <v>1420</v>
      </c>
      <c r="B128" s="22" t="s">
        <v>132</v>
      </c>
      <c r="C128" s="18" t="s">
        <v>634</v>
      </c>
      <c r="D128" s="4" t="str">
        <f>IFERROR(INDEX('Criterios GISTM'!$D$2:$D$222,MATCH($C128,'Criterios GISTM'!$A$2:$A$222,0)),"")</f>
        <v>Principio 08</v>
      </c>
      <c r="E128" s="4" t="str">
        <f>IFERROR(INDEX('Criterios GISTM'!$H$2:$H$222,MATCH($C128,'Criterios GISTM'!$A$2:$A$222,0)),"")</f>
        <v xml:space="preserve"> 8.1 - B</v>
      </c>
    </row>
    <row r="129" spans="1:5">
      <c r="A129" s="60" t="s">
        <v>1421</v>
      </c>
      <c r="B129" s="22" t="s">
        <v>107</v>
      </c>
      <c r="C129" s="18" t="s">
        <v>637</v>
      </c>
      <c r="D129" s="4" t="str">
        <f>IFERROR(INDEX('Criterios GISTM'!$D$2:$D$222,MATCH($C129,'Criterios GISTM'!$A$2:$A$222,0)),"")</f>
        <v>Principio 08</v>
      </c>
      <c r="E129" s="4" t="str">
        <f>IFERROR(INDEX('Criterios GISTM'!$H$2:$H$222,MATCH($C129,'Criterios GISTM'!$A$2:$A$222,0)),"")</f>
        <v xml:space="preserve"> 8.2 - A</v>
      </c>
    </row>
    <row r="130" spans="1:5">
      <c r="A130" s="60" t="s">
        <v>1422</v>
      </c>
      <c r="B130" s="22" t="s">
        <v>107</v>
      </c>
      <c r="C130" s="18" t="s">
        <v>642</v>
      </c>
      <c r="D130" s="4" t="str">
        <f>IFERROR(INDEX('Criterios GISTM'!$D$2:$D$222,MATCH($C130,'Criterios GISTM'!$A$2:$A$222,0)),"")</f>
        <v>Principio 08</v>
      </c>
      <c r="E130" s="4" t="str">
        <f>IFERROR(INDEX('Criterios GISTM'!$H$2:$H$222,MATCH($C130,'Criterios GISTM'!$A$2:$A$222,0)),"")</f>
        <v xml:space="preserve"> 8.2 - B</v>
      </c>
    </row>
    <row r="131" spans="1:5">
      <c r="A131" s="60" t="s">
        <v>1423</v>
      </c>
      <c r="B131" s="22" t="s">
        <v>107</v>
      </c>
      <c r="C131" s="18" t="s">
        <v>645</v>
      </c>
      <c r="D131" s="4" t="str">
        <f>IFERROR(INDEX('Criterios GISTM'!$D$2:$D$222,MATCH($C131,'Criterios GISTM'!$A$2:$A$222,0)),"")</f>
        <v>Principio 08</v>
      </c>
      <c r="E131" s="4" t="str">
        <f>IFERROR(INDEX('Criterios GISTM'!$H$2:$H$222,MATCH($C131,'Criterios GISTM'!$A$2:$A$222,0)),"")</f>
        <v xml:space="preserve"> 8.2 - C</v>
      </c>
    </row>
    <row r="132" spans="1:5">
      <c r="A132" s="60" t="s">
        <v>1424</v>
      </c>
      <c r="B132" s="22" t="s">
        <v>107</v>
      </c>
      <c r="C132" s="18" t="s">
        <v>648</v>
      </c>
      <c r="D132" s="4" t="str">
        <f>IFERROR(INDEX('Criterios GISTM'!$D$2:$D$222,MATCH($C132,'Criterios GISTM'!$A$2:$A$222,0)),"")</f>
        <v>Principio 08</v>
      </c>
      <c r="E132" s="4" t="str">
        <f>IFERROR(INDEX('Criterios GISTM'!$H$2:$H$222,MATCH($C132,'Criterios GISTM'!$A$2:$A$222,0)),"")</f>
        <v xml:space="preserve"> 8.2 - D</v>
      </c>
    </row>
    <row r="133" spans="1:5">
      <c r="A133" s="60" t="s">
        <v>1425</v>
      </c>
      <c r="B133" s="22" t="s">
        <v>134</v>
      </c>
      <c r="C133" s="18" t="s">
        <v>651</v>
      </c>
      <c r="D133" s="4" t="str">
        <f>IFERROR(INDEX('Criterios GISTM'!$D$2:$D$222,MATCH($C133,'Criterios GISTM'!$A$2:$A$222,0)),"")</f>
        <v>Principio 08</v>
      </c>
      <c r="E133" s="4" t="str">
        <f>IFERROR(INDEX('Criterios GISTM'!$H$2:$H$222,MATCH($C133,'Criterios GISTM'!$A$2:$A$222,0)),"")</f>
        <v xml:space="preserve"> 8.3 - A</v>
      </c>
    </row>
    <row r="134" spans="1:5">
      <c r="A134" s="60" t="s">
        <v>1426</v>
      </c>
      <c r="B134" s="22" t="s">
        <v>134</v>
      </c>
      <c r="C134" s="18" t="s">
        <v>656</v>
      </c>
      <c r="D134" s="4" t="str">
        <f>IFERROR(INDEX('Criterios GISTM'!$D$2:$D$222,MATCH($C134,'Criterios GISTM'!$A$2:$A$222,0)),"")</f>
        <v>Principio 08</v>
      </c>
      <c r="E134" s="4" t="str">
        <f>IFERROR(INDEX('Criterios GISTM'!$H$2:$H$222,MATCH($C134,'Criterios GISTM'!$A$2:$A$222,0)),"")</f>
        <v xml:space="preserve"> 8.3 - B</v>
      </c>
    </row>
    <row r="135" spans="1:5">
      <c r="A135" s="60" t="s">
        <v>1427</v>
      </c>
      <c r="B135" s="22" t="s">
        <v>134</v>
      </c>
      <c r="C135" s="18" t="s">
        <v>659</v>
      </c>
      <c r="D135" s="4" t="str">
        <f>IFERROR(INDEX('Criterios GISTM'!$D$2:$D$222,MATCH($C135,'Criterios GISTM'!$A$2:$A$222,0)),"")</f>
        <v>Principio 08</v>
      </c>
      <c r="E135" s="4" t="str">
        <f>IFERROR(INDEX('Criterios GISTM'!$H$2:$H$222,MATCH($C135,'Criterios GISTM'!$A$2:$A$222,0)),"")</f>
        <v xml:space="preserve"> 8.3 - C</v>
      </c>
    </row>
    <row r="136" spans="1:5">
      <c r="A136" s="60" t="s">
        <v>1428</v>
      </c>
      <c r="B136" s="22" t="s">
        <v>59</v>
      </c>
      <c r="C136" s="18" t="s">
        <v>662</v>
      </c>
      <c r="D136" s="4" t="str">
        <f>IFERROR(INDEX('Criterios GISTM'!$D$2:$D$222,MATCH($C136,'Criterios GISTM'!$A$2:$A$222,0)),"")</f>
        <v>Principio 08</v>
      </c>
      <c r="E136" s="4" t="str">
        <f>IFERROR(INDEX('Criterios GISTM'!$H$2:$H$222,MATCH($C136,'Criterios GISTM'!$A$2:$A$222,0)),"")</f>
        <v xml:space="preserve"> 8.4 - A</v>
      </c>
    </row>
    <row r="137" spans="1:5">
      <c r="A137" s="60" t="s">
        <v>1429</v>
      </c>
      <c r="B137" s="22" t="s">
        <v>116</v>
      </c>
      <c r="C137" s="18" t="s">
        <v>667</v>
      </c>
      <c r="D137" s="4" t="str">
        <f>IFERROR(INDEX('Criterios GISTM'!$D$2:$D$222,MATCH($C137,'Criterios GISTM'!$A$2:$A$222,0)),"")</f>
        <v>Principio 08</v>
      </c>
      <c r="E137" s="4" t="str">
        <f>IFERROR(INDEX('Criterios GISTM'!$H$2:$H$222,MATCH($C137,'Criterios GISTM'!$A$2:$A$222,0)),"")</f>
        <v xml:space="preserve"> 8.4 - B</v>
      </c>
    </row>
    <row r="138" spans="1:5">
      <c r="A138" s="60" t="s">
        <v>1430</v>
      </c>
      <c r="B138" s="22" t="s">
        <v>136</v>
      </c>
      <c r="C138" s="18" t="s">
        <v>670</v>
      </c>
      <c r="D138" s="4" t="str">
        <f>IFERROR(INDEX('Criterios GISTM'!$D$2:$D$222,MATCH($C138,'Criterios GISTM'!$A$2:$A$222,0)),"")</f>
        <v>Principio 08</v>
      </c>
      <c r="E138" s="4" t="str">
        <f>IFERROR(INDEX('Criterios GISTM'!$H$2:$H$222,MATCH($C138,'Criterios GISTM'!$A$2:$A$222,0)),"")</f>
        <v xml:space="preserve"> 8.4 - C</v>
      </c>
    </row>
    <row r="139" spans="1:5">
      <c r="A139" s="60" t="s">
        <v>1431</v>
      </c>
      <c r="B139" s="22" t="s">
        <v>136</v>
      </c>
      <c r="C139" s="18" t="s">
        <v>673</v>
      </c>
      <c r="D139" s="4" t="str">
        <f>IFERROR(INDEX('Criterios GISTM'!$D$2:$D$222,MATCH($C139,'Criterios GISTM'!$A$2:$A$222,0)),"")</f>
        <v>Principio 08</v>
      </c>
      <c r="E139" s="4" t="str">
        <f>IFERROR(INDEX('Criterios GISTM'!$H$2:$H$222,MATCH($C139,'Criterios GISTM'!$A$2:$A$222,0)),"")</f>
        <v xml:space="preserve"> 8.4 - D</v>
      </c>
    </row>
    <row r="140" spans="1:5">
      <c r="A140" s="60" t="s">
        <v>1432</v>
      </c>
      <c r="B140" s="22" t="s">
        <v>136</v>
      </c>
      <c r="C140" s="18" t="s">
        <v>676</v>
      </c>
      <c r="D140" s="4" t="str">
        <f>IFERROR(INDEX('Criterios GISTM'!$D$2:$D$222,MATCH($C140,'Criterios GISTM'!$A$2:$A$222,0)),"")</f>
        <v>Principio 08</v>
      </c>
      <c r="E140" s="4" t="str">
        <f>IFERROR(INDEX('Criterios GISTM'!$H$2:$H$222,MATCH($C140,'Criterios GISTM'!$A$2:$A$222,0)),"")</f>
        <v xml:space="preserve"> 8.5 - A</v>
      </c>
    </row>
    <row r="141" spans="1:5">
      <c r="A141" s="60" t="s">
        <v>1433</v>
      </c>
      <c r="B141" s="22" t="s">
        <v>136</v>
      </c>
      <c r="C141" s="18" t="s">
        <v>681</v>
      </c>
      <c r="D141" s="4" t="str">
        <f>IFERROR(INDEX('Criterios GISTM'!$D$2:$D$222,MATCH($C141,'Criterios GISTM'!$A$2:$A$222,0)),"")</f>
        <v>Principio 08</v>
      </c>
      <c r="E141" s="4" t="str">
        <f>IFERROR(INDEX('Criterios GISTM'!$H$2:$H$222,MATCH($C141,'Criterios GISTM'!$A$2:$A$222,0)),"")</f>
        <v xml:space="preserve"> 8.5 - B</v>
      </c>
    </row>
    <row r="142" spans="1:5">
      <c r="A142" s="60" t="s">
        <v>1434</v>
      </c>
      <c r="B142" s="22" t="s">
        <v>59</v>
      </c>
      <c r="C142" s="18" t="s">
        <v>684</v>
      </c>
      <c r="D142" s="4" t="str">
        <f>IFERROR(INDEX('Criterios GISTM'!$D$2:$D$222,MATCH($C142,'Criterios GISTM'!$A$2:$A$222,0)),"")</f>
        <v>Principio 08</v>
      </c>
      <c r="E142" s="4" t="str">
        <f>IFERROR(INDEX('Criterios GISTM'!$H$2:$H$222,MATCH($C142,'Criterios GISTM'!$A$2:$A$222,0)),"")</f>
        <v xml:space="preserve"> 8.5 - C</v>
      </c>
    </row>
    <row r="143" spans="1:5">
      <c r="A143" s="60" t="s">
        <v>1435</v>
      </c>
      <c r="B143" s="22" t="s">
        <v>136</v>
      </c>
      <c r="C143" s="18" t="s">
        <v>687</v>
      </c>
      <c r="D143" s="4" t="str">
        <f>IFERROR(INDEX('Criterios GISTM'!$D$2:$D$222,MATCH($C143,'Criterios GISTM'!$A$2:$A$222,0)),"")</f>
        <v>Principio 08</v>
      </c>
      <c r="E143" s="4" t="str">
        <f>IFERROR(INDEX('Criterios GISTM'!$H$2:$H$222,MATCH($C143,'Criterios GISTM'!$A$2:$A$222,0)),"")</f>
        <v xml:space="preserve"> 8.5 - D</v>
      </c>
    </row>
    <row r="144" spans="1:5">
      <c r="A144" s="60" t="s">
        <v>1436</v>
      </c>
      <c r="B144" s="22" t="s">
        <v>59</v>
      </c>
      <c r="C144" s="18" t="s">
        <v>690</v>
      </c>
      <c r="D144" s="4" t="str">
        <f>IFERROR(INDEX('Criterios GISTM'!$D$2:$D$222,MATCH($C144,'Criterios GISTM'!$A$2:$A$222,0)),"")</f>
        <v>Principio 08</v>
      </c>
      <c r="E144" s="4" t="str">
        <f>IFERROR(INDEX('Criterios GISTM'!$H$2:$H$222,MATCH($C144,'Criterios GISTM'!$A$2:$A$222,0)),"")</f>
        <v xml:space="preserve"> 8.5 - E</v>
      </c>
    </row>
    <row r="145" spans="1:5">
      <c r="A145" s="60" t="s">
        <v>1437</v>
      </c>
      <c r="B145" s="22" t="s">
        <v>136</v>
      </c>
      <c r="C145" s="18" t="s">
        <v>693</v>
      </c>
      <c r="D145" s="4" t="str">
        <f>IFERROR(INDEX('Criterios GISTM'!$D$2:$D$222,MATCH($C145,'Criterios GISTM'!$A$2:$A$222,0)),"")</f>
        <v>Principio 08</v>
      </c>
      <c r="E145" s="4" t="str">
        <f>IFERROR(INDEX('Criterios GISTM'!$H$2:$H$222,MATCH($C145,'Criterios GISTM'!$A$2:$A$222,0)),"")</f>
        <v xml:space="preserve"> 8.6 - A</v>
      </c>
    </row>
    <row r="146" spans="1:5">
      <c r="A146" s="60" t="s">
        <v>1438</v>
      </c>
      <c r="B146" s="22" t="s">
        <v>138</v>
      </c>
      <c r="C146" s="18" t="s">
        <v>698</v>
      </c>
      <c r="D146" s="4" t="str">
        <f>IFERROR(INDEX('Criterios GISTM'!$D$2:$D$222,MATCH($C146,'Criterios GISTM'!$A$2:$A$222,0)),"")</f>
        <v>Principio 08</v>
      </c>
      <c r="E146" s="4" t="str">
        <f>IFERROR(INDEX('Criterios GISTM'!$H$2:$H$222,MATCH($C146,'Criterios GISTM'!$A$2:$A$222,0)),"")</f>
        <v xml:space="preserve"> 8.6 - B</v>
      </c>
    </row>
    <row r="147" spans="1:5">
      <c r="A147" s="60" t="s">
        <v>1439</v>
      </c>
      <c r="B147" s="22" t="s">
        <v>140</v>
      </c>
      <c r="C147" s="18" t="s">
        <v>701</v>
      </c>
      <c r="D147" s="4" t="str">
        <f>IFERROR(INDEX('Criterios GISTM'!$D$2:$D$222,MATCH($C147,'Criterios GISTM'!$A$2:$A$222,0)),"")</f>
        <v>Principio 08</v>
      </c>
      <c r="E147" s="4" t="str">
        <f>IFERROR(INDEX('Criterios GISTM'!$H$2:$H$222,MATCH($C147,'Criterios GISTM'!$A$2:$A$222,0)),"")</f>
        <v xml:space="preserve"> 8.7 - A</v>
      </c>
    </row>
    <row r="148" spans="1:5">
      <c r="A148" s="60" t="s">
        <v>1440</v>
      </c>
      <c r="B148" s="22" t="s">
        <v>140</v>
      </c>
      <c r="C148" s="18" t="s">
        <v>706</v>
      </c>
      <c r="D148" s="4" t="str">
        <f>IFERROR(INDEX('Criterios GISTM'!$D$2:$D$222,MATCH($C148,'Criterios GISTM'!$A$2:$A$222,0)),"")</f>
        <v>Principio 08</v>
      </c>
      <c r="E148" s="4" t="str">
        <f>IFERROR(INDEX('Criterios GISTM'!$H$2:$H$222,MATCH($C148,'Criterios GISTM'!$A$2:$A$222,0)),"")</f>
        <v xml:space="preserve"> 8.7 - B</v>
      </c>
    </row>
    <row r="149" spans="1:5">
      <c r="A149" s="60" t="s">
        <v>1441</v>
      </c>
      <c r="B149" s="22" t="s">
        <v>142</v>
      </c>
      <c r="C149" s="18" t="s">
        <v>709</v>
      </c>
      <c r="D149" s="4" t="str">
        <f>IFERROR(INDEX('Criterios GISTM'!$D$2:$D$222,MATCH($C149,'Criterios GISTM'!$A$2:$A$222,0)),"")</f>
        <v>Principio 08</v>
      </c>
      <c r="E149" s="4" t="str">
        <f>IFERROR(INDEX('Criterios GISTM'!$H$2:$H$222,MATCH($C149,'Criterios GISTM'!$A$2:$A$222,0)),"")</f>
        <v xml:space="preserve"> 8.7 - C</v>
      </c>
    </row>
    <row r="150" spans="1:5">
      <c r="A150" s="60" t="s">
        <v>1442</v>
      </c>
      <c r="B150" s="22" t="s">
        <v>136</v>
      </c>
      <c r="C150" s="18" t="s">
        <v>709</v>
      </c>
      <c r="D150" s="4" t="str">
        <f>IFERROR(INDEX('Criterios GISTM'!$D$2:$D$222,MATCH($C150,'Criterios GISTM'!$A$2:$A$222,0)),"")</f>
        <v>Principio 08</v>
      </c>
      <c r="E150" s="4" t="str">
        <f>IFERROR(INDEX('Criterios GISTM'!$H$2:$H$222,MATCH($C150,'Criterios GISTM'!$A$2:$A$222,0)),"")</f>
        <v xml:space="preserve"> 8.7 - C</v>
      </c>
    </row>
    <row r="151" spans="1:5">
      <c r="A151" s="60" t="s">
        <v>1443</v>
      </c>
      <c r="B151" s="22" t="s">
        <v>140</v>
      </c>
      <c r="C151" s="18" t="s">
        <v>712</v>
      </c>
      <c r="D151" s="4" t="str">
        <f>IFERROR(INDEX('Criterios GISTM'!$D$2:$D$222,MATCH($C151,'Criterios GISTM'!$A$2:$A$222,0)),"")</f>
        <v>Principio 08</v>
      </c>
      <c r="E151" s="4" t="str">
        <f>IFERROR(INDEX('Criterios GISTM'!$H$2:$H$222,MATCH($C151,'Criterios GISTM'!$A$2:$A$222,0)),"")</f>
        <v xml:space="preserve"> 8.7 - D</v>
      </c>
    </row>
    <row r="152" spans="1:5">
      <c r="A152" s="60" t="s">
        <v>1444</v>
      </c>
      <c r="B152" s="22" t="s">
        <v>144</v>
      </c>
      <c r="C152" s="18" t="s">
        <v>715</v>
      </c>
      <c r="D152" s="4" t="str">
        <f>IFERROR(INDEX('Criterios GISTM'!$D$2:$D$222,MATCH($C152,'Criterios GISTM'!$A$2:$A$222,0)),"")</f>
        <v>Principio 08</v>
      </c>
      <c r="E152" s="4" t="str">
        <f>IFERROR(INDEX('Criterios GISTM'!$H$2:$H$222,MATCH($C152,'Criterios GISTM'!$A$2:$A$222,0)),"")</f>
        <v xml:space="preserve"> 8.7 - E</v>
      </c>
    </row>
    <row r="153" spans="1:5">
      <c r="A153" s="60" t="s">
        <v>1445</v>
      </c>
      <c r="B153" s="22" t="s">
        <v>146</v>
      </c>
      <c r="C153" s="18" t="s">
        <v>718</v>
      </c>
      <c r="D153" s="4" t="str">
        <f>IFERROR(INDEX('Criterios GISTM'!$D$2:$D$222,MATCH($C153,'Criterios GISTM'!$A$2:$A$222,0)),"")</f>
        <v>Principio 09</v>
      </c>
      <c r="E153" s="4" t="str">
        <f>IFERROR(INDEX('Criterios GISTM'!$H$2:$H$222,MATCH($C153,'Criterios GISTM'!$A$2:$A$222,0)),"")</f>
        <v xml:space="preserve"> 9.1 - A</v>
      </c>
    </row>
    <row r="154" spans="1:5">
      <c r="A154" s="60" t="s">
        <v>1446</v>
      </c>
      <c r="B154" s="22" t="s">
        <v>148</v>
      </c>
      <c r="C154" s="18" t="s">
        <v>725</v>
      </c>
      <c r="D154" s="4" t="str">
        <f>IFERROR(INDEX('Criterios GISTM'!$D$2:$D$222,MATCH($C154,'Criterios GISTM'!$A$2:$A$222,0)),"")</f>
        <v>Principio 09</v>
      </c>
      <c r="E154" s="4" t="str">
        <f>IFERROR(INDEX('Criterios GISTM'!$H$2:$H$222,MATCH($C154,'Criterios GISTM'!$A$2:$A$222,0)),"")</f>
        <v xml:space="preserve"> 9.1 - B</v>
      </c>
    </row>
    <row r="155" spans="1:5">
      <c r="A155" s="60" t="s">
        <v>1447</v>
      </c>
      <c r="B155" s="22" t="s">
        <v>150</v>
      </c>
      <c r="C155" s="18" t="s">
        <v>728</v>
      </c>
      <c r="D155" s="4" t="str">
        <f>IFERROR(INDEX('Criterios GISTM'!$D$2:$D$222,MATCH($C155,'Criterios GISTM'!$A$2:$A$222,0)),"")</f>
        <v>Principio 09</v>
      </c>
      <c r="E155" s="4" t="str">
        <f>IFERROR(INDEX('Criterios GISTM'!$H$2:$H$222,MATCH($C155,'Criterios GISTM'!$A$2:$A$222,0)),"")</f>
        <v xml:space="preserve"> 9.1 - C</v>
      </c>
    </row>
    <row r="156" spans="1:5">
      <c r="A156" s="60" t="s">
        <v>1448</v>
      </c>
      <c r="B156" s="22" t="s">
        <v>146</v>
      </c>
      <c r="C156" s="18" t="s">
        <v>731</v>
      </c>
      <c r="D156" s="4" t="str">
        <f>IFERROR(INDEX('Criterios GISTM'!$D$2:$D$222,MATCH($C156,'Criterios GISTM'!$A$2:$A$222,0)),"")</f>
        <v>Principio 09</v>
      </c>
      <c r="E156" s="4" t="str">
        <f>IFERROR(INDEX('Criterios GISTM'!$H$2:$H$222,MATCH($C156,'Criterios GISTM'!$A$2:$A$222,0)),"")</f>
        <v xml:space="preserve"> 9.2 - A</v>
      </c>
    </row>
    <row r="157" spans="1:5">
      <c r="A157" s="60" t="s">
        <v>1449</v>
      </c>
      <c r="B157" s="22" t="s">
        <v>146</v>
      </c>
      <c r="C157" s="18" t="s">
        <v>736</v>
      </c>
      <c r="D157" s="4" t="str">
        <f>IFERROR(INDEX('Criterios GISTM'!$D$2:$D$222,MATCH($C157,'Criterios GISTM'!$A$2:$A$222,0)),"")</f>
        <v>Principio 09</v>
      </c>
      <c r="E157" s="4" t="str">
        <f>IFERROR(INDEX('Criterios GISTM'!$H$2:$H$222,MATCH($C157,'Criterios GISTM'!$A$2:$A$222,0)),"")</f>
        <v xml:space="preserve"> 9.2 - B</v>
      </c>
    </row>
    <row r="158" spans="1:5">
      <c r="A158" s="60" t="s">
        <v>1450</v>
      </c>
      <c r="B158" s="22" t="s">
        <v>146</v>
      </c>
      <c r="C158" s="18" t="s">
        <v>739</v>
      </c>
      <c r="D158" s="4" t="str">
        <f>IFERROR(INDEX('Criterios GISTM'!$D$2:$D$222,MATCH($C158,'Criterios GISTM'!$A$2:$A$222,0)),"")</f>
        <v>Principio 09</v>
      </c>
      <c r="E158" s="4" t="str">
        <f>IFERROR(INDEX('Criterios GISTM'!$H$2:$H$222,MATCH($C158,'Criterios GISTM'!$A$2:$A$222,0)),"")</f>
        <v xml:space="preserve"> 9.2 - C</v>
      </c>
    </row>
    <row r="159" spans="1:5">
      <c r="A159" s="60" t="s">
        <v>1451</v>
      </c>
      <c r="B159" s="22" t="s">
        <v>152</v>
      </c>
      <c r="C159" s="18" t="s">
        <v>742</v>
      </c>
      <c r="D159" s="4" t="str">
        <f>IFERROR(INDEX('Criterios GISTM'!$D$2:$D$222,MATCH($C159,'Criterios GISTM'!$A$2:$A$222,0)),"")</f>
        <v>Principio 09</v>
      </c>
      <c r="E159" s="4" t="str">
        <f>IFERROR(INDEX('Criterios GISTM'!$H$2:$H$222,MATCH($C159,'Criterios GISTM'!$A$2:$A$222,0)),"")</f>
        <v xml:space="preserve"> 9.3 - A</v>
      </c>
    </row>
    <row r="160" spans="1:5">
      <c r="A160" s="60" t="s">
        <v>1452</v>
      </c>
      <c r="B160" s="22" t="s">
        <v>152</v>
      </c>
      <c r="C160" s="18" t="s">
        <v>747</v>
      </c>
      <c r="D160" s="4" t="str">
        <f>IFERROR(INDEX('Criterios GISTM'!$D$2:$D$222,MATCH($C160,'Criterios GISTM'!$A$2:$A$222,0)),"")</f>
        <v>Principio 09</v>
      </c>
      <c r="E160" s="4" t="str">
        <f>IFERROR(INDEX('Criterios GISTM'!$H$2:$H$222,MATCH($C160,'Criterios GISTM'!$A$2:$A$222,0)),"")</f>
        <v xml:space="preserve"> 9.3 - B</v>
      </c>
    </row>
    <row r="161" spans="1:5">
      <c r="A161" s="60" t="s">
        <v>1453</v>
      </c>
      <c r="B161" s="22" t="s">
        <v>152</v>
      </c>
      <c r="C161" s="18" t="s">
        <v>750</v>
      </c>
      <c r="D161" s="4" t="str">
        <f>IFERROR(INDEX('Criterios GISTM'!$D$2:$D$222,MATCH($C161,'Criterios GISTM'!$A$2:$A$222,0)),"")</f>
        <v>Principio 09</v>
      </c>
      <c r="E161" s="4" t="str">
        <f>IFERROR(INDEX('Criterios GISTM'!$H$2:$H$222,MATCH($C161,'Criterios GISTM'!$A$2:$A$222,0)),"")</f>
        <v xml:space="preserve"> 9.3 - C</v>
      </c>
    </row>
    <row r="162" spans="1:5">
      <c r="A162" s="60" t="s">
        <v>1454</v>
      </c>
      <c r="B162" s="22" t="s">
        <v>146</v>
      </c>
      <c r="C162" s="18" t="s">
        <v>753</v>
      </c>
      <c r="D162" s="4" t="str">
        <f>IFERROR(INDEX('Criterios GISTM'!$D$2:$D$222,MATCH($C162,'Criterios GISTM'!$A$2:$A$222,0)),"")</f>
        <v>Principio 09</v>
      </c>
      <c r="E162" s="4" t="str">
        <f>IFERROR(INDEX('Criterios GISTM'!$H$2:$H$222,MATCH($C162,'Criterios GISTM'!$A$2:$A$222,0)),"")</f>
        <v xml:space="preserve"> 9.4 - A</v>
      </c>
    </row>
    <row r="163" spans="1:5">
      <c r="A163" s="60" t="s">
        <v>1455</v>
      </c>
      <c r="B163" s="22" t="s">
        <v>146</v>
      </c>
      <c r="C163" s="18" t="s">
        <v>758</v>
      </c>
      <c r="D163" s="4" t="str">
        <f>IFERROR(INDEX('Criterios GISTM'!$D$2:$D$222,MATCH($C163,'Criterios GISTM'!$A$2:$A$222,0)),"")</f>
        <v>Principio 09</v>
      </c>
      <c r="E163" s="4" t="str">
        <f>IFERROR(INDEX('Criterios GISTM'!$H$2:$H$222,MATCH($C163,'Criterios GISTM'!$A$2:$A$222,0)),"")</f>
        <v xml:space="preserve"> 9.4 - B</v>
      </c>
    </row>
    <row r="164" spans="1:5">
      <c r="A164" s="60" t="s">
        <v>1456</v>
      </c>
      <c r="B164" s="22" t="s">
        <v>146</v>
      </c>
      <c r="C164" s="18" t="s">
        <v>761</v>
      </c>
      <c r="D164" s="4" t="str">
        <f>IFERROR(INDEX('Criterios GISTM'!$D$2:$D$222,MATCH($C164,'Criterios GISTM'!$A$2:$A$222,0)),"")</f>
        <v>Principio 09</v>
      </c>
      <c r="E164" s="4" t="str">
        <f>IFERROR(INDEX('Criterios GISTM'!$H$2:$H$222,MATCH($C164,'Criterios GISTM'!$A$2:$A$222,0)),"")</f>
        <v xml:space="preserve"> 9.4 - C</v>
      </c>
    </row>
    <row r="165" spans="1:5">
      <c r="A165" s="60" t="s">
        <v>1457</v>
      </c>
      <c r="B165" s="22" t="s">
        <v>138</v>
      </c>
      <c r="C165" s="18" t="s">
        <v>764</v>
      </c>
      <c r="D165" s="4" t="str">
        <f>IFERROR(INDEX('Criterios GISTM'!$D$2:$D$222,MATCH($C165,'Criterios GISTM'!$A$2:$A$222,0)),"")</f>
        <v>Principio 09</v>
      </c>
      <c r="E165" s="4" t="str">
        <f>IFERROR(INDEX('Criterios GISTM'!$H$2:$H$222,MATCH($C165,'Criterios GISTM'!$A$2:$A$222,0)),"")</f>
        <v xml:space="preserve"> 9.5 - A</v>
      </c>
    </row>
    <row r="166" spans="1:5">
      <c r="A166" s="60" t="s">
        <v>1458</v>
      </c>
      <c r="B166" s="22" t="s">
        <v>138</v>
      </c>
      <c r="C166" s="18" t="s">
        <v>769</v>
      </c>
      <c r="D166" s="4" t="str">
        <f>IFERROR(INDEX('Criterios GISTM'!$D$2:$D$222,MATCH($C166,'Criterios GISTM'!$A$2:$A$222,0)),"")</f>
        <v>Principio 09</v>
      </c>
      <c r="E166" s="4" t="str">
        <f>IFERROR(INDEX('Criterios GISTM'!$H$2:$H$222,MATCH($C166,'Criterios GISTM'!$A$2:$A$222,0)),"")</f>
        <v xml:space="preserve"> 9.5 - B</v>
      </c>
    </row>
    <row r="167" spans="1:5">
      <c r="A167" s="60" t="s">
        <v>1459</v>
      </c>
      <c r="B167" s="22" t="s">
        <v>154</v>
      </c>
      <c r="C167" s="18" t="s">
        <v>772</v>
      </c>
      <c r="D167" s="4" t="str">
        <f>IFERROR(INDEX('Criterios GISTM'!$D$2:$D$222,MATCH($C167,'Criterios GISTM'!$A$2:$A$222,0)),"")</f>
        <v>Principio 10</v>
      </c>
      <c r="E167" s="4" t="str">
        <f>IFERROR(INDEX('Criterios GISTM'!$H$2:$H$222,MATCH($C167,'Criterios GISTM'!$A$2:$A$222,0)),"")</f>
        <v xml:space="preserve"> 10.1 - A</v>
      </c>
    </row>
    <row r="168" spans="1:5">
      <c r="A168" s="60" t="s">
        <v>1460</v>
      </c>
      <c r="B168" s="22" t="s">
        <v>154</v>
      </c>
      <c r="C168" s="18" t="s">
        <v>779</v>
      </c>
      <c r="D168" s="4" t="str">
        <f>IFERROR(INDEX('Criterios GISTM'!$D$2:$D$222,MATCH($C168,'Criterios GISTM'!$A$2:$A$222,0)),"")</f>
        <v>Principio 10</v>
      </c>
      <c r="E168" s="4" t="str">
        <f>IFERROR(INDEX('Criterios GISTM'!$H$2:$H$222,MATCH($C168,'Criterios GISTM'!$A$2:$A$222,0)),"")</f>
        <v xml:space="preserve"> 10.1 - B</v>
      </c>
    </row>
    <row r="169" spans="1:5">
      <c r="A169" s="60" t="s">
        <v>1461</v>
      </c>
      <c r="B169" s="22" t="s">
        <v>154</v>
      </c>
      <c r="C169" s="18" t="s">
        <v>782</v>
      </c>
      <c r="D169" s="4" t="str">
        <f>IFERROR(INDEX('Criterios GISTM'!$D$2:$D$222,MATCH($C169,'Criterios GISTM'!$A$2:$A$222,0)),"")</f>
        <v>Principio 10</v>
      </c>
      <c r="E169" s="4" t="str">
        <f>IFERROR(INDEX('Criterios GISTM'!$H$2:$H$222,MATCH($C169,'Criterios GISTM'!$A$2:$A$222,0)),"")</f>
        <v xml:space="preserve"> 10.1 - C</v>
      </c>
    </row>
    <row r="170" spans="1:5">
      <c r="A170" s="60" t="s">
        <v>1462</v>
      </c>
      <c r="B170" s="22" t="s">
        <v>154</v>
      </c>
      <c r="C170" s="18" t="s">
        <v>785</v>
      </c>
      <c r="D170" s="4" t="str">
        <f>IFERROR(INDEX('Criterios GISTM'!$D$2:$D$222,MATCH($C170,'Criterios GISTM'!$A$2:$A$222,0)),"")</f>
        <v>Principio 10</v>
      </c>
      <c r="E170" s="4" t="str">
        <f>IFERROR(INDEX('Criterios GISTM'!$H$2:$H$222,MATCH($C170,'Criterios GISTM'!$A$2:$A$222,0)),"")</f>
        <v xml:space="preserve"> 10.1 - D</v>
      </c>
    </row>
    <row r="171" spans="1:5">
      <c r="A171" s="60" t="s">
        <v>1463</v>
      </c>
      <c r="B171" s="22" t="s">
        <v>154</v>
      </c>
      <c r="C171" s="18" t="s">
        <v>788</v>
      </c>
      <c r="D171" s="4" t="str">
        <f>IFERROR(INDEX('Criterios GISTM'!$D$2:$D$222,MATCH($C171,'Criterios GISTM'!$A$2:$A$222,0)),"")</f>
        <v>Principio 10</v>
      </c>
      <c r="E171" s="4" t="str">
        <f>IFERROR(INDEX('Criterios GISTM'!$H$2:$H$222,MATCH($C171,'Criterios GISTM'!$A$2:$A$222,0)),"")</f>
        <v xml:space="preserve"> 10.1 - E</v>
      </c>
    </row>
    <row r="172" spans="1:5">
      <c r="A172" s="60" t="s">
        <v>1464</v>
      </c>
      <c r="B172" s="22" t="s">
        <v>154</v>
      </c>
      <c r="C172" s="18" t="s">
        <v>791</v>
      </c>
      <c r="D172" s="4" t="str">
        <f>IFERROR(INDEX('Criterios GISTM'!$D$2:$D$222,MATCH($C172,'Criterios GISTM'!$A$2:$A$222,0)),"")</f>
        <v>Principio 10</v>
      </c>
      <c r="E172" s="4" t="str">
        <f>IFERROR(INDEX('Criterios GISTM'!$H$2:$H$222,MATCH($C172,'Criterios GISTM'!$A$2:$A$222,0)),"")</f>
        <v xml:space="preserve"> 10.1 - F</v>
      </c>
    </row>
    <row r="173" spans="1:5">
      <c r="A173" s="60" t="s">
        <v>1465</v>
      </c>
      <c r="B173" s="22" t="s">
        <v>156</v>
      </c>
      <c r="C173" s="18" t="s">
        <v>794</v>
      </c>
      <c r="D173" s="4" t="str">
        <f>IFERROR(INDEX('Criterios GISTM'!$D$2:$D$222,MATCH($C173,'Criterios GISTM'!$A$2:$A$222,0)),"")</f>
        <v>Principio 10</v>
      </c>
      <c r="E173" s="4" t="str">
        <f>IFERROR(INDEX('Criterios GISTM'!$H$2:$H$222,MATCH($C173,'Criterios GISTM'!$A$2:$A$222,0)),"")</f>
        <v xml:space="preserve"> 10.2 - A</v>
      </c>
    </row>
    <row r="174" spans="1:5">
      <c r="A174" s="60" t="s">
        <v>1466</v>
      </c>
      <c r="B174" s="22" t="s">
        <v>156</v>
      </c>
      <c r="C174" s="18" t="s">
        <v>799</v>
      </c>
      <c r="D174" s="4" t="str">
        <f>IFERROR(INDEX('Criterios GISTM'!$D$2:$D$222,MATCH($C174,'Criterios GISTM'!$A$2:$A$222,0)),"")</f>
        <v>Principio 10</v>
      </c>
      <c r="E174" s="4" t="str">
        <f>IFERROR(INDEX('Criterios GISTM'!$H$2:$H$222,MATCH($C174,'Criterios GISTM'!$A$2:$A$222,0)),"")</f>
        <v xml:space="preserve"> 10.2 - B</v>
      </c>
    </row>
    <row r="175" spans="1:5">
      <c r="A175" s="60" t="s">
        <v>1467</v>
      </c>
      <c r="B175" s="22" t="s">
        <v>156</v>
      </c>
      <c r="C175" s="18" t="s">
        <v>802</v>
      </c>
      <c r="D175" s="4" t="str">
        <f>IFERROR(INDEX('Criterios GISTM'!$D$2:$D$222,MATCH($C175,'Criterios GISTM'!$A$2:$A$222,0)),"")</f>
        <v>Principio 10</v>
      </c>
      <c r="E175" s="4" t="str">
        <f>IFERROR(INDEX('Criterios GISTM'!$H$2:$H$222,MATCH($C175,'Criterios GISTM'!$A$2:$A$222,0)),"")</f>
        <v xml:space="preserve"> 10.2 - C</v>
      </c>
    </row>
    <row r="176" spans="1:5">
      <c r="A176" s="60" t="s">
        <v>1468</v>
      </c>
      <c r="B176" s="22" t="s">
        <v>156</v>
      </c>
      <c r="C176" s="18" t="s">
        <v>805</v>
      </c>
      <c r="D176" s="4" t="str">
        <f>IFERROR(INDEX('Criterios GISTM'!$D$2:$D$222,MATCH($C176,'Criterios GISTM'!$A$2:$A$222,0)),"")</f>
        <v>Principio 10</v>
      </c>
      <c r="E176" s="4" t="str">
        <f>IFERROR(INDEX('Criterios GISTM'!$H$2:$H$222,MATCH($C176,'Criterios GISTM'!$A$2:$A$222,0)),"")</f>
        <v xml:space="preserve"> 10.2 - D</v>
      </c>
    </row>
    <row r="177" spans="1:5">
      <c r="A177" s="60" t="s">
        <v>1469</v>
      </c>
      <c r="B177" s="22" t="s">
        <v>156</v>
      </c>
      <c r="C177" s="18" t="s">
        <v>808</v>
      </c>
      <c r="D177" s="4" t="str">
        <f>IFERROR(INDEX('Criterios GISTM'!$D$2:$D$222,MATCH($C177,'Criterios GISTM'!$A$2:$A$222,0)),"")</f>
        <v>Principio 10</v>
      </c>
      <c r="E177" s="4" t="str">
        <f>IFERROR(INDEX('Criterios GISTM'!$H$2:$H$222,MATCH($C177,'Criterios GISTM'!$A$2:$A$222,0)),"")</f>
        <v xml:space="preserve"> 10.3 - A</v>
      </c>
    </row>
    <row r="178" spans="1:5">
      <c r="A178" s="60" t="s">
        <v>1470</v>
      </c>
      <c r="B178" s="22" t="s">
        <v>91</v>
      </c>
      <c r="C178" s="18" t="s">
        <v>813</v>
      </c>
      <c r="D178" s="4" t="str">
        <f>IFERROR(INDEX('Criterios GISTM'!$D$2:$D$222,MATCH($C178,'Criterios GISTM'!$A$2:$A$222,0)),"")</f>
        <v>Principio 10</v>
      </c>
      <c r="E178" s="4" t="str">
        <f>IFERROR(INDEX('Criterios GISTM'!$H$2:$H$222,MATCH($C178,'Criterios GISTM'!$A$2:$A$222,0)),"")</f>
        <v xml:space="preserve"> 10.4 - A</v>
      </c>
    </row>
    <row r="179" spans="1:5">
      <c r="A179" s="60" t="s">
        <v>1471</v>
      </c>
      <c r="B179" s="22" t="s">
        <v>91</v>
      </c>
      <c r="C179" s="18" t="s">
        <v>818</v>
      </c>
      <c r="D179" s="4" t="str">
        <f>IFERROR(INDEX('Criterios GISTM'!$D$2:$D$222,MATCH($C179,'Criterios GISTM'!$A$2:$A$222,0)),"")</f>
        <v>Principio 10</v>
      </c>
      <c r="E179" s="4" t="str">
        <f>IFERROR(INDEX('Criterios GISTM'!$H$2:$H$222,MATCH($C179,'Criterios GISTM'!$A$2:$A$222,0)),"")</f>
        <v xml:space="preserve"> 10.4 - B</v>
      </c>
    </row>
    <row r="180" spans="1:5">
      <c r="A180" s="60" t="s">
        <v>1472</v>
      </c>
      <c r="B180" s="22" t="s">
        <v>159</v>
      </c>
      <c r="C180" s="18" t="s">
        <v>821</v>
      </c>
      <c r="D180" s="4" t="str">
        <f>IFERROR(INDEX('Criterios GISTM'!$D$2:$D$222,MATCH($C180,'Criterios GISTM'!$A$2:$A$222,0)),"")</f>
        <v>Principio 10</v>
      </c>
      <c r="E180" s="4" t="str">
        <f>IFERROR(INDEX('Criterios GISTM'!$H$2:$H$222,MATCH($C180,'Criterios GISTM'!$A$2:$A$222,0)),"")</f>
        <v xml:space="preserve"> 10.5 - A</v>
      </c>
    </row>
    <row r="181" spans="1:5">
      <c r="A181" s="60" t="s">
        <v>1473</v>
      </c>
      <c r="B181" s="22" t="s">
        <v>159</v>
      </c>
      <c r="C181" s="18" t="s">
        <v>826</v>
      </c>
      <c r="D181" s="4" t="str">
        <f>IFERROR(INDEX('Criterios GISTM'!$D$2:$D$222,MATCH($C181,'Criterios GISTM'!$A$2:$A$222,0)),"")</f>
        <v>Principio 10</v>
      </c>
      <c r="E181" s="4" t="str">
        <f>IFERROR(INDEX('Criterios GISTM'!$H$2:$H$222,MATCH($C181,'Criterios GISTM'!$A$2:$A$222,0)),"")</f>
        <v xml:space="preserve"> 10.5 - B</v>
      </c>
    </row>
    <row r="182" spans="1:5">
      <c r="A182" s="60" t="s">
        <v>1474</v>
      </c>
      <c r="B182" s="22" t="s">
        <v>159</v>
      </c>
      <c r="C182" s="18" t="s">
        <v>829</v>
      </c>
      <c r="D182" s="4" t="str">
        <f>IFERROR(INDEX('Criterios GISTM'!$D$2:$D$222,MATCH($C182,'Criterios GISTM'!$A$2:$A$222,0)),"")</f>
        <v>Principio 10</v>
      </c>
      <c r="E182" s="4" t="str">
        <f>IFERROR(INDEX('Criterios GISTM'!$H$2:$H$222,MATCH($C182,'Criterios GISTM'!$A$2:$A$222,0)),"")</f>
        <v xml:space="preserve"> 10.5 - C</v>
      </c>
    </row>
    <row r="183" spans="1:5">
      <c r="A183" s="60" t="s">
        <v>1475</v>
      </c>
      <c r="B183" s="22" t="s">
        <v>159</v>
      </c>
      <c r="C183" s="18" t="s">
        <v>832</v>
      </c>
      <c r="D183" s="4" t="str">
        <f>IFERROR(INDEX('Criterios GISTM'!$D$2:$D$222,MATCH($C183,'Criterios GISTM'!$A$2:$A$222,0)),"")</f>
        <v>Principio 10</v>
      </c>
      <c r="E183" s="4" t="str">
        <f>IFERROR(INDEX('Criterios GISTM'!$H$2:$H$222,MATCH($C183,'Criterios GISTM'!$A$2:$A$222,0)),"")</f>
        <v xml:space="preserve"> 10.5 - D</v>
      </c>
    </row>
    <row r="184" spans="1:5">
      <c r="A184" s="60" t="s">
        <v>1476</v>
      </c>
      <c r="B184" s="22" t="s">
        <v>161</v>
      </c>
      <c r="C184" s="18" t="s">
        <v>835</v>
      </c>
      <c r="D184" s="4" t="str">
        <f>IFERROR(INDEX('Criterios GISTM'!$D$2:$D$222,MATCH($C184,'Criterios GISTM'!$A$2:$A$222,0)),"")</f>
        <v>Principio 10</v>
      </c>
      <c r="E184" s="4" t="str">
        <f>IFERROR(INDEX('Criterios GISTM'!$H$2:$H$222,MATCH($C184,'Criterios GISTM'!$A$2:$A$222,0)),"")</f>
        <v xml:space="preserve"> 10.6 - A</v>
      </c>
    </row>
    <row r="185" spans="1:5">
      <c r="A185" s="60" t="s">
        <v>1477</v>
      </c>
      <c r="B185" s="22" t="s">
        <v>161</v>
      </c>
      <c r="C185" s="18" t="s">
        <v>840</v>
      </c>
      <c r="D185" s="4" t="str">
        <f>IFERROR(INDEX('Criterios GISTM'!$D$2:$D$222,MATCH($C185,'Criterios GISTM'!$A$2:$A$222,0)),"")</f>
        <v>Principio 10</v>
      </c>
      <c r="E185" s="4" t="str">
        <f>IFERROR(INDEX('Criterios GISTM'!$H$2:$H$222,MATCH($C185,'Criterios GISTM'!$A$2:$A$222,0)),"")</f>
        <v xml:space="preserve"> 10.6 - B</v>
      </c>
    </row>
    <row r="186" spans="1:5">
      <c r="A186" s="60" t="s">
        <v>1478</v>
      </c>
      <c r="B186" s="22" t="s">
        <v>107</v>
      </c>
      <c r="C186" s="18" t="s">
        <v>843</v>
      </c>
      <c r="D186" s="4" t="str">
        <f>IFERROR(INDEX('Criterios GISTM'!$D$2:$D$222,MATCH($C186,'Criterios GISTM'!$A$2:$A$222,0)),"")</f>
        <v>Principio 10</v>
      </c>
      <c r="E186" s="4" t="str">
        <f>IFERROR(INDEX('Criterios GISTM'!$H$2:$H$222,MATCH($C186,'Criterios GISTM'!$A$2:$A$222,0)),"")</f>
        <v xml:space="preserve"> 10.6 - C</v>
      </c>
    </row>
    <row r="187" spans="1:5">
      <c r="A187" s="60" t="s">
        <v>1479</v>
      </c>
      <c r="B187" s="22" t="s">
        <v>97</v>
      </c>
      <c r="C187" s="18" t="s">
        <v>846</v>
      </c>
      <c r="D187" s="4" t="str">
        <f>IFERROR(INDEX('Criterios GISTM'!$D$2:$D$222,MATCH($C187,'Criterios GISTM'!$A$2:$A$222,0)),"")</f>
        <v>Principio 10</v>
      </c>
      <c r="E187" s="4" t="str">
        <f>IFERROR(INDEX('Criterios GISTM'!$H$2:$H$222,MATCH($C187,'Criterios GISTM'!$A$2:$A$222,0)),"")</f>
        <v xml:space="preserve"> 10.7 - A</v>
      </c>
    </row>
    <row r="188" spans="1:5">
      <c r="A188" s="60" t="s">
        <v>1480</v>
      </c>
      <c r="B188" s="22" t="s">
        <v>97</v>
      </c>
      <c r="C188" s="18" t="s">
        <v>851</v>
      </c>
      <c r="D188" s="4" t="str">
        <f>IFERROR(INDEX('Criterios GISTM'!$D$2:$D$222,MATCH($C188,'Criterios GISTM'!$A$2:$A$222,0)),"")</f>
        <v>Principio 10</v>
      </c>
      <c r="E188" s="4" t="str">
        <f>IFERROR(INDEX('Criterios GISTM'!$H$2:$H$222,MATCH($C188,'Criterios GISTM'!$A$2:$A$222,0)),"")</f>
        <v xml:space="preserve"> 10.7 - B</v>
      </c>
    </row>
    <row r="189" spans="1:5">
      <c r="A189" s="60" t="s">
        <v>1481</v>
      </c>
      <c r="B189" s="22" t="s">
        <v>97</v>
      </c>
      <c r="C189" s="18" t="s">
        <v>854</v>
      </c>
      <c r="D189" s="4" t="str">
        <f>IFERROR(INDEX('Criterios GISTM'!$D$2:$D$222,MATCH($C189,'Criterios GISTM'!$A$2:$A$222,0)),"")</f>
        <v>Principio 10</v>
      </c>
      <c r="E189" s="4" t="str">
        <f>IFERROR(INDEX('Criterios GISTM'!$H$2:$H$222,MATCH($C189,'Criterios GISTM'!$A$2:$A$222,0)),"")</f>
        <v xml:space="preserve"> 10.7 - C</v>
      </c>
    </row>
    <row r="190" spans="1:5">
      <c r="A190" s="60" t="s">
        <v>1482</v>
      </c>
      <c r="B190" s="22" t="s">
        <v>97</v>
      </c>
      <c r="C190" s="18" t="s">
        <v>857</v>
      </c>
      <c r="D190" s="4" t="str">
        <f>IFERROR(INDEX('Criterios GISTM'!$D$2:$D$222,MATCH($C190,'Criterios GISTM'!$A$2:$A$222,0)),"")</f>
        <v>Principio 10</v>
      </c>
      <c r="E190" s="4" t="str">
        <f>IFERROR(INDEX('Criterios GISTM'!$H$2:$H$222,MATCH($C190,'Criterios GISTM'!$A$2:$A$222,0)),"")</f>
        <v xml:space="preserve"> 10.7 - D</v>
      </c>
    </row>
    <row r="191" spans="1:5">
      <c r="A191" s="60" t="s">
        <v>1483</v>
      </c>
      <c r="B191" s="22" t="s">
        <v>116</v>
      </c>
      <c r="C191" s="18" t="s">
        <v>860</v>
      </c>
      <c r="D191" s="4" t="str">
        <f>IFERROR(INDEX('Criterios GISTM'!$D$2:$D$222,MATCH($C191,'Criterios GISTM'!$A$2:$A$222,0)),"")</f>
        <v>Principio 11</v>
      </c>
      <c r="E191" s="4" t="str">
        <f>IFERROR(INDEX('Criterios GISTM'!$H$2:$H$222,MATCH($C191,'Criterios GISTM'!$A$2:$A$222,0)),"")</f>
        <v xml:space="preserve"> 11.1 - A</v>
      </c>
    </row>
    <row r="192" spans="1:5">
      <c r="A192" s="60" t="s">
        <v>1484</v>
      </c>
      <c r="B192" s="22" t="s">
        <v>116</v>
      </c>
      <c r="C192" s="18" t="s">
        <v>867</v>
      </c>
      <c r="D192" s="4" t="str">
        <f>IFERROR(INDEX('Criterios GISTM'!$D$2:$D$222,MATCH($C192,'Criterios GISTM'!$A$2:$A$222,0)),"")</f>
        <v>Principio 11</v>
      </c>
      <c r="E192" s="4" t="str">
        <f>IFERROR(INDEX('Criterios GISTM'!$H$2:$H$222,MATCH($C192,'Criterios GISTM'!$A$2:$A$222,0)),"")</f>
        <v xml:space="preserve"> 11.1 - B</v>
      </c>
    </row>
    <row r="193" spans="1:5">
      <c r="A193" s="60" t="s">
        <v>1485</v>
      </c>
      <c r="B193" s="22" t="s">
        <v>163</v>
      </c>
      <c r="C193" s="18" t="s">
        <v>870</v>
      </c>
      <c r="D193" s="4" t="str">
        <f>IFERROR(INDEX('Criterios GISTM'!$D$2:$D$222,MATCH($C193,'Criterios GISTM'!$A$2:$A$222,0)),"")</f>
        <v>Principio 11</v>
      </c>
      <c r="E193" s="4" t="str">
        <f>IFERROR(INDEX('Criterios GISTM'!$H$2:$H$222,MATCH($C193,'Criterios GISTM'!$A$2:$A$222,0)),"")</f>
        <v xml:space="preserve"> 11.2 - A</v>
      </c>
    </row>
    <row r="194" spans="1:5">
      <c r="A194" s="60" t="s">
        <v>1486</v>
      </c>
      <c r="B194" s="22" t="s">
        <v>165</v>
      </c>
      <c r="C194" s="18" t="s">
        <v>870</v>
      </c>
      <c r="D194" s="4" t="str">
        <f>IFERROR(INDEX('Criterios GISTM'!$D$2:$D$222,MATCH($C194,'Criterios GISTM'!$A$2:$A$222,0)),"")</f>
        <v>Principio 11</v>
      </c>
      <c r="E194" s="4" t="str">
        <f>IFERROR(INDEX('Criterios GISTM'!$H$2:$H$222,MATCH($C194,'Criterios GISTM'!$A$2:$A$222,0)),"")</f>
        <v xml:space="preserve"> 11.2 - A</v>
      </c>
    </row>
    <row r="195" spans="1:5">
      <c r="A195" s="60" t="s">
        <v>1487</v>
      </c>
      <c r="B195" s="22" t="s">
        <v>59</v>
      </c>
      <c r="C195" s="18" t="s">
        <v>875</v>
      </c>
      <c r="D195" s="4" t="str">
        <f>IFERROR(INDEX('Criterios GISTM'!$D$2:$D$222,MATCH($C195,'Criterios GISTM'!$A$2:$A$222,0)),"")</f>
        <v>Principio 11</v>
      </c>
      <c r="E195" s="4" t="str">
        <f>IFERROR(INDEX('Criterios GISTM'!$H$2:$H$222,MATCH($C195,'Criterios GISTM'!$A$2:$A$222,0)),"")</f>
        <v xml:space="preserve"> 11.3 - A</v>
      </c>
    </row>
    <row r="196" spans="1:5">
      <c r="A196" s="60" t="s">
        <v>1488</v>
      </c>
      <c r="B196" s="22" t="s">
        <v>165</v>
      </c>
      <c r="C196" s="18" t="s">
        <v>875</v>
      </c>
      <c r="D196" s="4" t="str">
        <f>IFERROR(INDEX('Criterios GISTM'!$D$2:$D$222,MATCH($C196,'Criterios GISTM'!$A$2:$A$222,0)),"")</f>
        <v>Principio 11</v>
      </c>
      <c r="E196" s="4" t="str">
        <f>IFERROR(INDEX('Criterios GISTM'!$H$2:$H$222,MATCH($C196,'Criterios GISTM'!$A$2:$A$222,0)),"")</f>
        <v xml:space="preserve"> 11.3 - A</v>
      </c>
    </row>
    <row r="197" spans="1:5">
      <c r="A197" s="60" t="s">
        <v>1489</v>
      </c>
      <c r="B197" s="22" t="s">
        <v>167</v>
      </c>
      <c r="C197" s="18" t="s">
        <v>880</v>
      </c>
      <c r="D197" s="4" t="str">
        <f>IFERROR(INDEX('Criterios GISTM'!$D$2:$D$222,MATCH($C197,'Criterios GISTM'!$A$2:$A$222,0)),"")</f>
        <v>Principio 11</v>
      </c>
      <c r="E197" s="4" t="str">
        <f>IFERROR(INDEX('Criterios GISTM'!$H$2:$H$222,MATCH($C197,'Criterios GISTM'!$A$2:$A$222,0)),"")</f>
        <v xml:space="preserve"> 11.4 - A</v>
      </c>
    </row>
    <row r="198" spans="1:5">
      <c r="A198" s="60" t="s">
        <v>1490</v>
      </c>
      <c r="B198" s="22" t="s">
        <v>167</v>
      </c>
      <c r="C198" s="18" t="s">
        <v>885</v>
      </c>
      <c r="D198" s="4" t="str">
        <f>IFERROR(INDEX('Criterios GISTM'!$D$2:$D$222,MATCH($C198,'Criterios GISTM'!$A$2:$A$222,0)),"")</f>
        <v>Principio 11</v>
      </c>
      <c r="E198" s="4" t="str">
        <f>IFERROR(INDEX('Criterios GISTM'!$H$2:$H$222,MATCH($C198,'Criterios GISTM'!$A$2:$A$222,0)),"")</f>
        <v xml:space="preserve"> 11.4 - B</v>
      </c>
    </row>
    <row r="199" spans="1:5">
      <c r="A199" s="60" t="s">
        <v>1491</v>
      </c>
      <c r="B199" s="22" t="s">
        <v>167</v>
      </c>
      <c r="C199" s="18" t="s">
        <v>888</v>
      </c>
      <c r="D199" s="4" t="str">
        <f>IFERROR(INDEX('Criterios GISTM'!$D$2:$D$222,MATCH($C199,'Criterios GISTM'!$A$2:$A$222,0)),"")</f>
        <v>Principio 11</v>
      </c>
      <c r="E199" s="4" t="str">
        <f>IFERROR(INDEX('Criterios GISTM'!$H$2:$H$222,MATCH($C199,'Criterios GISTM'!$A$2:$A$222,0)),"")</f>
        <v xml:space="preserve"> 11.4 - C</v>
      </c>
    </row>
    <row r="200" spans="1:5">
      <c r="A200" s="60" t="s">
        <v>1492</v>
      </c>
      <c r="B200" s="22" t="s">
        <v>167</v>
      </c>
      <c r="C200" s="18" t="s">
        <v>891</v>
      </c>
      <c r="D200" s="4" t="str">
        <f>IFERROR(INDEX('Criterios GISTM'!$D$2:$D$222,MATCH($C200,'Criterios GISTM'!$A$2:$A$222,0)),"")</f>
        <v>Principio 11</v>
      </c>
      <c r="E200" s="4" t="str">
        <f>IFERROR(INDEX('Criterios GISTM'!$H$2:$H$222,MATCH($C200,'Criterios GISTM'!$A$2:$A$222,0)),"")</f>
        <v xml:space="preserve"> 11.5 - A</v>
      </c>
    </row>
    <row r="201" spans="1:5">
      <c r="A201" s="60" t="s">
        <v>1493</v>
      </c>
      <c r="B201" s="22" t="s">
        <v>167</v>
      </c>
      <c r="C201" s="18" t="s">
        <v>896</v>
      </c>
      <c r="D201" s="4" t="str">
        <f>IFERROR(INDEX('Criterios GISTM'!$D$2:$D$222,MATCH($C201,'Criterios GISTM'!$A$2:$A$222,0)),"")</f>
        <v>Principio 11</v>
      </c>
      <c r="E201" s="4" t="str">
        <f>IFERROR(INDEX('Criterios GISTM'!$H$2:$H$222,MATCH($C201,'Criterios GISTM'!$A$2:$A$222,0)),"")</f>
        <v xml:space="preserve"> 11.5 - B</v>
      </c>
    </row>
    <row r="202" spans="1:5">
      <c r="A202" s="60" t="s">
        <v>1494</v>
      </c>
      <c r="B202" s="22" t="s">
        <v>167</v>
      </c>
      <c r="C202" s="18" t="s">
        <v>900</v>
      </c>
      <c r="D202" s="4" t="str">
        <f>IFERROR(INDEX('Criterios GISTM'!$D$2:$D$222,MATCH($C202,'Criterios GISTM'!$A$2:$A$222,0)),"")</f>
        <v>Principio 12</v>
      </c>
      <c r="E202" s="4" t="str">
        <f>IFERROR(INDEX('Criterios GISTM'!$H$2:$H$222,MATCH($C202,'Criterios GISTM'!$A$2:$A$222,0)),"")</f>
        <v xml:space="preserve"> 12.1 - A</v>
      </c>
    </row>
    <row r="203" spans="1:5">
      <c r="A203" s="60" t="s">
        <v>1495</v>
      </c>
      <c r="B203" s="22" t="s">
        <v>167</v>
      </c>
      <c r="C203" s="18" t="s">
        <v>907</v>
      </c>
      <c r="D203" s="4" t="str">
        <f>IFERROR(INDEX('Criterios GISTM'!$D$2:$D$222,MATCH($C203,'Criterios GISTM'!$A$2:$A$222,0)),"")</f>
        <v>Principio 12</v>
      </c>
      <c r="E203" s="4" t="str">
        <f>IFERROR(INDEX('Criterios GISTM'!$H$2:$H$222,MATCH($C203,'Criterios GISTM'!$A$2:$A$222,0)),"")</f>
        <v xml:space="preserve"> 12.2 - A</v>
      </c>
    </row>
    <row r="204" spans="1:5">
      <c r="A204" s="60" t="s">
        <v>1496</v>
      </c>
      <c r="B204" s="22" t="s">
        <v>170</v>
      </c>
      <c r="C204" s="18" t="s">
        <v>912</v>
      </c>
      <c r="D204" s="4" t="str">
        <f>IFERROR(INDEX('Criterios GISTM'!$D$2:$D$222,MATCH($C204,'Criterios GISTM'!$A$2:$A$222,0)),"")</f>
        <v>Principio 13</v>
      </c>
      <c r="E204" s="4" t="str">
        <f>IFERROR(INDEX('Criterios GISTM'!$H$2:$H$222,MATCH($C204,'Criterios GISTM'!$A$2:$A$222,0)),"")</f>
        <v xml:space="preserve"> 13.1 - A</v>
      </c>
    </row>
    <row r="205" spans="1:5">
      <c r="A205" s="60" t="s">
        <v>1497</v>
      </c>
      <c r="B205" s="22" t="s">
        <v>170</v>
      </c>
      <c r="C205" s="18" t="s">
        <v>921</v>
      </c>
      <c r="D205" s="4" t="str">
        <f>IFERROR(INDEX('Criterios GISTM'!$D$2:$D$222,MATCH($C205,'Criterios GISTM'!$A$2:$A$222,0)),"")</f>
        <v>Principio 13</v>
      </c>
      <c r="E205" s="4" t="str">
        <f>IFERROR(INDEX('Criterios GISTM'!$H$2:$H$222,MATCH($C205,'Criterios GISTM'!$A$2:$A$222,0)),"")</f>
        <v xml:space="preserve"> 13.1 - B</v>
      </c>
    </row>
    <row r="206" spans="1:5">
      <c r="A206" s="60" t="s">
        <v>1498</v>
      </c>
      <c r="B206" s="22" t="s">
        <v>170</v>
      </c>
      <c r="C206" s="18" t="s">
        <v>924</v>
      </c>
      <c r="D206" s="4" t="str">
        <f>IFERROR(INDEX('Criterios GISTM'!$D$2:$D$222,MATCH($C206,'Criterios GISTM'!$A$2:$A$222,0)),"")</f>
        <v>Principio 13</v>
      </c>
      <c r="E206" s="4" t="str">
        <f>IFERROR(INDEX('Criterios GISTM'!$H$2:$H$222,MATCH($C206,'Criterios GISTM'!$A$2:$A$222,0)),"")</f>
        <v xml:space="preserve"> 13.1 - C</v>
      </c>
    </row>
    <row r="207" spans="1:5">
      <c r="A207" s="60" t="s">
        <v>1499</v>
      </c>
      <c r="B207" s="22" t="s">
        <v>170</v>
      </c>
      <c r="C207" s="18" t="s">
        <v>927</v>
      </c>
      <c r="D207" s="4" t="str">
        <f>IFERROR(INDEX('Criterios GISTM'!$D$2:$D$222,MATCH($C207,'Criterios GISTM'!$A$2:$A$222,0)),"")</f>
        <v>Principio 13</v>
      </c>
      <c r="E207" s="4" t="str">
        <f>IFERROR(INDEX('Criterios GISTM'!$H$2:$H$222,MATCH($C207,'Criterios GISTM'!$A$2:$A$222,0)),"")</f>
        <v xml:space="preserve"> 13.1 - D</v>
      </c>
    </row>
    <row r="208" spans="1:5">
      <c r="A208" s="60" t="s">
        <v>1500</v>
      </c>
      <c r="B208" s="22" t="s">
        <v>170</v>
      </c>
      <c r="C208" s="18" t="s">
        <v>930</v>
      </c>
      <c r="D208" s="4" t="str">
        <f>IFERROR(INDEX('Criterios GISTM'!$D$2:$D$222,MATCH($C208,'Criterios GISTM'!$A$2:$A$222,0)),"")</f>
        <v>Principio 13</v>
      </c>
      <c r="E208" s="4" t="str">
        <f>IFERROR(INDEX('Criterios GISTM'!$H$2:$H$222,MATCH($C208,'Criterios GISTM'!$A$2:$A$222,0)),"")</f>
        <v xml:space="preserve"> 13.1 - E</v>
      </c>
    </row>
    <row r="209" spans="1:5">
      <c r="A209" s="60" t="s">
        <v>1501</v>
      </c>
      <c r="B209" s="22" t="s">
        <v>170</v>
      </c>
      <c r="C209" s="18" t="s">
        <v>933</v>
      </c>
      <c r="D209" s="4" t="str">
        <f>IFERROR(INDEX('Criterios GISTM'!$D$2:$D$222,MATCH($C209,'Criterios GISTM'!$A$2:$A$222,0)),"")</f>
        <v>Principio 13</v>
      </c>
      <c r="E209" s="4" t="str">
        <f>IFERROR(INDEX('Criterios GISTM'!$H$2:$H$222,MATCH($C209,'Criterios GISTM'!$A$2:$A$222,0)),"")</f>
        <v xml:space="preserve"> 13.2 - A</v>
      </c>
    </row>
    <row r="210" spans="1:5">
      <c r="A210" s="60" t="s">
        <v>1502</v>
      </c>
      <c r="B210" s="22" t="s">
        <v>170</v>
      </c>
      <c r="C210" s="18" t="s">
        <v>938</v>
      </c>
      <c r="D210" s="4" t="str">
        <f>IFERROR(INDEX('Criterios GISTM'!$D$2:$D$222,MATCH($C210,'Criterios GISTM'!$A$2:$A$222,0)),"")</f>
        <v>Principio 13</v>
      </c>
      <c r="E210" s="4" t="str">
        <f>IFERROR(INDEX('Criterios GISTM'!$H$2:$H$222,MATCH($C210,'Criterios GISTM'!$A$2:$A$222,0)),"")</f>
        <v xml:space="preserve"> 13.2 - B</v>
      </c>
    </row>
    <row r="211" spans="1:5">
      <c r="A211" s="60" t="s">
        <v>1503</v>
      </c>
      <c r="B211" s="22" t="s">
        <v>170</v>
      </c>
      <c r="C211" s="18" t="s">
        <v>941</v>
      </c>
      <c r="D211" s="4" t="str">
        <f>IFERROR(INDEX('Criterios GISTM'!$D$2:$D$222,MATCH($C211,'Criterios GISTM'!$A$2:$A$222,0)),"")</f>
        <v>Principio 13</v>
      </c>
      <c r="E211" s="4" t="str">
        <f>IFERROR(INDEX('Criterios GISTM'!$H$2:$H$222,MATCH($C211,'Criterios GISTM'!$A$2:$A$222,0)),"")</f>
        <v xml:space="preserve"> 13.2 - C</v>
      </c>
    </row>
    <row r="212" spans="1:5">
      <c r="A212" s="60" t="s">
        <v>1504</v>
      </c>
      <c r="B212" s="22" t="s">
        <v>170</v>
      </c>
      <c r="C212" s="18" t="s">
        <v>944</v>
      </c>
      <c r="D212" s="4" t="str">
        <f>IFERROR(INDEX('Criterios GISTM'!$D$2:$D$222,MATCH($C212,'Criterios GISTM'!$A$2:$A$222,0)),"")</f>
        <v>Principio 13</v>
      </c>
      <c r="E212" s="4" t="str">
        <f>IFERROR(INDEX('Criterios GISTM'!$H$2:$H$222,MATCH($C212,'Criterios GISTM'!$A$2:$A$222,0)),"")</f>
        <v xml:space="preserve"> 13.2 - D</v>
      </c>
    </row>
    <row r="213" spans="1:5">
      <c r="A213" s="60" t="s">
        <v>1505</v>
      </c>
      <c r="B213" s="22" t="s">
        <v>170</v>
      </c>
      <c r="C213" s="18" t="s">
        <v>947</v>
      </c>
      <c r="D213" s="4" t="str">
        <f>IFERROR(INDEX('Criterios GISTM'!$D$2:$D$222,MATCH($C213,'Criterios GISTM'!$A$2:$A$222,0)),"")</f>
        <v>Principio 13</v>
      </c>
      <c r="E213" s="4" t="str">
        <f>IFERROR(INDEX('Criterios GISTM'!$H$2:$H$222,MATCH($C213,'Criterios GISTM'!$A$2:$A$222,0)),"")</f>
        <v xml:space="preserve"> 13.3 - A</v>
      </c>
    </row>
    <row r="214" spans="1:5">
      <c r="A214" s="60" t="s">
        <v>1506</v>
      </c>
      <c r="B214" s="22" t="s">
        <v>170</v>
      </c>
      <c r="C214" s="18" t="s">
        <v>952</v>
      </c>
      <c r="D214" s="4" t="str">
        <f>IFERROR(INDEX('Criterios GISTM'!$D$2:$D$222,MATCH($C214,'Criterios GISTM'!$A$2:$A$222,0)),"")</f>
        <v>Principio 13</v>
      </c>
      <c r="E214" s="4" t="str">
        <f>IFERROR(INDEX('Criterios GISTM'!$H$2:$H$222,MATCH($C214,'Criterios GISTM'!$A$2:$A$222,0)),"")</f>
        <v xml:space="preserve"> 13.3 - B</v>
      </c>
    </row>
    <row r="215" spans="1:5">
      <c r="A215" s="60" t="s">
        <v>1507</v>
      </c>
      <c r="B215" s="22" t="s">
        <v>170</v>
      </c>
      <c r="C215" s="18" t="s">
        <v>955</v>
      </c>
      <c r="D215" s="4" t="str">
        <f>IFERROR(INDEX('Criterios GISTM'!$D$2:$D$222,MATCH($C215,'Criterios GISTM'!$A$2:$A$222,0)),"")</f>
        <v>Principio 13</v>
      </c>
      <c r="E215" s="4" t="str">
        <f>IFERROR(INDEX('Criterios GISTM'!$H$2:$H$222,MATCH($C215,'Criterios GISTM'!$A$2:$A$222,0)),"")</f>
        <v xml:space="preserve"> 13.3 - C</v>
      </c>
    </row>
    <row r="216" spans="1:5">
      <c r="A216" s="60" t="s">
        <v>1508</v>
      </c>
      <c r="B216" s="22" t="s">
        <v>170</v>
      </c>
      <c r="C216" s="18" t="s">
        <v>958</v>
      </c>
      <c r="D216" s="4" t="str">
        <f>IFERROR(INDEX('Criterios GISTM'!$D$2:$D$222,MATCH($C216,'Criterios GISTM'!$A$2:$A$222,0)),"")</f>
        <v>Principio 13</v>
      </c>
      <c r="E216" s="4" t="str">
        <f>IFERROR(INDEX('Criterios GISTM'!$H$2:$H$222,MATCH($C216,'Criterios GISTM'!$A$2:$A$222,0)),"")</f>
        <v xml:space="preserve"> 13.3 - D</v>
      </c>
    </row>
    <row r="217" spans="1:5">
      <c r="A217" s="60" t="s">
        <v>1509</v>
      </c>
      <c r="B217" s="22" t="s">
        <v>170</v>
      </c>
      <c r="C217" s="18" t="s">
        <v>961</v>
      </c>
      <c r="D217" s="4" t="str">
        <f>IFERROR(INDEX('Criterios GISTM'!$D$2:$D$222,MATCH($C217,'Criterios GISTM'!$A$2:$A$222,0)),"")</f>
        <v>Principio 13</v>
      </c>
      <c r="E217" s="4" t="str">
        <f>IFERROR(INDEX('Criterios GISTM'!$H$2:$H$222,MATCH($C217,'Criterios GISTM'!$A$2:$A$222,0)),"")</f>
        <v xml:space="preserve"> 13.3 - E</v>
      </c>
    </row>
    <row r="218" spans="1:5">
      <c r="A218" s="60" t="s">
        <v>1510</v>
      </c>
      <c r="B218" s="22" t="s">
        <v>170</v>
      </c>
      <c r="C218" s="18" t="s">
        <v>964</v>
      </c>
      <c r="D218" s="4" t="str">
        <f>IFERROR(INDEX('Criterios GISTM'!$D$2:$D$222,MATCH($C218,'Criterios GISTM'!$A$2:$A$222,0)),"")</f>
        <v>Principio 13</v>
      </c>
      <c r="E218" s="4" t="str">
        <f>IFERROR(INDEX('Criterios GISTM'!$H$2:$H$222,MATCH($C218,'Criterios GISTM'!$A$2:$A$222,0)),"")</f>
        <v xml:space="preserve"> 13.3 - F</v>
      </c>
    </row>
    <row r="219" spans="1:5">
      <c r="A219" s="60" t="s">
        <v>1511</v>
      </c>
      <c r="B219" s="22" t="s">
        <v>170</v>
      </c>
      <c r="C219" s="18" t="s">
        <v>967</v>
      </c>
      <c r="D219" s="4" t="str">
        <f>IFERROR(INDEX('Criterios GISTM'!$D$2:$D$222,MATCH($C219,'Criterios GISTM'!$A$2:$A$222,0)),"")</f>
        <v>Principio 13</v>
      </c>
      <c r="E219" s="4" t="str">
        <f>IFERROR(INDEX('Criterios GISTM'!$H$2:$H$222,MATCH($C219,'Criterios GISTM'!$A$2:$A$222,0)),"")</f>
        <v xml:space="preserve"> 13.4 - A</v>
      </c>
    </row>
    <row r="220" spans="1:5">
      <c r="A220" s="60" t="s">
        <v>1512</v>
      </c>
      <c r="B220" s="22" t="s">
        <v>170</v>
      </c>
      <c r="C220" s="18" t="s">
        <v>972</v>
      </c>
      <c r="D220" s="4" t="str">
        <f>IFERROR(INDEX('Criterios GISTM'!$D$2:$D$222,MATCH($C220,'Criterios GISTM'!$A$2:$A$222,0)),"")</f>
        <v>Principio 13</v>
      </c>
      <c r="E220" s="4" t="str">
        <f>IFERROR(INDEX('Criterios GISTM'!$H$2:$H$222,MATCH($C220,'Criterios GISTM'!$A$2:$A$222,0)),"")</f>
        <v xml:space="preserve"> 13.4 - B</v>
      </c>
    </row>
    <row r="221" spans="1:5">
      <c r="A221" s="60" t="s">
        <v>1513</v>
      </c>
      <c r="B221" s="22" t="s">
        <v>172</v>
      </c>
      <c r="C221" s="18" t="s">
        <v>975</v>
      </c>
      <c r="D221" s="4" t="str">
        <f>IFERROR(INDEX('Criterios GISTM'!$D$2:$D$222,MATCH($C221,'Criterios GISTM'!$A$2:$A$222,0)),"")</f>
        <v>Principio 14</v>
      </c>
      <c r="E221" s="4" t="str">
        <f>IFERROR(INDEX('Criterios GISTM'!$H$2:$H$222,MATCH($C221,'Criterios GISTM'!$A$2:$A$222,0)),"")</f>
        <v xml:space="preserve"> 14.1 - A</v>
      </c>
    </row>
    <row r="222" spans="1:5">
      <c r="A222" s="60" t="s">
        <v>1514</v>
      </c>
      <c r="B222" s="22" t="s">
        <v>172</v>
      </c>
      <c r="C222" s="18" t="s">
        <v>982</v>
      </c>
      <c r="D222" s="4" t="str">
        <f>IFERROR(INDEX('Criterios GISTM'!$D$2:$D$222,MATCH($C222,'Criterios GISTM'!$A$2:$A$222,0)),"")</f>
        <v>Principio 14</v>
      </c>
      <c r="E222" s="4" t="str">
        <f>IFERROR(INDEX('Criterios GISTM'!$H$2:$H$222,MATCH($C222,'Criterios GISTM'!$A$2:$A$222,0)),"")</f>
        <v xml:space="preserve"> 14.1 - B</v>
      </c>
    </row>
    <row r="223" spans="1:5">
      <c r="A223" s="60" t="s">
        <v>1515</v>
      </c>
      <c r="B223" s="22" t="s">
        <v>172</v>
      </c>
      <c r="C223" s="18" t="s">
        <v>985</v>
      </c>
      <c r="D223" s="4" t="str">
        <f>IFERROR(INDEX('Criterios GISTM'!$D$2:$D$222,MATCH($C223,'Criterios GISTM'!$A$2:$A$222,0)),"")</f>
        <v>Principio 14</v>
      </c>
      <c r="E223" s="4" t="str">
        <f>IFERROR(INDEX('Criterios GISTM'!$H$2:$H$222,MATCH($C223,'Criterios GISTM'!$A$2:$A$222,0)),"")</f>
        <v xml:space="preserve"> 14.2 - A</v>
      </c>
    </row>
    <row r="224" spans="1:5">
      <c r="A224" s="60" t="s">
        <v>1516</v>
      </c>
      <c r="B224" s="22" t="s">
        <v>172</v>
      </c>
      <c r="C224" s="18" t="s">
        <v>990</v>
      </c>
      <c r="D224" s="4" t="str">
        <f>IFERROR(INDEX('Criterios GISTM'!$D$2:$D$222,MATCH($C224,'Criterios GISTM'!$A$2:$A$222,0)),"")</f>
        <v>Principio 14</v>
      </c>
      <c r="E224" s="4" t="str">
        <f>IFERROR(INDEX('Criterios GISTM'!$H$2:$H$222,MATCH($C224,'Criterios GISTM'!$A$2:$A$222,0)),"")</f>
        <v xml:space="preserve"> 14.2 - B</v>
      </c>
    </row>
    <row r="225" spans="1:5">
      <c r="A225" s="60" t="s">
        <v>1517</v>
      </c>
      <c r="B225" s="22" t="s">
        <v>172</v>
      </c>
      <c r="C225" s="18" t="s">
        <v>993</v>
      </c>
      <c r="D225" s="4" t="str">
        <f>IFERROR(INDEX('Criterios GISTM'!$D$2:$D$222,MATCH($C225,'Criterios GISTM'!$A$2:$A$222,0)),"")</f>
        <v>Principio 14</v>
      </c>
      <c r="E225" s="4" t="str">
        <f>IFERROR(INDEX('Criterios GISTM'!$H$2:$H$222,MATCH($C225,'Criterios GISTM'!$A$2:$A$222,0)),"")</f>
        <v xml:space="preserve"> 14.3 - A</v>
      </c>
    </row>
    <row r="226" spans="1:5">
      <c r="A226" s="60" t="s">
        <v>1518</v>
      </c>
      <c r="B226" s="22" t="s">
        <v>172</v>
      </c>
      <c r="C226" s="18" t="s">
        <v>998</v>
      </c>
      <c r="D226" s="4" t="str">
        <f>IFERROR(INDEX('Criterios GISTM'!$D$2:$D$222,MATCH($C226,'Criterios GISTM'!$A$2:$A$222,0)),"")</f>
        <v>Principio 14</v>
      </c>
      <c r="E226" s="4" t="str">
        <f>IFERROR(INDEX('Criterios GISTM'!$H$2:$H$222,MATCH($C226,'Criterios GISTM'!$A$2:$A$222,0)),"")</f>
        <v xml:space="preserve"> 14.3 - B</v>
      </c>
    </row>
    <row r="227" spans="1:5">
      <c r="A227" s="60" t="s">
        <v>1519</v>
      </c>
      <c r="B227" s="22" t="s">
        <v>172</v>
      </c>
      <c r="C227" s="18" t="s">
        <v>1001</v>
      </c>
      <c r="D227" s="4" t="str">
        <f>IFERROR(INDEX('Criterios GISTM'!$D$2:$D$222,MATCH($C227,'Criterios GISTM'!$A$2:$A$222,0)),"")</f>
        <v>Principio 14</v>
      </c>
      <c r="E227" s="4" t="str">
        <f>IFERROR(INDEX('Criterios GISTM'!$H$2:$H$222,MATCH($C227,'Criterios GISTM'!$A$2:$A$222,0)),"")</f>
        <v xml:space="preserve"> 14.3 - C</v>
      </c>
    </row>
    <row r="228" spans="1:5">
      <c r="A228" s="60" t="s">
        <v>1520</v>
      </c>
      <c r="B228" s="22" t="s">
        <v>172</v>
      </c>
      <c r="C228" s="18" t="s">
        <v>1004</v>
      </c>
      <c r="D228" s="4" t="str">
        <f>IFERROR(INDEX('Criterios GISTM'!$D$2:$D$222,MATCH($C228,'Criterios GISTM'!$A$2:$A$222,0)),"")</f>
        <v>Principio 14</v>
      </c>
      <c r="E228" s="4" t="str">
        <f>IFERROR(INDEX('Criterios GISTM'!$H$2:$H$222,MATCH($C228,'Criterios GISTM'!$A$2:$A$222,0)),"")</f>
        <v xml:space="preserve"> 14.4 - A</v>
      </c>
    </row>
    <row r="229" spans="1:5">
      <c r="A229" s="60" t="s">
        <v>1521</v>
      </c>
      <c r="B229" s="22" t="s">
        <v>172</v>
      </c>
      <c r="C229" s="18" t="s">
        <v>1009</v>
      </c>
      <c r="D229" s="4" t="str">
        <f>IFERROR(INDEX('Criterios GISTM'!$D$2:$D$222,MATCH($C229,'Criterios GISTM'!$A$2:$A$222,0)),"")</f>
        <v>Principio 14</v>
      </c>
      <c r="E229" s="4" t="str">
        <f>IFERROR(INDEX('Criterios GISTM'!$H$2:$H$222,MATCH($C229,'Criterios GISTM'!$A$2:$A$222,0)),"")</f>
        <v xml:space="preserve"> 14.5 - A</v>
      </c>
    </row>
    <row r="230" spans="1:5">
      <c r="A230" s="60" t="s">
        <v>1522</v>
      </c>
      <c r="B230" s="22" t="s">
        <v>172</v>
      </c>
      <c r="C230" s="18" t="s">
        <v>1014</v>
      </c>
      <c r="D230" s="4" t="str">
        <f>IFERROR(INDEX('Criterios GISTM'!$D$2:$D$222,MATCH($C230,'Criterios GISTM'!$A$2:$A$222,0)),"")</f>
        <v>Principio 14</v>
      </c>
      <c r="E230" s="4" t="str">
        <f>IFERROR(INDEX('Criterios GISTM'!$H$2:$H$222,MATCH($C230,'Criterios GISTM'!$A$2:$A$222,0)),"")</f>
        <v xml:space="preserve"> 14.5 - B</v>
      </c>
    </row>
    <row r="231" spans="1:5">
      <c r="A231" s="60" t="s">
        <v>1523</v>
      </c>
      <c r="B231" s="22" t="s">
        <v>172</v>
      </c>
      <c r="C231" s="18" t="s">
        <v>1017</v>
      </c>
      <c r="D231" s="4" t="str">
        <f>IFERROR(INDEX('Criterios GISTM'!$D$2:$D$222,MATCH($C231,'Criterios GISTM'!$A$2:$A$222,0)),"")</f>
        <v>Principio 14</v>
      </c>
      <c r="E231" s="4" t="str">
        <f>IFERROR(INDEX('Criterios GISTM'!$H$2:$H$222,MATCH($C231,'Criterios GISTM'!$A$2:$A$222,0)),"")</f>
        <v xml:space="preserve"> 14.5 - C</v>
      </c>
    </row>
    <row r="232" spans="1:5">
      <c r="A232" s="60" t="s">
        <v>1524</v>
      </c>
      <c r="B232" s="22" t="s">
        <v>175</v>
      </c>
      <c r="C232" s="18" t="s">
        <v>1020</v>
      </c>
      <c r="D232" s="4" t="str">
        <f>IFERROR(INDEX('Criterios GISTM'!$D$2:$D$222,MATCH($C232,'Criterios GISTM'!$A$2:$A$222,0)),"")</f>
        <v>Principio 15</v>
      </c>
      <c r="E232" s="4" t="str">
        <f>IFERROR(INDEX('Criterios GISTM'!$H$2:$H$222,MATCH($C232,'Criterios GISTM'!$A$2:$A$222,0)),"")</f>
        <v xml:space="preserve"> 15.1 - A</v>
      </c>
    </row>
  </sheetData>
  <phoneticPr fontId="1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Santos Yaricahua</dc:creator>
  <cp:keywords/>
  <dc:description/>
  <cp:lastModifiedBy/>
  <cp:revision>0</cp:revision>
  <dcterms:created xsi:type="dcterms:W3CDTF">2026-08-03T20:28:51Z</dcterms:created>
  <dcterms:modified xsi:type="dcterms:W3CDTF">2026-08-26T00:07:35Z</dcterms:modified>
  <cp:category/>
  <cp:contentStatus/>
</cp:coreProperties>
</file>